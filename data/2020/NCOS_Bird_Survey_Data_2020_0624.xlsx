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7DD09B66-DAD3-408A-838E-BBE69C12BB3B}" xr6:coauthVersionLast="46" xr6:coauthVersionMax="46" xr10:uidLastSave="{00000000-0000-0000-0000-000000000000}"/>
  <bookViews>
    <workbookView xWindow="17235" yWindow="30" windowWidth="11625" windowHeight="15300" xr2:uid="{00000000-000D-0000-FFFF-FFFF00000000}"/>
  </bookViews>
  <sheets>
    <sheet name="NCOS_Bird_Survey_Data_2020_0624" sheetId="1" r:id="rId1"/>
    <sheet name="PTable" sheetId="2" r:id="rId2"/>
    <sheet name="Total_Count" sheetId="3" r:id="rId3"/>
  </sheets>
  <definedNames>
    <definedName name="_xlnm._FilterDatabase" localSheetId="0" hidden="1">NCOS_Bird_Survey_Data_2020_0624!$A$1:$AF$102</definedName>
  </definedNames>
  <calcPr calcId="191029"/>
  <pivotCaches>
    <pivotCache cacheId="4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0" i="1" l="1"/>
  <c r="C42" i="1"/>
  <c r="C8" i="1"/>
  <c r="C28" i="1"/>
  <c r="C98" i="1"/>
  <c r="C61" i="1"/>
  <c r="C62" i="1"/>
  <c r="C71" i="1"/>
  <c r="C4" i="1"/>
  <c r="C63" i="1"/>
  <c r="C72" i="1"/>
  <c r="C34" i="1"/>
  <c r="C85" i="1"/>
  <c r="C86" i="1"/>
  <c r="C2" i="1"/>
  <c r="C5" i="1"/>
  <c r="C29" i="1"/>
  <c r="C24" i="1"/>
  <c r="C9" i="1"/>
  <c r="C87" i="1"/>
  <c r="C99" i="1"/>
  <c r="C82" i="1"/>
  <c r="C64" i="1"/>
  <c r="C20" i="1"/>
  <c r="C30" i="1"/>
  <c r="C79" i="1"/>
  <c r="C88" i="1"/>
  <c r="C50" i="1"/>
  <c r="C100" i="1"/>
  <c r="C13" i="1"/>
  <c r="C21" i="1"/>
  <c r="C6" i="1"/>
  <c r="C56" i="1"/>
  <c r="C57" i="1"/>
  <c r="C58" i="1"/>
  <c r="C83" i="1"/>
  <c r="C65" i="1"/>
  <c r="C40" i="1"/>
  <c r="C25" i="1"/>
  <c r="C66" i="1"/>
  <c r="C43" i="1"/>
  <c r="C89" i="1"/>
  <c r="C14" i="1"/>
  <c r="C31" i="1"/>
  <c r="C76" i="1"/>
  <c r="C35" i="1"/>
  <c r="C44" i="1"/>
  <c r="C32" i="1"/>
  <c r="C45" i="1"/>
  <c r="C48" i="1"/>
  <c r="C15" i="1"/>
  <c r="C90" i="1"/>
  <c r="C10" i="1"/>
  <c r="C77" i="1"/>
  <c r="C80" i="1"/>
  <c r="C3" i="1"/>
  <c r="C84" i="1"/>
  <c r="C37" i="1"/>
  <c r="C27" i="1"/>
  <c r="C7" i="1"/>
  <c r="C46" i="1"/>
  <c r="C101" i="1"/>
  <c r="C11" i="1"/>
  <c r="C102" i="1"/>
  <c r="C16" i="1"/>
  <c r="C75" i="1"/>
  <c r="C22" i="1"/>
  <c r="C52" i="1"/>
  <c r="C53" i="1"/>
  <c r="C59" i="1"/>
  <c r="C73" i="1"/>
  <c r="C54" i="1"/>
  <c r="C69" i="1"/>
  <c r="C97" i="1"/>
  <c r="C17" i="1"/>
  <c r="C55" i="1"/>
  <c r="C12" i="1"/>
  <c r="C67" i="1"/>
  <c r="C26" i="1"/>
  <c r="C33" i="1"/>
  <c r="C51" i="1"/>
  <c r="C49" i="1"/>
  <c r="C91" i="1"/>
  <c r="C81" i="1"/>
  <c r="C92" i="1"/>
  <c r="C93" i="1"/>
  <c r="C94" i="1"/>
  <c r="C74" i="1"/>
  <c r="C68" i="1"/>
  <c r="C78" i="1"/>
  <c r="C47" i="1"/>
  <c r="C18" i="1"/>
  <c r="C19" i="1"/>
  <c r="C39" i="1"/>
  <c r="C95" i="1"/>
  <c r="C70" i="1"/>
  <c r="C23" i="1"/>
  <c r="C96" i="1"/>
  <c r="C38" i="1"/>
  <c r="C41" i="1"/>
</calcChain>
</file>

<file path=xl/sharedStrings.xml><?xml version="1.0" encoding="utf-8"?>
<sst xmlns="http://schemas.openxmlformats.org/spreadsheetml/2006/main" count="848" uniqueCount="215">
  <si>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</si>
  <si>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</si>
  <si>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</si>
  <si>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</si>
  <si>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</si>
  <si>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</si>
  <si>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</si>
  <si>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</si>
  <si>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</si>
  <si>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</si>
  <si>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</si>
  <si>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</si>
  <si>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</si>
  <si>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</si>
  <si>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</si>
  <si>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</si>
  <si>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</si>
  <si>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</si>
  <si>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</si>
  <si>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</si>
  <si>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</si>
  <si>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</si>
  <si>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</si>
  <si>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</si>
  <si>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</si>
  <si>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</si>
  <si>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</si>
  <si>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</si>
  <si>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</si>
  <si>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</si>
  <si>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House Finch</t>
  </si>
  <si>
    <t>No</t>
  </si>
  <si>
    <t>Fence</t>
  </si>
  <si>
    <t>630</t>
  </si>
  <si>
    <t>Fog</t>
  </si>
  <si>
    <t>None</t>
  </si>
  <si>
    <t>{dec4986c-a030-4566-a34d-de92be1050aa}</t>
  </si>
  <si>
    <t>ccber_user</t>
  </si>
  <si>
    <t>Mallard</t>
  </si>
  <si>
    <t>Water - Floating</t>
  </si>
  <si>
    <t>{037bc071-a723-4258-aa74-304a10c04431}</t>
  </si>
  <si>
    <t>{cb9a8d43-e3b5-410f-98c8-24efb6b2ba54}</t>
  </si>
  <si>
    <t>Anna's Hummingbird</t>
  </si>
  <si>
    <t>Air</t>
  </si>
  <si>
    <t>{23f857c8-dd0f-4dbc-ab91-f84785b155ac}</t>
  </si>
  <si>
    <t>Cliff Swallow</t>
  </si>
  <si>
    <t>{2d16bfff-bc04-47a7-9ec3-b3870eed77fe}</t>
  </si>
  <si>
    <t>Western Gull</t>
  </si>
  <si>
    <t>Mud</t>
  </si>
  <si>
    <t>{f7863d33-bdc5-4079-ada9-9893d6d30660}</t>
  </si>
  <si>
    <t>{5de9a232-a2b2-4eb5-aebd-3ca9c6fc6f6b}</t>
  </si>
  <si>
    <t>Water - Wading</t>
  </si>
  <si>
    <t>{463cf7b7-f63b-4ae4-81c4-54adb9d0e84a}</t>
  </si>
  <si>
    <t>Red-shouldered Hawk</t>
  </si>
  <si>
    <t>Vegetation - Tree</t>
  </si>
  <si>
    <t>{8eff7764-4c52-424a-9668-310aae590c37}</t>
  </si>
  <si>
    <t>American Crow</t>
  </si>
  <si>
    <t>{9500fa4c-9277-4158-83ee-b6c7f34f1003}</t>
  </si>
  <si>
    <t>{9ac668c8-7546-42dd-8562-0abb17f16e55}</t>
  </si>
  <si>
    <t>{291dcb76-db2b-45fb-bdbb-b91751e01ef6}</t>
  </si>
  <si>
    <t>Common Yellowthroat</t>
  </si>
  <si>
    <t>Vegetation - Shrub</t>
  </si>
  <si>
    <t>{6266f55d-cc3c-4427-8c84-1e12697e329e}</t>
  </si>
  <si>
    <t>Song Sparrow</t>
  </si>
  <si>
    <t>{7ac90944-236b-427b-b6f4-a99f9b708e9c}</t>
  </si>
  <si>
    <t>Vegetation - Herbaceous</t>
  </si>
  <si>
    <t>{f9d019de-62c1-4c2a-be22-cdccdf26b5b2}</t>
  </si>
  <si>
    <t>Allen's Hummingbird</t>
  </si>
  <si>
    <t>{46c87461-cd1f-4645-b2ea-d172f3209da1}</t>
  </si>
  <si>
    <t>Feeding/Begging</t>
  </si>
  <si>
    <t>{f65068de-dd70-48e2-8b86-1b5fc3c96b60}</t>
  </si>
  <si>
    <t>{16c6d426-4356-448a-bcce-1da32dc758af}</t>
  </si>
  <si>
    <t>California Towhee</t>
  </si>
  <si>
    <t>{a3ba7927-4cf2-4b1c-81ec-61ef7940f84a}</t>
  </si>
  <si>
    <t>{79652c08-6430-46c7-a9cb-317925c1e0f4}</t>
  </si>
  <si>
    <t>Bare ground</t>
  </si>
  <si>
    <t>{aab61deb-b179-4736-ad3f-3bd7491543bd}</t>
  </si>
  <si>
    <t>{f4aaf70a-67f7-4229-b4e4-d600a149e42f}</t>
  </si>
  <si>
    <t>Scaly-breasted Munia</t>
  </si>
  <si>
    <t>{8eed6552-6707-4c34-96e3-275a35e1dc94}</t>
  </si>
  <si>
    <t>{14825c75-2a2a-40ba-bb1d-cd831352e147}</t>
  </si>
  <si>
    <t>Black-crowned Night-Heron</t>
  </si>
  <si>
    <t>{196de3ef-118f-446f-ac19-0c02a1eaa2e7}</t>
  </si>
  <si>
    <t>{15eec7e1-8b84-4738-a15f-352be2282b36}</t>
  </si>
  <si>
    <t>Ruddy Duck</t>
  </si>
  <si>
    <t>{37da5031-7640-4401-9be8-dced261d0e61}</t>
  </si>
  <si>
    <t>{e9251fed-5643-4669-903e-43578694e6e4}</t>
  </si>
  <si>
    <t>Killdeer</t>
  </si>
  <si>
    <t>{6544d88e-63d5-4f5e-b55c-203ca746ebed}</t>
  </si>
  <si>
    <t>Western Sandpiper</t>
  </si>
  <si>
    <t>{9bb42343-ee73-42a5-bdae-bfea42e4a908}</t>
  </si>
  <si>
    <t>Black Phoebe</t>
  </si>
  <si>
    <t>{e2845246-06a6-41f8-9181-4767f78071b2}</t>
  </si>
  <si>
    <t>{fafcc6a6-2879-41b1-bcac-7e9ed2d8ca3b}</t>
  </si>
  <si>
    <t>{3331d7fb-c6f3-4ae1-b740-18280d34d076}</t>
  </si>
  <si>
    <t>Lesser Goldfinch</t>
  </si>
  <si>
    <t>{81a843e3-a593-4e15-99d1-842c3f176c13}</t>
  </si>
  <si>
    <t>two begging hub and two adults</t>
  </si>
  <si>
    <t>{5ed273ea-9bd6-4655-acb3-695972c02f7e}</t>
  </si>
  <si>
    <t>{31d226f4-56ba-46ff-a8c9-d690936c5d60}</t>
  </si>
  <si>
    <t>Snowy Egret</t>
  </si>
  <si>
    <t>{f9755946-f3ed-49bc-ab77-c448a4e0770d}</t>
  </si>
  <si>
    <t>{b779997f-8b27-4b07-97d7-4e73cc907cb5}</t>
  </si>
  <si>
    <t>Hooded Oriole</t>
  </si>
  <si>
    <t>{6e47767a-276c-4824-ae55-b90583014ae2}</t>
  </si>
  <si>
    <t>Canada Goose</t>
  </si>
  <si>
    <t>Yes</t>
  </si>
  <si>
    <t>Other</t>
  </si>
  <si>
    <t>4 adults and 3 juveniles</t>
  </si>
  <si>
    <t>{3ae13a33-2bd6-4813-859e-d2666898e6c5}</t>
  </si>
  <si>
    <t>{4100ef0a-2a9a-4294-831d-fd9df9970d57}</t>
  </si>
  <si>
    <t>{3d85140e-7a64-4184-afa4-ae40a753ac5c}</t>
  </si>
  <si>
    <t>{8eeb0fad-0f37-4531-b1d9-085b334c4748}</t>
  </si>
  <si>
    <t>Habitat Feature - Log</t>
  </si>
  <si>
    <t>{3effa0f2-2512-4ad5-a796-62a2df732b76}</t>
  </si>
  <si>
    <t>{cf1acd2c-9d44-4114-bc90-bf0aba5d5f50}</t>
  </si>
  <si>
    <t>Rock Pigeon (Feral Pigeon)</t>
  </si>
  <si>
    <t>Building</t>
  </si>
  <si>
    <t>{aeba81ed-3b20-4021-aca0-3977e75c4059}</t>
  </si>
  <si>
    <t>{15921797-5a61-4934-a153-132d3aeb0ac2}</t>
  </si>
  <si>
    <t>{306d4b85-74a4-421f-ac15-fd0c771fd90f}</t>
  </si>
  <si>
    <t>{6ebc5ff2-a868-4e4f-8bb6-e17993832004}</t>
  </si>
  <si>
    <t>{8fc6bd37-5626-4c6d-9c1c-63649458cadf}</t>
  </si>
  <si>
    <t>House Sparrow</t>
  </si>
  <si>
    <t>{6332ff7c-1501-4be1-9ffa-b35abf7db391}</t>
  </si>
  <si>
    <t>{f053ea82-bc0e-431b-9ad8-7b257230f88e}</t>
  </si>
  <si>
    <t>{66edf691-b986-4d8e-8e6a-8293cf702ace}</t>
  </si>
  <si>
    <t>{67fe9956-ae28-4041-a036-e6a18eadbc95}</t>
  </si>
  <si>
    <t>{d9340dc3-b54d-4a7d-bb45-cabb13a92164}</t>
  </si>
  <si>
    <t>Savannah Sparrow (Belding's)</t>
  </si>
  <si>
    <t>{ebbab497-0584-4469-b98d-0f1b89c9475c}</t>
  </si>
  <si>
    <t>{ffd4f58a-c51e-43e6-88b0-5b1b03eef650}</t>
  </si>
  <si>
    <t>{07f5dfd6-7405-4266-af2d-8c50d0a90661}</t>
  </si>
  <si>
    <t>Cooper's Hawk</t>
  </si>
  <si>
    <t>birds in nest looks like fledgling</t>
  </si>
  <si>
    <t>{c4948e69-264b-41d5-a8e0-cb5282d1217d}</t>
  </si>
  <si>
    <t>Caspian Tern</t>
  </si>
  <si>
    <t>{d6b11864-5817-4e96-af17-cf3b8b853631}</t>
  </si>
  <si>
    <t>913</t>
  </si>
  <si>
    <t>Low</t>
  </si>
  <si>
    <t>{6dd22daf-4f9e-407e-ab43-539142224295}</t>
  </si>
  <si>
    <t>{1eecc0a1-559a-4f55-8453-ad2652e59a8d}</t>
  </si>
  <si>
    <t>clark@ccber.ucsb.edu_ucsb</t>
  </si>
  <si>
    <t>Western Snowy Plover</t>
  </si>
  <si>
    <t xml:space="preserve">parent brooding fledgling </t>
  </si>
  <si>
    <t>{9fffcab5-2f95-4114-a44c-42ff4f10842a}</t>
  </si>
  <si>
    <t>{b164ae44-810f-4ba4-a9a7-cb64d909c4de}</t>
  </si>
  <si>
    <t>Wrentit</t>
  </si>
  <si>
    <t>Carrying Nest Material</t>
  </si>
  <si>
    <t>{682ed706-4245-4856-a957-f669c5a821c6}</t>
  </si>
  <si>
    <t>{77473c36-0bbc-45bb-8855-4ec94957a6fb}</t>
  </si>
  <si>
    <t>Red-winged Blackbird</t>
  </si>
  <si>
    <t>Flyover</t>
  </si>
  <si>
    <t>{5cc996da-22ac-42f8-b1e3-7ff5846c580c}</t>
  </si>
  <si>
    <t>Brown-headed Cowbird</t>
  </si>
  <si>
    <t>utility wire</t>
  </si>
  <si>
    <t>{6e37d292-eeb2-4ae6-a133-effe1f531c46}</t>
  </si>
  <si>
    <t>Lark Sparrow</t>
  </si>
  <si>
    <t>{aa1ea6b2-d14f-41d1-8093-514a98daba07}</t>
  </si>
  <si>
    <t>{dc874f9d-7694-461e-a46b-bbdc9861675e}</t>
  </si>
  <si>
    <t>Loggerhead Shrike</t>
  </si>
  <si>
    <t>{a6580527-d5a0-49f3-9070-387c159b8cb4}</t>
  </si>
  <si>
    <t>Red-tailed Hawk</t>
  </si>
  <si>
    <t>{dbe41028-2cdf-4f29-adf0-b180f2b25354}</t>
  </si>
  <si>
    <t>{5c3aae6c-4e84-4f4d-bdc8-517390bcbb32}</t>
  </si>
  <si>
    <t>Northern Mockingbird</t>
  </si>
  <si>
    <t>{255577b1-09d8-45c6-9ea9-a18f9c789dd5}</t>
  </si>
  <si>
    <t>Western Bluebird</t>
  </si>
  <si>
    <t>Habitat Feature - Snag</t>
  </si>
  <si>
    <t>{cbdf94a3-c844-4346-8f0e-4a5568b1561a}</t>
  </si>
  <si>
    <t>{62639287-1f95-440a-8e29-671762b60d8a}</t>
  </si>
  <si>
    <t>{74094df6-46c8-4d9b-907a-682f8163f0d3}</t>
  </si>
  <si>
    <t>Bewick's Wren</t>
  </si>
  <si>
    <t>{13596d14-a882-42b6-8745-fe62b2cf0916}</t>
  </si>
  <si>
    <t>Mourning Dove</t>
  </si>
  <si>
    <t>{43e37db0-86a9-4367-8e8e-76c702f52b8c}</t>
  </si>
  <si>
    <t>{b83b84b8-9ce6-4c1c-8fbd-4f7f8792f7c5}</t>
  </si>
  <si>
    <t>{34a677af-2e77-48ea-b1a1-1d960da15201}</t>
  </si>
  <si>
    <t>{904b581c-cf2a-46bd-9788-47c4c82a1fd1}</t>
  </si>
  <si>
    <t>{9b8ef23b-9558-40ff-8fd7-07b5c1768e38}</t>
  </si>
  <si>
    <t>{554470ca-1fb0-45bb-9b5d-1fbd80b7f12b}</t>
  </si>
  <si>
    <t>{26ff73fb-e20f-435c-9d7d-581c7d1bd018}</t>
  </si>
  <si>
    <t>{02112120-4b1d-4eff-90c5-6a3f7357c58c}</t>
  </si>
  <si>
    <t>{1bf6242f-bdb8-4e53-8abe-3e199477eb71}</t>
  </si>
  <si>
    <t>{1c5d6a62-b29b-4428-89d5-6bb28b0f4fd7}</t>
  </si>
  <si>
    <t>{3b1a1216-0014-4f0d-91fe-c6822680c18e}</t>
  </si>
  <si>
    <t>{652ff13b-90fa-4d64-a064-3722496f6f4d}</t>
  </si>
  <si>
    <t>{8e2d46ec-b65e-4ee3-a16f-9c33b3933b44}</t>
  </si>
  <si>
    <t>{77d6784e-ddce-401d-abf5-6ba12bd85cf6}</t>
  </si>
  <si>
    <t>{79bd09d0-0841-4eb1-b7e1-e42eadf7fd87}</t>
  </si>
  <si>
    <t>{771569f5-c99c-497d-a19d-784c83a9b349}</t>
  </si>
  <si>
    <t>Great Horned Owl</t>
  </si>
  <si>
    <t>{09b9f1ac-cd9e-4212-b3f0-39b386a27606}</t>
  </si>
  <si>
    <t>{a45e0d74-096a-42c9-85e5-a39bd4e03f15}</t>
  </si>
  <si>
    <t>Nuttall's Woodpecker</t>
  </si>
  <si>
    <t>{3dceb0fc-4198-4340-b220-7b1124212409}</t>
  </si>
  <si>
    <t>Bushtit</t>
  </si>
  <si>
    <t>{a8c97eb5-c4ae-4cdd-8e92-590cf919f5df}</t>
  </si>
  <si>
    <t>{c7b31fd5-56ae-45b4-bbec-cc5f2eb60f8a}</t>
  </si>
  <si>
    <t>{0b5760c9-4a4e-47c2-b15d-ec3457cf7e77}</t>
  </si>
  <si>
    <t>DATE</t>
  </si>
  <si>
    <t>TIME</t>
  </si>
  <si>
    <t>EAST: Lisa, Glenn, Steven</t>
  </si>
  <si>
    <t xml:space="preserve">WEST: Darwin, Beau, Conor  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</si>
  <si>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</si>
  <si>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</si>
  <si>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</si>
  <si>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</si>
  <si>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</si>
  <si>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</si>
  <si>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</si>
  <si>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</si>
  <si>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Observation added after survey review - entry missed in the field.</t>
  </si>
  <si>
    <t>SPECIES</t>
  </si>
  <si>
    <t>FINAL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</si>
</sst>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"/>
    <numFmt numFmtId="165" formatCode="h:mm;@"/>
  </numFmts>
  <fonts count="8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65" fontId="2" fillId="0" borderId="0" xfId="0" applyNumberFormat="1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 wrapText="1"/>
    </xf>
    <xf numFmtId="0" fontId="3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ont="1" applyFill="1" applyBorder="1" applyAlignment="1" applyProtection="1"/>
    <xf numFmtId="0" fontId="0" fillId="0" borderId="0" xfId="0" applyNumberFormat="1"/>
    <xf numFmtId="0" fontId="0" fillId="3" borderId="0" xfId="0" applyFill="1"/>
    <xf numFmtId="0" fontId="7" fillId="4" borderId="0" xfId="0" applyNumberFormat="1" applyFont="1" applyFill="1" applyAlignment="1">
      <alignment horizontal="center"/>
    </xf>
    <xf numFmtId="0" fontId="0" fillId="0" borderId="1" xfId="0" applyNumberFormat="1" applyBorder="1" applyAlignment="1">
      <alignment horizontal="center"/>
    </xf>
    <xf numFmtId="0" fontId="7" fillId="4" borderId="1" xfId="0" applyNumberFormat="1" applyFont="1" applyFill="1" applyBorder="1" applyAlignment="1">
      <alignment horizontal="center"/>
    </xf>
    <xf numFmtId="0" fontId="0" fillId="0" borderId="1" xfId="0" applyNumberFormat="1" applyBorder="1"/>
    <xf numFmtId="0" fontId="0" fillId="3" borderId="1" xfId="0" applyNumberFormat="1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7" fillId="4" borderId="2" xfId="0" applyNumberFormat="1" applyFont="1" applyFill="1" applyBorder="1" applyAlignment="1">
      <alignment horizontal="center"/>
    </xf>
    <xf numFmtId="0" fontId="0" fillId="0" borderId="2" xfId="0" applyNumberFormat="1" applyBorder="1"/>
    <xf numFmtId="0" fontId="0" fillId="3" borderId="2" xfId="0" applyNumberFormat="1" applyFill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7" fillId="4" borderId="3" xfId="0" applyNumberFormat="1" applyFont="1" applyFill="1" applyBorder="1" applyAlignment="1">
      <alignment horizontal="center"/>
    </xf>
    <xf numFmtId="0" fontId="0" fillId="0" borderId="3" xfId="0" applyNumberFormat="1" applyBorder="1"/>
    <xf numFmtId="0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" fontId="5" fillId="0" borderId="0" xfId="0" applyNumberFormat="1" applyFont="1" applyFill="1" applyBorder="1" applyAlignment="1" applyProtection="1"/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6"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alignment horizontal="center"/>
    </dxf>
    <dxf>
      <font>
        <b/>
        <family val="2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007.667189699074" createdVersion="6" refreshedVersion="6" minRefreshableVersion="3" recordCount="101" xr:uid="{115AF3A7-4FA9-4B89-A6D0-8B9B1F11B20C}">
  <cacheSource type="worksheet">
    <worksheetSource ref="A1:AF102" sheet="NCOS_Bird_Survey_Data_2020_0624"/>
  </cacheSource>
  <cacheFields count="32">
    <cacheField name="OBJECTID" numFmtId="0">
      <sharedItems containsString="0" containsBlank="1" containsNumber="1" containsInteger="1" minValue="1" maxValue="100"/>
    </cacheField>
    <cacheField name="DATE" numFmtId="14">
      <sharedItems containsSemiMixedTypes="0" containsNonDate="0" containsDate="1" containsString="0" minDate="2020-06-24T00:00:00" maxDate="2020-06-25T00:00:00"/>
    </cacheField>
    <cacheField name="TIME" numFmtId="0">
      <sharedItems containsNonDate="0" containsDate="1" containsString="0" containsBlank="1" minDate="2020-06-24T06:33:07" maxDate="2020-06-24T09:10:08"/>
    </cacheField>
    <cacheField name="Species" numFmtId="0">
      <sharedItems count="40">
        <s v="House Finch"/>
        <s v="Mallard"/>
        <s v="Anna's Hummingbird"/>
        <s v="Cliff Swallow"/>
        <s v="Western Gull"/>
        <s v="Red-shouldered Hawk"/>
        <s v="American Crow"/>
        <s v="Common Yellowthroat"/>
        <s v="Song Sparrow"/>
        <s v="Allen's Hummingbird"/>
        <s v="California Towhee"/>
        <s v="Scaly-breasted Munia"/>
        <s v="Black-crowned Night-Heron"/>
        <s v="Ruddy Duck"/>
        <s v="Killdeer"/>
        <s v="Western Sandpiper"/>
        <s v="Black Phoebe"/>
        <s v="Lesser Goldfinch"/>
        <s v="Snowy Egret"/>
        <s v="Hooded Oriole"/>
        <s v="Canada Goose"/>
        <s v="Rock Pigeon (Feral Pigeon)"/>
        <s v="House Sparrow"/>
        <s v="Savannah Sparrow (Belding's)"/>
        <s v="Cooper's Hawk"/>
        <s v="Caspian Tern"/>
        <s v="Western Snowy Plover"/>
        <s v="Wrentit"/>
        <s v="Red-winged Blackbird"/>
        <s v="Brown-headed Cowbird"/>
        <s v="Lark Sparrow"/>
        <s v="Loggerhead Shrike"/>
        <s v="Red-tailed Hawk"/>
        <s v="Northern Mockingbird"/>
        <s v="Western Bluebird"/>
        <s v="Bewick's Wren"/>
        <s v="Mourning Dove"/>
        <s v="Great Horned Owl"/>
        <s v="Nuttall's Woodpecker"/>
        <s v="Bushtit"/>
      </sharedItems>
    </cacheField>
    <cacheField name="Count" numFmtId="0">
      <sharedItems containsSemiMixedTypes="0" containsString="0" containsNumber="1" containsInteger="1" minValue="1" maxValue="18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5.5" maxValue="5.5"/>
    </cacheField>
    <cacheField name="Observers" numFmtId="0">
      <sharedItems count="2">
        <s v="EAST: Lisa, Glenn, Steven"/>
        <s v="WEST: Darwin, Beau, Conor  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2" maxValue="62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2" maxValue="62"/>
    </cacheField>
    <cacheField name="Ending % Cloud Cover" numFmtId="0">
      <sharedItems containsString="0" containsBlank="1" containsNumber="1" containsInteger="1" minValue="100" maxValue="10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0-06-24T13:33:07" maxDate="2020-06-24T16:10:08"/>
    </cacheField>
    <cacheField name="Creator" numFmtId="0">
      <sharedItems containsBlank="1"/>
    </cacheField>
    <cacheField name="EditDate" numFmtId="0">
      <sharedItems containsNonDate="0" containsDate="1" containsString="0" containsBlank="1" minDate="2020-06-24T13:33:07" maxDate="2020-06-24T16:13:36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1"/>
    <d v="2020-06-24T00:00:00"/>
    <d v="2020-06-24T06:33:07"/>
    <x v="0"/>
    <n v="4"/>
    <x v="0"/>
    <s v="Fence"/>
    <m/>
    <m/>
    <m/>
    <n v="5.5"/>
    <x v="0"/>
    <s v="630"/>
    <m/>
    <n v="62"/>
    <n v="100"/>
    <s v="Fog"/>
    <s v="None"/>
    <m/>
    <m/>
    <m/>
    <m/>
    <m/>
    <m/>
    <m/>
    <m/>
    <m/>
    <s v="{dec4986c-a030-4566-a34d-de92be1050aa}"/>
    <d v="2020-06-24T13:33:07"/>
    <s v="ccber_user"/>
    <d v="2020-06-24T13:33:07"/>
    <s v="ccber_user"/>
  </r>
  <r>
    <n v="2"/>
    <d v="2020-06-24T00:00:00"/>
    <d v="2020-06-24T06:35:02"/>
    <x v="1"/>
    <n v="14"/>
    <x v="0"/>
    <s v="Water - Floating"/>
    <m/>
    <m/>
    <m/>
    <m/>
    <x v="0"/>
    <m/>
    <m/>
    <m/>
    <m/>
    <m/>
    <m/>
    <m/>
    <m/>
    <m/>
    <m/>
    <m/>
    <m/>
    <m/>
    <m/>
    <m/>
    <s v="{037bc071-a723-4258-aa74-304a10c04431}"/>
    <d v="2020-06-24T13:35:02"/>
    <s v="ccber_user"/>
    <d v="2020-06-24T13:35:02"/>
    <s v="ccber_user"/>
  </r>
  <r>
    <n v="3"/>
    <d v="2020-06-24T00:00:00"/>
    <d v="2020-06-24T06:46:48"/>
    <x v="0"/>
    <n v="6"/>
    <x v="0"/>
    <s v="Fence"/>
    <m/>
    <m/>
    <m/>
    <m/>
    <x v="0"/>
    <m/>
    <m/>
    <m/>
    <m/>
    <m/>
    <m/>
    <m/>
    <m/>
    <m/>
    <m/>
    <m/>
    <m/>
    <m/>
    <m/>
    <m/>
    <s v="{cb9a8d43-e3b5-410f-98c8-24efb6b2ba54}"/>
    <d v="2020-06-24T13:46:48"/>
    <s v="ccber_user"/>
    <d v="2020-06-24T13:46:48"/>
    <s v="ccber_user"/>
  </r>
  <r>
    <n v="4"/>
    <d v="2020-06-24T00:00:00"/>
    <d v="2020-06-24T06:49:27"/>
    <x v="2"/>
    <n v="1"/>
    <x v="0"/>
    <s v="Air"/>
    <m/>
    <m/>
    <m/>
    <m/>
    <x v="0"/>
    <m/>
    <m/>
    <m/>
    <m/>
    <m/>
    <m/>
    <m/>
    <m/>
    <m/>
    <m/>
    <m/>
    <m/>
    <m/>
    <m/>
    <m/>
    <s v="{23f857c8-dd0f-4dbc-ab91-f84785b155ac}"/>
    <d v="2020-06-24T13:49:27"/>
    <s v="ccber_user"/>
    <d v="2020-06-24T13:49:27"/>
    <s v="ccber_user"/>
  </r>
  <r>
    <n v="5"/>
    <d v="2020-06-24T00:00:00"/>
    <d v="2020-06-24T06:51:10"/>
    <x v="3"/>
    <n v="1"/>
    <x v="0"/>
    <s v="Air"/>
    <m/>
    <m/>
    <m/>
    <m/>
    <x v="0"/>
    <m/>
    <m/>
    <m/>
    <m/>
    <m/>
    <m/>
    <m/>
    <m/>
    <m/>
    <m/>
    <m/>
    <m/>
    <m/>
    <m/>
    <m/>
    <s v="{2d16bfff-bc04-47a7-9ec3-b3870eed77fe}"/>
    <d v="2020-06-24T13:51:10"/>
    <s v="ccber_user"/>
    <d v="2020-06-24T13:51:10"/>
    <s v="ccber_user"/>
  </r>
  <r>
    <n v="6"/>
    <d v="2020-06-24T00:00:00"/>
    <d v="2020-06-24T06:52:10"/>
    <x v="4"/>
    <n v="2"/>
    <x v="0"/>
    <s v="Mud"/>
    <m/>
    <m/>
    <m/>
    <m/>
    <x v="0"/>
    <m/>
    <m/>
    <m/>
    <m/>
    <m/>
    <m/>
    <m/>
    <m/>
    <m/>
    <m/>
    <m/>
    <m/>
    <m/>
    <m/>
    <m/>
    <s v="{f7863d33-bdc5-4079-ada9-9893d6d30660}"/>
    <d v="2020-06-24T13:52:10"/>
    <s v="ccber_user"/>
    <d v="2020-06-24T13:52:10"/>
    <s v="ccber_user"/>
  </r>
  <r>
    <n v="7"/>
    <d v="2020-06-24T00:00:00"/>
    <d v="2020-06-24T06:53:37"/>
    <x v="1"/>
    <n v="7"/>
    <x v="0"/>
    <s v="Water - Floating"/>
    <m/>
    <m/>
    <m/>
    <m/>
    <x v="0"/>
    <m/>
    <m/>
    <m/>
    <m/>
    <m/>
    <m/>
    <m/>
    <m/>
    <m/>
    <m/>
    <m/>
    <m/>
    <m/>
    <m/>
    <m/>
    <s v="{5de9a232-a2b2-4eb5-aebd-3ca9c6fc6f6b}"/>
    <d v="2020-06-24T13:53:37"/>
    <s v="ccber_user"/>
    <d v="2020-06-24T13:53:37"/>
    <s v="ccber_user"/>
  </r>
  <r>
    <n v="8"/>
    <d v="2020-06-24T00:00:00"/>
    <d v="2020-06-24T06:54:53"/>
    <x v="1"/>
    <n v="5"/>
    <x v="0"/>
    <s v="Water - Wading"/>
    <m/>
    <m/>
    <m/>
    <m/>
    <x v="0"/>
    <m/>
    <m/>
    <m/>
    <m/>
    <m/>
    <m/>
    <m/>
    <m/>
    <m/>
    <m/>
    <m/>
    <m/>
    <m/>
    <m/>
    <m/>
    <s v="{463cf7b7-f63b-4ae4-81c4-54adb9d0e84a}"/>
    <d v="2020-06-24T13:54:53"/>
    <s v="ccber_user"/>
    <d v="2020-06-24T13:54:53"/>
    <s v="ccber_user"/>
  </r>
  <r>
    <n v="9"/>
    <d v="2020-06-24T00:00:00"/>
    <d v="2020-06-24T06:56:25"/>
    <x v="5"/>
    <n v="1"/>
    <x v="0"/>
    <s v="Vegetation - Tree"/>
    <m/>
    <m/>
    <m/>
    <m/>
    <x v="0"/>
    <m/>
    <m/>
    <m/>
    <m/>
    <m/>
    <m/>
    <m/>
    <m/>
    <m/>
    <m/>
    <m/>
    <m/>
    <m/>
    <m/>
    <m/>
    <s v="{8eff7764-4c52-424a-9668-310aae590c37}"/>
    <d v="2020-06-24T13:56:25"/>
    <s v="ccber_user"/>
    <d v="2020-06-24T13:56:25"/>
    <s v="ccber_user"/>
  </r>
  <r>
    <n v="10"/>
    <d v="2020-06-24T00:00:00"/>
    <d v="2020-06-24T06:56:38"/>
    <x v="6"/>
    <n v="3"/>
    <x v="0"/>
    <s v="Vegetation - Tree"/>
    <m/>
    <m/>
    <m/>
    <m/>
    <x v="0"/>
    <m/>
    <m/>
    <m/>
    <m/>
    <m/>
    <m/>
    <m/>
    <m/>
    <m/>
    <m/>
    <m/>
    <m/>
    <m/>
    <m/>
    <m/>
    <s v="{9500fa4c-9277-4158-83ee-b6c7f34f1003}"/>
    <d v="2020-06-24T13:56:38"/>
    <s v="ccber_user"/>
    <d v="2020-06-24T13:56:38"/>
    <s v="ccber_user"/>
  </r>
  <r>
    <n v="11"/>
    <d v="2020-06-24T00:00:00"/>
    <d v="2020-06-24T06:58:09"/>
    <x v="1"/>
    <n v="7"/>
    <x v="0"/>
    <s v="Water - Wading"/>
    <m/>
    <m/>
    <m/>
    <m/>
    <x v="0"/>
    <m/>
    <m/>
    <m/>
    <m/>
    <m/>
    <m/>
    <m/>
    <m/>
    <m/>
    <m/>
    <m/>
    <m/>
    <m/>
    <m/>
    <m/>
    <s v="{9ac668c8-7546-42dd-8562-0abb17f16e55}"/>
    <d v="2020-06-24T13:58:09"/>
    <s v="ccber_user"/>
    <d v="2020-06-24T13:58:09"/>
    <s v="ccber_user"/>
  </r>
  <r>
    <n v="12"/>
    <d v="2020-06-24T00:00:00"/>
    <d v="2020-06-24T06:58:40"/>
    <x v="5"/>
    <n v="1"/>
    <x v="0"/>
    <s v="Vegetation - Tree"/>
    <m/>
    <m/>
    <m/>
    <m/>
    <x v="0"/>
    <m/>
    <m/>
    <m/>
    <m/>
    <m/>
    <m/>
    <m/>
    <m/>
    <m/>
    <m/>
    <m/>
    <m/>
    <m/>
    <m/>
    <m/>
    <s v="{291dcb76-db2b-45fb-bdbb-b91751e01ef6}"/>
    <d v="2020-06-24T13:58:40"/>
    <s v="ccber_user"/>
    <d v="2020-06-24T13:58:40"/>
    <s v="ccber_user"/>
  </r>
  <r>
    <n v="13"/>
    <d v="2020-06-24T00:00:00"/>
    <d v="2020-06-24T07:01:28"/>
    <x v="7"/>
    <n v="2"/>
    <x v="0"/>
    <s v="Vegetation - Shrub"/>
    <m/>
    <m/>
    <m/>
    <m/>
    <x v="0"/>
    <m/>
    <m/>
    <m/>
    <m/>
    <m/>
    <m/>
    <m/>
    <m/>
    <m/>
    <m/>
    <m/>
    <m/>
    <m/>
    <m/>
    <m/>
    <s v="{6266f55d-cc3c-4427-8c84-1e12697e329e}"/>
    <d v="2020-06-24T14:01:28"/>
    <s v="ccber_user"/>
    <d v="2020-06-24T14:01:28"/>
    <s v="ccber_user"/>
  </r>
  <r>
    <n v="14"/>
    <d v="2020-06-24T00:00:00"/>
    <d v="2020-06-24T07:07:08"/>
    <x v="8"/>
    <n v="1"/>
    <x v="0"/>
    <s v="Vegetation - Shrub"/>
    <m/>
    <m/>
    <m/>
    <m/>
    <x v="0"/>
    <m/>
    <m/>
    <m/>
    <m/>
    <m/>
    <m/>
    <m/>
    <m/>
    <m/>
    <m/>
    <m/>
    <m/>
    <m/>
    <m/>
    <m/>
    <s v="{7ac90944-236b-427b-b6f4-a99f9b708e9c}"/>
    <d v="2020-06-24T14:07:08"/>
    <s v="ccber_user"/>
    <d v="2020-06-24T14:07:08"/>
    <s v="ccber_user"/>
  </r>
  <r>
    <n v="15"/>
    <d v="2020-06-24T00:00:00"/>
    <d v="2020-06-24T07:08:55"/>
    <x v="8"/>
    <n v="2"/>
    <x v="0"/>
    <s v="Vegetation - Herbaceous"/>
    <m/>
    <m/>
    <m/>
    <m/>
    <x v="0"/>
    <m/>
    <m/>
    <m/>
    <m/>
    <m/>
    <m/>
    <m/>
    <m/>
    <m/>
    <m/>
    <m/>
    <m/>
    <m/>
    <m/>
    <m/>
    <s v="{f9d019de-62c1-4c2a-be22-cdccdf26b5b2}"/>
    <d v="2020-06-24T14:08:55"/>
    <s v="ccber_user"/>
    <d v="2020-06-24T14:08:55"/>
    <s v="ccber_user"/>
  </r>
  <r>
    <n v="16"/>
    <d v="2020-06-24T00:00:00"/>
    <d v="2020-06-24T07:10:28"/>
    <x v="9"/>
    <n v="2"/>
    <x v="0"/>
    <s v="Vegetation - Tree"/>
    <m/>
    <m/>
    <m/>
    <m/>
    <x v="0"/>
    <m/>
    <m/>
    <m/>
    <m/>
    <m/>
    <m/>
    <m/>
    <m/>
    <m/>
    <m/>
    <m/>
    <m/>
    <m/>
    <m/>
    <m/>
    <s v="{46c87461-cd1f-4645-b2ea-d172f3209da1}"/>
    <d v="2020-06-24T14:10:28"/>
    <s v="ccber_user"/>
    <d v="2020-06-24T14:10:57"/>
    <s v="ccber_user"/>
  </r>
  <r>
    <n v="17"/>
    <d v="2020-06-24T00:00:00"/>
    <d v="2020-06-24T07:13:42"/>
    <x v="6"/>
    <n v="2"/>
    <x v="0"/>
    <s v="Vegetation - Tree"/>
    <m/>
    <s v="Feeding/Begging"/>
    <m/>
    <m/>
    <x v="0"/>
    <m/>
    <m/>
    <m/>
    <m/>
    <m/>
    <m/>
    <m/>
    <m/>
    <m/>
    <m/>
    <m/>
    <m/>
    <m/>
    <m/>
    <m/>
    <s v="{f65068de-dd70-48e2-8b86-1b5fc3c96b60}"/>
    <d v="2020-06-24T14:13:42"/>
    <s v="ccber_user"/>
    <d v="2020-06-24T14:13:42"/>
    <s v="ccber_user"/>
  </r>
  <r>
    <n v="18"/>
    <d v="2020-06-24T00:00:00"/>
    <d v="2020-06-24T07:15:58"/>
    <x v="3"/>
    <n v="10"/>
    <x v="0"/>
    <s v="Air"/>
    <m/>
    <m/>
    <m/>
    <m/>
    <x v="0"/>
    <m/>
    <m/>
    <m/>
    <m/>
    <m/>
    <m/>
    <m/>
    <m/>
    <m/>
    <m/>
    <m/>
    <m/>
    <m/>
    <m/>
    <m/>
    <s v="{16c6d426-4356-448a-bcce-1da32dc758af}"/>
    <d v="2020-06-24T14:15:58"/>
    <s v="ccber_user"/>
    <d v="2020-06-24T14:15:58"/>
    <s v="ccber_user"/>
  </r>
  <r>
    <n v="19"/>
    <d v="2020-06-24T00:00:00"/>
    <d v="2020-06-24T07:18:04"/>
    <x v="10"/>
    <n v="1"/>
    <x v="0"/>
    <s v="Vegetation - Tree"/>
    <m/>
    <m/>
    <m/>
    <m/>
    <x v="0"/>
    <m/>
    <m/>
    <m/>
    <m/>
    <m/>
    <m/>
    <m/>
    <m/>
    <m/>
    <m/>
    <m/>
    <m/>
    <m/>
    <m/>
    <m/>
    <s v="{a3ba7927-4cf2-4b1c-81ec-61ef7940f84a}"/>
    <d v="2020-06-24T14:18:04"/>
    <s v="ccber_user"/>
    <d v="2020-06-24T14:18:04"/>
    <s v="ccber_user"/>
  </r>
  <r>
    <n v="20"/>
    <d v="2020-06-24T00:00:00"/>
    <d v="2020-06-24T07:20:29"/>
    <x v="2"/>
    <n v="1"/>
    <x v="0"/>
    <s v="Air"/>
    <m/>
    <m/>
    <m/>
    <m/>
    <x v="0"/>
    <m/>
    <m/>
    <m/>
    <m/>
    <m/>
    <m/>
    <m/>
    <m/>
    <m/>
    <m/>
    <m/>
    <m/>
    <m/>
    <m/>
    <m/>
    <s v="{79652c08-6430-46c7-a9cb-317925c1e0f4}"/>
    <d v="2020-06-24T14:20:29"/>
    <s v="ccber_user"/>
    <d v="2020-06-24T14:20:29"/>
    <s v="ccber_user"/>
  </r>
  <r>
    <n v="21"/>
    <d v="2020-06-24T00:00:00"/>
    <d v="2020-06-24T07:20:42"/>
    <x v="8"/>
    <n v="1"/>
    <x v="0"/>
    <s v="Bare ground"/>
    <m/>
    <m/>
    <m/>
    <m/>
    <x v="0"/>
    <m/>
    <m/>
    <m/>
    <m/>
    <m/>
    <m/>
    <m/>
    <m/>
    <m/>
    <m/>
    <m/>
    <m/>
    <m/>
    <m/>
    <m/>
    <s v="{aab61deb-b179-4736-ad3f-3bd7491543bd}"/>
    <d v="2020-06-24T14:20:42"/>
    <s v="ccber_user"/>
    <d v="2020-06-24T14:20:42"/>
    <s v="ccber_user"/>
  </r>
  <r>
    <n v="22"/>
    <d v="2020-06-24T00:00:00"/>
    <d v="2020-06-24T07:23:22"/>
    <x v="4"/>
    <n v="1"/>
    <x v="0"/>
    <s v="Air"/>
    <m/>
    <m/>
    <m/>
    <m/>
    <x v="0"/>
    <m/>
    <m/>
    <m/>
    <m/>
    <m/>
    <m/>
    <m/>
    <m/>
    <m/>
    <m/>
    <m/>
    <m/>
    <m/>
    <m/>
    <m/>
    <s v="{f4aaf70a-67f7-4229-b4e4-d600a149e42f}"/>
    <d v="2020-06-24T14:23:22"/>
    <s v="ccber_user"/>
    <d v="2020-06-24T14:23:22"/>
    <s v="ccber_user"/>
  </r>
  <r>
    <n v="23"/>
    <d v="2020-06-24T00:00:00"/>
    <d v="2020-06-24T07:24:06"/>
    <x v="11"/>
    <n v="3"/>
    <x v="0"/>
    <s v="Vegetation - Shrub"/>
    <m/>
    <m/>
    <m/>
    <m/>
    <x v="0"/>
    <m/>
    <m/>
    <m/>
    <m/>
    <m/>
    <m/>
    <m/>
    <m/>
    <m/>
    <m/>
    <m/>
    <m/>
    <m/>
    <m/>
    <m/>
    <s v="{8eed6552-6707-4c34-96e3-275a35e1dc94}"/>
    <d v="2020-06-24T14:24:06"/>
    <s v="ccber_user"/>
    <d v="2020-06-24T14:24:06"/>
    <s v="ccber_user"/>
  </r>
  <r>
    <n v="24"/>
    <d v="2020-06-24T00:00:00"/>
    <d v="2020-06-24T07:25:49"/>
    <x v="1"/>
    <n v="8"/>
    <x v="0"/>
    <s v="Water - Floating"/>
    <m/>
    <m/>
    <m/>
    <m/>
    <x v="0"/>
    <m/>
    <m/>
    <m/>
    <m/>
    <m/>
    <m/>
    <m/>
    <m/>
    <m/>
    <m/>
    <m/>
    <m/>
    <m/>
    <m/>
    <m/>
    <s v="{14825c75-2a2a-40ba-bb1d-cd831352e147}"/>
    <d v="2020-06-24T14:25:49"/>
    <s v="ccber_user"/>
    <d v="2020-06-24T14:34:08"/>
    <s v="ccber_user"/>
  </r>
  <r>
    <n v="25"/>
    <d v="2020-06-24T00:00:00"/>
    <d v="2020-06-24T07:35:34"/>
    <x v="12"/>
    <n v="1"/>
    <x v="0"/>
    <s v="Bare ground"/>
    <m/>
    <m/>
    <m/>
    <m/>
    <x v="0"/>
    <m/>
    <m/>
    <m/>
    <m/>
    <m/>
    <m/>
    <m/>
    <m/>
    <m/>
    <m/>
    <m/>
    <m/>
    <m/>
    <m/>
    <m/>
    <s v="{196de3ef-118f-446f-ac19-0c02a1eaa2e7}"/>
    <d v="2020-06-24T14:35:34"/>
    <s v="ccber_user"/>
    <d v="2020-06-24T14:35:34"/>
    <s v="ccber_user"/>
  </r>
  <r>
    <n v="26"/>
    <d v="2020-06-24T00:00:00"/>
    <d v="2020-06-24T07:36:41"/>
    <x v="3"/>
    <n v="2"/>
    <x v="0"/>
    <s v="Air"/>
    <m/>
    <m/>
    <m/>
    <m/>
    <x v="0"/>
    <m/>
    <m/>
    <m/>
    <m/>
    <m/>
    <m/>
    <m/>
    <m/>
    <m/>
    <m/>
    <m/>
    <m/>
    <m/>
    <m/>
    <m/>
    <s v="{15eec7e1-8b84-4738-a15f-352be2282b36}"/>
    <d v="2020-06-24T14:36:41"/>
    <s v="ccber_user"/>
    <d v="2020-06-24T14:36:41"/>
    <s v="ccber_user"/>
  </r>
  <r>
    <n v="27"/>
    <d v="2020-06-24T00:00:00"/>
    <d v="2020-06-24T07:41:41"/>
    <x v="13"/>
    <n v="1"/>
    <x v="0"/>
    <s v="Water - Floating"/>
    <m/>
    <m/>
    <m/>
    <m/>
    <x v="0"/>
    <m/>
    <m/>
    <m/>
    <m/>
    <m/>
    <m/>
    <m/>
    <m/>
    <m/>
    <m/>
    <m/>
    <m/>
    <m/>
    <m/>
    <m/>
    <s v="{37da5031-7640-4401-9be8-dced261d0e61}"/>
    <d v="2020-06-24T14:41:41"/>
    <s v="ccber_user"/>
    <d v="2020-06-24T14:41:41"/>
    <s v="ccber_user"/>
  </r>
  <r>
    <n v="28"/>
    <d v="2020-06-24T00:00:00"/>
    <d v="2020-06-24T07:44:19"/>
    <x v="8"/>
    <n v="1"/>
    <x v="0"/>
    <s v="Vegetation - Shrub"/>
    <m/>
    <m/>
    <m/>
    <m/>
    <x v="0"/>
    <m/>
    <m/>
    <m/>
    <m/>
    <m/>
    <m/>
    <m/>
    <m/>
    <m/>
    <m/>
    <m/>
    <m/>
    <m/>
    <m/>
    <m/>
    <s v="{e9251fed-5643-4669-903e-43578694e6e4}"/>
    <d v="2020-06-24T14:44:19"/>
    <s v="ccber_user"/>
    <d v="2020-06-24T14:44:19"/>
    <s v="ccber_user"/>
  </r>
  <r>
    <n v="29"/>
    <d v="2020-06-24T00:00:00"/>
    <d v="2020-06-24T07:48:30"/>
    <x v="14"/>
    <n v="1"/>
    <x v="0"/>
    <s v="Mud"/>
    <m/>
    <m/>
    <m/>
    <m/>
    <x v="0"/>
    <m/>
    <m/>
    <m/>
    <m/>
    <m/>
    <m/>
    <m/>
    <m/>
    <m/>
    <m/>
    <m/>
    <m/>
    <m/>
    <m/>
    <m/>
    <s v="{6544d88e-63d5-4f5e-b55c-203ca746ebed}"/>
    <d v="2020-06-24T14:48:30"/>
    <s v="ccber_user"/>
    <d v="2020-06-24T14:48:30"/>
    <s v="ccber_user"/>
  </r>
  <r>
    <n v="30"/>
    <d v="2020-06-24T00:00:00"/>
    <d v="2020-06-24T07:48:47"/>
    <x v="15"/>
    <n v="3"/>
    <x v="0"/>
    <s v="Mud"/>
    <m/>
    <m/>
    <m/>
    <m/>
    <x v="0"/>
    <m/>
    <m/>
    <m/>
    <m/>
    <m/>
    <m/>
    <m/>
    <m/>
    <m/>
    <m/>
    <m/>
    <m/>
    <m/>
    <m/>
    <m/>
    <s v="{9bb42343-ee73-42a5-bdae-bfea42e4a908}"/>
    <d v="2020-06-24T14:48:47"/>
    <s v="ccber_user"/>
    <d v="2020-06-24T14:48:47"/>
    <s v="ccber_user"/>
  </r>
  <r>
    <n v="31"/>
    <d v="2020-06-24T00:00:00"/>
    <d v="2020-06-24T07:52:10"/>
    <x v="16"/>
    <n v="1"/>
    <x v="0"/>
    <s v="Mud"/>
    <m/>
    <m/>
    <m/>
    <m/>
    <x v="0"/>
    <m/>
    <m/>
    <m/>
    <m/>
    <m/>
    <m/>
    <m/>
    <m/>
    <m/>
    <m/>
    <m/>
    <m/>
    <m/>
    <m/>
    <m/>
    <s v="{e2845246-06a6-41f8-9181-4767f78071b2}"/>
    <d v="2020-06-24T14:52:10"/>
    <s v="ccber_user"/>
    <d v="2020-06-24T14:52:10"/>
    <s v="ccber_user"/>
  </r>
  <r>
    <n v="32"/>
    <d v="2020-06-24T00:00:00"/>
    <d v="2020-06-24T07:52:26"/>
    <x v="12"/>
    <n v="2"/>
    <x v="0"/>
    <s v="Air"/>
    <m/>
    <m/>
    <m/>
    <m/>
    <x v="0"/>
    <m/>
    <m/>
    <m/>
    <m/>
    <m/>
    <m/>
    <m/>
    <m/>
    <m/>
    <m/>
    <m/>
    <m/>
    <m/>
    <m/>
    <m/>
    <s v="{fafcc6a6-2879-41b1-bcac-7e9ed2d8ca3b}"/>
    <d v="2020-06-24T14:52:26"/>
    <s v="ccber_user"/>
    <d v="2020-06-24T14:52:26"/>
    <s v="ccber_user"/>
  </r>
  <r>
    <n v="33"/>
    <d v="2020-06-24T00:00:00"/>
    <d v="2020-06-24T07:53:04"/>
    <x v="6"/>
    <n v="2"/>
    <x v="0"/>
    <s v="Vegetation - Shrub"/>
    <m/>
    <m/>
    <m/>
    <m/>
    <x v="0"/>
    <m/>
    <m/>
    <m/>
    <m/>
    <m/>
    <m/>
    <m/>
    <m/>
    <m/>
    <m/>
    <m/>
    <m/>
    <m/>
    <m/>
    <m/>
    <s v="{3331d7fb-c6f3-4ae1-b740-18280d34d076}"/>
    <d v="2020-06-24T14:53:04"/>
    <s v="ccber_user"/>
    <d v="2020-06-24T14:53:04"/>
    <s v="ccber_user"/>
  </r>
  <r>
    <n v="34"/>
    <d v="2020-06-24T00:00:00"/>
    <d v="2020-06-24T07:54:28"/>
    <x v="17"/>
    <n v="2"/>
    <x v="0"/>
    <s v="Vegetation - Herbaceous"/>
    <m/>
    <m/>
    <m/>
    <m/>
    <x v="0"/>
    <m/>
    <m/>
    <m/>
    <m/>
    <m/>
    <m/>
    <m/>
    <m/>
    <m/>
    <m/>
    <m/>
    <m/>
    <m/>
    <m/>
    <m/>
    <s v="{81a843e3-a593-4e15-99d1-842c3f176c13}"/>
    <d v="2020-06-24T14:54:28"/>
    <s v="ccber_user"/>
    <d v="2020-06-24T14:54:28"/>
    <s v="ccber_user"/>
  </r>
  <r>
    <n v="35"/>
    <d v="2020-06-24T00:00:00"/>
    <d v="2020-06-24T07:56:02"/>
    <x v="17"/>
    <n v="2"/>
    <x v="0"/>
    <s v="Vegetation - Herbaceous"/>
    <m/>
    <s v="Feeding/Begging"/>
    <s v="two begging hub and two adults"/>
    <m/>
    <x v="0"/>
    <m/>
    <m/>
    <m/>
    <m/>
    <m/>
    <m/>
    <m/>
    <m/>
    <m/>
    <m/>
    <m/>
    <m/>
    <m/>
    <m/>
    <m/>
    <s v="{5ed273ea-9bd6-4655-acb3-695972c02f7e}"/>
    <d v="2020-06-24T14:56:02"/>
    <s v="ccber_user"/>
    <d v="2020-06-24T14:56:02"/>
    <s v="ccber_user"/>
  </r>
  <r>
    <n v="36"/>
    <d v="2020-06-24T00:00:00"/>
    <d v="2020-06-24T07:58:09"/>
    <x v="17"/>
    <n v="1"/>
    <x v="0"/>
    <s v="Vegetation - Shrub"/>
    <m/>
    <m/>
    <m/>
    <m/>
    <x v="0"/>
    <m/>
    <m/>
    <m/>
    <m/>
    <m/>
    <m/>
    <m/>
    <m/>
    <m/>
    <m/>
    <m/>
    <m/>
    <m/>
    <m/>
    <m/>
    <s v="{31d226f4-56ba-46ff-a8c9-d690936c5d60}"/>
    <d v="2020-06-24T14:58:09"/>
    <s v="ccber_user"/>
    <d v="2020-06-24T14:58:09"/>
    <s v="ccber_user"/>
  </r>
  <r>
    <n v="37"/>
    <d v="2020-06-24T00:00:00"/>
    <d v="2020-06-24T07:59:00"/>
    <x v="18"/>
    <n v="1"/>
    <x v="0"/>
    <s v="Mud"/>
    <m/>
    <m/>
    <m/>
    <m/>
    <x v="0"/>
    <m/>
    <m/>
    <m/>
    <m/>
    <m/>
    <m/>
    <m/>
    <m/>
    <m/>
    <m/>
    <m/>
    <m/>
    <m/>
    <m/>
    <m/>
    <s v="{f9755946-f3ed-49bc-ab77-c448a4e0770d}"/>
    <d v="2020-06-24T14:59:00"/>
    <s v="ccber_user"/>
    <d v="2020-06-24T14:59:00"/>
    <s v="ccber_user"/>
  </r>
  <r>
    <n v="38"/>
    <d v="2020-06-24T00:00:00"/>
    <d v="2020-06-24T07:59:15"/>
    <x v="1"/>
    <n v="5"/>
    <x v="0"/>
    <s v="Mud"/>
    <m/>
    <m/>
    <m/>
    <m/>
    <x v="0"/>
    <m/>
    <m/>
    <m/>
    <m/>
    <m/>
    <m/>
    <m/>
    <m/>
    <m/>
    <m/>
    <m/>
    <m/>
    <m/>
    <m/>
    <m/>
    <s v="{b779997f-8b27-4b07-97d7-4e73cc907cb5}"/>
    <d v="2020-06-24T14:59:15"/>
    <s v="ccber_user"/>
    <d v="2020-06-24T14:59:15"/>
    <s v="ccber_user"/>
  </r>
  <r>
    <n v="39"/>
    <d v="2020-06-24T00:00:00"/>
    <d v="2020-06-24T08:01:11"/>
    <x v="19"/>
    <n v="1"/>
    <x v="0"/>
    <s v="Vegetation - Tree"/>
    <m/>
    <m/>
    <m/>
    <m/>
    <x v="0"/>
    <m/>
    <m/>
    <m/>
    <m/>
    <m/>
    <m/>
    <m/>
    <m/>
    <m/>
    <m/>
    <m/>
    <m/>
    <m/>
    <m/>
    <m/>
    <s v="{6e47767a-276c-4824-ae55-b90583014ae2}"/>
    <d v="2020-06-24T15:01:11"/>
    <s v="ccber_user"/>
    <d v="2020-06-24T15:01:11"/>
    <s v="ccber_user"/>
  </r>
  <r>
    <n v="40"/>
    <d v="2020-06-24T00:00:00"/>
    <d v="2020-06-24T08:03:06"/>
    <x v="20"/>
    <n v="6"/>
    <x v="1"/>
    <s v="Mud"/>
    <m/>
    <s v="Other"/>
    <s v="4 adults and 3 juveniles"/>
    <m/>
    <x v="0"/>
    <m/>
    <m/>
    <m/>
    <m/>
    <m/>
    <m/>
    <m/>
    <m/>
    <m/>
    <m/>
    <m/>
    <m/>
    <m/>
    <m/>
    <m/>
    <s v="{3ae13a33-2bd6-4813-859e-d2666898e6c5}"/>
    <d v="2020-06-24T15:03:06"/>
    <s v="ccber_user"/>
    <d v="2020-06-24T15:51:59"/>
    <s v="ccber_user"/>
  </r>
  <r>
    <n v="41"/>
    <d v="2020-06-24T00:00:00"/>
    <d v="2020-06-24T08:04:21"/>
    <x v="1"/>
    <n v="5"/>
    <x v="0"/>
    <s v="Water - Floating"/>
    <m/>
    <m/>
    <m/>
    <m/>
    <x v="0"/>
    <m/>
    <m/>
    <m/>
    <m/>
    <m/>
    <m/>
    <m/>
    <m/>
    <m/>
    <m/>
    <m/>
    <m/>
    <m/>
    <m/>
    <m/>
    <s v="{4100ef0a-2a9a-4294-831d-fd9df9970d57}"/>
    <d v="2020-06-24T15:04:21"/>
    <s v="ccber_user"/>
    <d v="2020-06-24T15:04:21"/>
    <s v="ccber_user"/>
  </r>
  <r>
    <n v="42"/>
    <d v="2020-06-24T00:00:00"/>
    <d v="2020-06-24T08:04:51"/>
    <x v="0"/>
    <n v="1"/>
    <x v="0"/>
    <s v="Vegetation - Shrub"/>
    <m/>
    <m/>
    <m/>
    <m/>
    <x v="0"/>
    <m/>
    <m/>
    <m/>
    <m/>
    <m/>
    <m/>
    <m/>
    <m/>
    <m/>
    <m/>
    <m/>
    <m/>
    <m/>
    <m/>
    <m/>
    <s v="{3d85140e-7a64-4184-afa4-ae40a753ac5c}"/>
    <d v="2020-06-24T15:04:51"/>
    <s v="ccber_user"/>
    <d v="2020-06-24T15:04:51"/>
    <s v="ccber_user"/>
  </r>
  <r>
    <n v="43"/>
    <d v="2020-06-24T00:00:00"/>
    <d v="2020-06-24T08:05:50"/>
    <x v="8"/>
    <n v="1"/>
    <x v="0"/>
    <s v="Vegetation - Shrub"/>
    <m/>
    <m/>
    <m/>
    <m/>
    <x v="0"/>
    <m/>
    <m/>
    <m/>
    <m/>
    <m/>
    <m/>
    <m/>
    <m/>
    <m/>
    <m/>
    <m/>
    <m/>
    <m/>
    <m/>
    <m/>
    <s v="{8eeb0fad-0f37-4531-b1d9-085b334c4748}"/>
    <d v="2020-06-24T15:05:50"/>
    <s v="ccber_user"/>
    <d v="2020-06-24T15:05:50"/>
    <s v="ccber_user"/>
  </r>
  <r>
    <n v="44"/>
    <d v="2020-06-24T00:00:00"/>
    <d v="2020-06-24T08:06:42"/>
    <x v="16"/>
    <n v="1"/>
    <x v="0"/>
    <s v="Habitat Feature - Log"/>
    <m/>
    <m/>
    <m/>
    <m/>
    <x v="0"/>
    <m/>
    <m/>
    <m/>
    <m/>
    <m/>
    <m/>
    <m/>
    <m/>
    <m/>
    <m/>
    <m/>
    <m/>
    <m/>
    <m/>
    <m/>
    <s v="{3effa0f2-2512-4ad5-a796-62a2df732b76}"/>
    <d v="2020-06-24T15:06:42"/>
    <s v="ccber_user"/>
    <d v="2020-06-24T15:06:42"/>
    <s v="ccber_user"/>
  </r>
  <r>
    <n v="45"/>
    <d v="2020-06-24T00:00:00"/>
    <d v="2020-06-24T08:10:15"/>
    <x v="3"/>
    <n v="3"/>
    <x v="0"/>
    <s v="Air"/>
    <m/>
    <m/>
    <m/>
    <m/>
    <x v="0"/>
    <m/>
    <m/>
    <m/>
    <m/>
    <m/>
    <m/>
    <m/>
    <m/>
    <m/>
    <m/>
    <m/>
    <m/>
    <m/>
    <m/>
    <m/>
    <s v="{cf1acd2c-9d44-4114-bc90-bf0aba5d5f50}"/>
    <d v="2020-06-24T15:10:15"/>
    <s v="ccber_user"/>
    <d v="2020-06-24T15:10:15"/>
    <s v="ccber_user"/>
  </r>
  <r>
    <n v="46"/>
    <d v="2020-06-24T00:00:00"/>
    <d v="2020-06-24T08:10:38"/>
    <x v="21"/>
    <n v="3"/>
    <x v="0"/>
    <s v="Building"/>
    <m/>
    <m/>
    <m/>
    <m/>
    <x v="0"/>
    <m/>
    <m/>
    <m/>
    <m/>
    <m/>
    <m/>
    <m/>
    <m/>
    <m/>
    <m/>
    <m/>
    <m/>
    <m/>
    <m/>
    <m/>
    <s v="{aeba81ed-3b20-4021-aca0-3977e75c4059}"/>
    <d v="2020-06-24T15:10:38"/>
    <s v="ccber_user"/>
    <d v="2020-06-24T15:10:38"/>
    <s v="ccber_user"/>
  </r>
  <r>
    <n v="47"/>
    <d v="2020-06-24T00:00:00"/>
    <d v="2020-06-24T08:11:52"/>
    <x v="7"/>
    <n v="2"/>
    <x v="0"/>
    <s v="Vegetation - Herbaceous"/>
    <m/>
    <m/>
    <m/>
    <m/>
    <x v="0"/>
    <m/>
    <m/>
    <m/>
    <m/>
    <m/>
    <m/>
    <m/>
    <m/>
    <m/>
    <m/>
    <m/>
    <m/>
    <m/>
    <m/>
    <m/>
    <s v="{15921797-5a61-4934-a153-132d3aeb0ac2}"/>
    <d v="2020-06-24T15:11:52"/>
    <s v="ccber_user"/>
    <d v="2020-06-24T15:11:52"/>
    <s v="ccber_user"/>
  </r>
  <r>
    <n v="48"/>
    <d v="2020-06-24T00:00:00"/>
    <d v="2020-06-24T08:15:08"/>
    <x v="0"/>
    <n v="5"/>
    <x v="0"/>
    <s v="Vegetation - Herbaceous"/>
    <m/>
    <m/>
    <m/>
    <m/>
    <x v="0"/>
    <m/>
    <m/>
    <m/>
    <m/>
    <m/>
    <m/>
    <m/>
    <m/>
    <m/>
    <m/>
    <m/>
    <m/>
    <m/>
    <m/>
    <m/>
    <s v="{306d4b85-74a4-421f-ac15-fd0c771fd90f}"/>
    <d v="2020-06-24T15:15:08"/>
    <s v="ccber_user"/>
    <d v="2020-06-24T15:15:08"/>
    <s v="ccber_user"/>
  </r>
  <r>
    <n v="49"/>
    <d v="2020-06-24T00:00:00"/>
    <d v="2020-06-24T08:15:30"/>
    <x v="3"/>
    <n v="180"/>
    <x v="0"/>
    <s v="Air"/>
    <m/>
    <m/>
    <m/>
    <m/>
    <x v="0"/>
    <m/>
    <m/>
    <m/>
    <m/>
    <m/>
    <m/>
    <m/>
    <m/>
    <m/>
    <m/>
    <m/>
    <m/>
    <m/>
    <m/>
    <m/>
    <s v="{6ebc5ff2-a868-4e4f-8bb6-e17993832004}"/>
    <d v="2020-06-24T15:15:30"/>
    <s v="ccber_user"/>
    <d v="2020-06-24T15:33:44"/>
    <s v="ccber_user"/>
  </r>
  <r>
    <n v="50"/>
    <d v="2020-06-24T00:00:00"/>
    <d v="2020-06-24T08:16:21"/>
    <x v="0"/>
    <n v="5"/>
    <x v="0"/>
    <s v="Vegetation - Shrub"/>
    <m/>
    <m/>
    <m/>
    <m/>
    <x v="0"/>
    <m/>
    <m/>
    <m/>
    <m/>
    <m/>
    <m/>
    <m/>
    <m/>
    <m/>
    <m/>
    <m/>
    <m/>
    <m/>
    <m/>
    <m/>
    <s v="{8fc6bd37-5626-4c6d-9c1c-63649458cadf}"/>
    <d v="2020-06-24T15:16:21"/>
    <s v="ccber_user"/>
    <d v="2020-06-24T15:16:21"/>
    <s v="ccber_user"/>
  </r>
  <r>
    <n v="51"/>
    <d v="2020-06-24T00:00:00"/>
    <d v="2020-06-24T08:17:11"/>
    <x v="22"/>
    <n v="10"/>
    <x v="0"/>
    <s v="Bare ground"/>
    <m/>
    <m/>
    <m/>
    <m/>
    <x v="0"/>
    <m/>
    <m/>
    <m/>
    <m/>
    <m/>
    <m/>
    <m/>
    <m/>
    <m/>
    <m/>
    <m/>
    <m/>
    <m/>
    <m/>
    <m/>
    <s v="{6332ff7c-1501-4be1-9ffa-b35abf7db391}"/>
    <d v="2020-06-24T15:17:11"/>
    <s v="ccber_user"/>
    <d v="2020-06-24T15:17:11"/>
    <s v="ccber_user"/>
  </r>
  <r>
    <n v="52"/>
    <d v="2020-06-24T00:00:00"/>
    <d v="2020-06-24T08:17:24"/>
    <x v="16"/>
    <n v="1"/>
    <x v="0"/>
    <s v="Mud"/>
    <m/>
    <m/>
    <m/>
    <m/>
    <x v="0"/>
    <m/>
    <m/>
    <m/>
    <m/>
    <m/>
    <m/>
    <m/>
    <m/>
    <m/>
    <m/>
    <m/>
    <m/>
    <m/>
    <m/>
    <m/>
    <s v="{f053ea82-bc0e-431b-9ad8-7b257230f88e}"/>
    <d v="2020-06-24T15:17:24"/>
    <s v="ccber_user"/>
    <d v="2020-06-24T15:17:24"/>
    <s v="ccber_user"/>
  </r>
  <r>
    <n v="53"/>
    <d v="2020-06-24T00:00:00"/>
    <d v="2020-06-24T08:22:16"/>
    <x v="8"/>
    <n v="1"/>
    <x v="0"/>
    <s v="Bare ground"/>
    <m/>
    <m/>
    <m/>
    <m/>
    <x v="0"/>
    <m/>
    <m/>
    <m/>
    <m/>
    <m/>
    <m/>
    <m/>
    <m/>
    <m/>
    <m/>
    <m/>
    <m/>
    <m/>
    <m/>
    <m/>
    <s v="{66edf691-b986-4d8e-8e6a-8293cf702ace}"/>
    <d v="2020-06-24T15:22:16"/>
    <s v="ccber_user"/>
    <d v="2020-06-24T15:22:16"/>
    <s v="ccber_user"/>
  </r>
  <r>
    <n v="54"/>
    <d v="2020-06-24T00:00:00"/>
    <d v="2020-06-24T08:22:52"/>
    <x v="2"/>
    <n v="1"/>
    <x v="0"/>
    <s v="Air"/>
    <m/>
    <m/>
    <m/>
    <m/>
    <x v="0"/>
    <m/>
    <m/>
    <m/>
    <m/>
    <m/>
    <m/>
    <m/>
    <m/>
    <m/>
    <m/>
    <m/>
    <m/>
    <m/>
    <m/>
    <m/>
    <s v="{67fe9956-ae28-4041-a036-e6a18eadbc95}"/>
    <d v="2020-06-24T15:22:52"/>
    <s v="ccber_user"/>
    <d v="2020-06-24T15:22:52"/>
    <s v="ccber_user"/>
  </r>
  <r>
    <n v="55"/>
    <d v="2020-06-24T00:00:00"/>
    <d v="2020-06-24T08:23:41"/>
    <x v="21"/>
    <n v="15"/>
    <x v="0"/>
    <s v="Building"/>
    <m/>
    <m/>
    <m/>
    <m/>
    <x v="0"/>
    <m/>
    <m/>
    <m/>
    <m/>
    <m/>
    <m/>
    <m/>
    <m/>
    <m/>
    <m/>
    <m/>
    <m/>
    <m/>
    <m/>
    <m/>
    <s v="{d9340dc3-b54d-4a7d-bb45-cabb13a92164}"/>
    <d v="2020-06-24T15:23:41"/>
    <s v="ccber_user"/>
    <d v="2020-06-24T15:23:41"/>
    <s v="ccber_user"/>
  </r>
  <r>
    <n v="56"/>
    <d v="2020-06-24T00:00:00"/>
    <d v="2020-06-24T08:39:13"/>
    <x v="23"/>
    <n v="1"/>
    <x v="0"/>
    <s v="Vegetation - Shrub"/>
    <m/>
    <m/>
    <m/>
    <m/>
    <x v="0"/>
    <m/>
    <m/>
    <m/>
    <m/>
    <m/>
    <m/>
    <m/>
    <m/>
    <m/>
    <m/>
    <m/>
    <m/>
    <m/>
    <m/>
    <m/>
    <s v="{ebbab497-0584-4469-b98d-0f1b89c9475c}"/>
    <d v="2020-06-24T15:39:13"/>
    <s v="ccber_user"/>
    <d v="2020-06-24T15:39:13"/>
    <s v="ccber_user"/>
  </r>
  <r>
    <n v="57"/>
    <d v="2020-06-24T00:00:00"/>
    <d v="2020-06-24T08:41:08"/>
    <x v="9"/>
    <n v="1"/>
    <x v="0"/>
    <s v="Vegetation - Shrub"/>
    <m/>
    <m/>
    <m/>
    <m/>
    <x v="0"/>
    <m/>
    <m/>
    <m/>
    <m/>
    <m/>
    <m/>
    <m/>
    <m/>
    <m/>
    <m/>
    <m/>
    <m/>
    <m/>
    <m/>
    <m/>
    <s v="{ffd4f58a-c51e-43e6-88b0-5b1b03eef650}"/>
    <d v="2020-06-24T15:41:08"/>
    <s v="ccber_user"/>
    <d v="2020-06-24T15:41:08"/>
    <s v="ccber_user"/>
  </r>
  <r>
    <n v="58"/>
    <d v="2020-06-24T00:00:00"/>
    <d v="2020-06-24T08:51:04"/>
    <x v="18"/>
    <n v="1"/>
    <x v="0"/>
    <s v="Mud"/>
    <m/>
    <m/>
    <m/>
    <m/>
    <x v="0"/>
    <m/>
    <m/>
    <m/>
    <m/>
    <m/>
    <m/>
    <m/>
    <m/>
    <m/>
    <m/>
    <m/>
    <m/>
    <m/>
    <m/>
    <m/>
    <s v="{07f5dfd6-7405-4266-af2d-8c50d0a90661}"/>
    <d v="2020-06-24T15:51:04"/>
    <s v="ccber_user"/>
    <d v="2020-06-24T15:51:04"/>
    <s v="ccber_user"/>
  </r>
  <r>
    <n v="59"/>
    <d v="2020-06-24T00:00:00"/>
    <d v="2020-06-24T09:02:23"/>
    <x v="24"/>
    <n v="2"/>
    <x v="0"/>
    <s v="Vegetation - Tree"/>
    <m/>
    <s v="Other"/>
    <s v="birds in nest looks like fledgling"/>
    <m/>
    <x v="0"/>
    <m/>
    <m/>
    <m/>
    <m/>
    <m/>
    <m/>
    <m/>
    <m/>
    <m/>
    <m/>
    <m/>
    <m/>
    <m/>
    <m/>
    <m/>
    <s v="{c4948e69-264b-41d5-a8e0-cb5282d1217d}"/>
    <d v="2020-06-24T16:02:23"/>
    <s v="ccber_user"/>
    <d v="2020-06-24T16:02:23"/>
    <s v="ccber_user"/>
  </r>
  <r>
    <n v="60"/>
    <d v="2020-06-24T00:00:00"/>
    <d v="2020-06-24T09:09:25"/>
    <x v="25"/>
    <n v="3"/>
    <x v="0"/>
    <s v="Air"/>
    <m/>
    <m/>
    <m/>
    <m/>
    <x v="0"/>
    <m/>
    <m/>
    <m/>
    <m/>
    <m/>
    <m/>
    <m/>
    <m/>
    <m/>
    <m/>
    <m/>
    <m/>
    <m/>
    <m/>
    <m/>
    <s v="{d6b11864-5817-4e96-af17-cf3b8b853631}"/>
    <d v="2020-06-24T16:09:25"/>
    <s v="ccber_user"/>
    <d v="2020-06-24T16:09:25"/>
    <s v="ccber_user"/>
  </r>
  <r>
    <n v="61"/>
    <d v="2020-06-24T00:00:00"/>
    <d v="2020-06-24T09:10:08"/>
    <x v="6"/>
    <n v="3"/>
    <x v="0"/>
    <s v="Bare ground"/>
    <m/>
    <m/>
    <m/>
    <m/>
    <x v="0"/>
    <m/>
    <s v="913"/>
    <m/>
    <m/>
    <m/>
    <m/>
    <m/>
    <m/>
    <n v="62"/>
    <n v="100"/>
    <s v="Low"/>
    <s v="None"/>
    <m/>
    <m/>
    <m/>
    <s v="{6dd22daf-4f9e-407e-ab43-539142224295}"/>
    <d v="2020-06-24T16:10:08"/>
    <s v="ccber_user"/>
    <d v="2020-06-24T16:13:36"/>
    <s v="ccber_user"/>
  </r>
  <r>
    <n v="62"/>
    <d v="2020-06-24T00:00:00"/>
    <d v="2020-06-24T06:48:03"/>
    <x v="0"/>
    <n v="2"/>
    <x v="0"/>
    <s v="Vegetation - Shrub"/>
    <m/>
    <m/>
    <m/>
    <m/>
    <x v="1"/>
    <m/>
    <m/>
    <m/>
    <m/>
    <m/>
    <m/>
    <m/>
    <m/>
    <m/>
    <m/>
    <m/>
    <m/>
    <m/>
    <m/>
    <m/>
    <s v="{1eecc0a1-559a-4f55-8453-ad2652e59a8d}"/>
    <d v="2020-06-24T13:48:03"/>
    <s v="clark@ccber.ucsb.edu_ucsb"/>
    <d v="2020-06-24T13:48:03"/>
    <s v="clark@ccber.ucsb.edu_ucsb"/>
  </r>
  <r>
    <n v="63"/>
    <d v="2020-06-24T00:00:00"/>
    <d v="2020-06-24T06:54:35"/>
    <x v="26"/>
    <n v="2"/>
    <x v="0"/>
    <s v="Bare ground"/>
    <m/>
    <s v="Other"/>
    <s v="parent brooding fledgling "/>
    <m/>
    <x v="1"/>
    <m/>
    <m/>
    <m/>
    <m/>
    <m/>
    <m/>
    <m/>
    <m/>
    <m/>
    <m/>
    <m/>
    <m/>
    <m/>
    <m/>
    <m/>
    <s v="{9fffcab5-2f95-4114-a44c-42ff4f10842a}"/>
    <d v="2020-06-24T13:54:35"/>
    <s v="clark@ccber.ucsb.edu_ucsb"/>
    <d v="2020-06-24T13:54:35"/>
    <s v="clark@ccber.ucsb.edu_ucsb"/>
  </r>
  <r>
    <n v="64"/>
    <d v="2020-06-24T00:00:00"/>
    <d v="2020-06-24T07:00:05"/>
    <x v="2"/>
    <n v="1"/>
    <x v="0"/>
    <s v="Vegetation - Tree"/>
    <m/>
    <m/>
    <m/>
    <m/>
    <x v="1"/>
    <m/>
    <m/>
    <m/>
    <m/>
    <m/>
    <m/>
    <m/>
    <m/>
    <m/>
    <m/>
    <m/>
    <m/>
    <m/>
    <m/>
    <m/>
    <s v="{b164ae44-810f-4ba4-a9a7-cb64d909c4de}"/>
    <d v="2020-06-24T14:00:05"/>
    <s v="clark@ccber.ucsb.edu_ucsb"/>
    <d v="2020-06-24T14:00:05"/>
    <s v="clark@ccber.ucsb.edu_ucsb"/>
  </r>
  <r>
    <n v="65"/>
    <d v="2020-06-24T00:00:00"/>
    <d v="2020-06-24T07:00:21"/>
    <x v="27"/>
    <n v="1"/>
    <x v="0"/>
    <s v="Vegetation - Tree"/>
    <m/>
    <s v="Carrying Nest Material"/>
    <m/>
    <m/>
    <x v="1"/>
    <m/>
    <m/>
    <m/>
    <m/>
    <m/>
    <m/>
    <m/>
    <m/>
    <m/>
    <m/>
    <m/>
    <m/>
    <m/>
    <m/>
    <m/>
    <s v="{682ed706-4245-4856-a957-f669c5a821c6}"/>
    <d v="2020-06-24T14:00:21"/>
    <s v="clark@ccber.ucsb.edu_ucsb"/>
    <d v="2020-06-24T14:01:16"/>
    <s v="clark@ccber.ucsb.edu_ucsb"/>
  </r>
  <r>
    <n v="66"/>
    <d v="2020-06-24T00:00:00"/>
    <d v="2020-06-24T07:11:33"/>
    <x v="16"/>
    <n v="1"/>
    <x v="0"/>
    <s v="Fence"/>
    <m/>
    <m/>
    <m/>
    <m/>
    <x v="1"/>
    <m/>
    <m/>
    <m/>
    <m/>
    <m/>
    <m/>
    <m/>
    <m/>
    <m/>
    <m/>
    <m/>
    <m/>
    <m/>
    <m/>
    <m/>
    <s v="{77473c36-0bbc-45bb-8855-4ec94957a6fb}"/>
    <d v="2020-06-24T14:11:33"/>
    <s v="clark@ccber.ucsb.edu_ucsb"/>
    <d v="2020-06-24T14:11:33"/>
    <s v="clark@ccber.ucsb.edu_ucsb"/>
  </r>
  <r>
    <n v="67"/>
    <d v="2020-06-24T00:00:00"/>
    <d v="2020-06-24T07:11:54"/>
    <x v="28"/>
    <n v="2"/>
    <x v="0"/>
    <s v="Flyover"/>
    <m/>
    <m/>
    <m/>
    <m/>
    <x v="1"/>
    <m/>
    <m/>
    <m/>
    <m/>
    <m/>
    <m/>
    <m/>
    <m/>
    <m/>
    <m/>
    <m/>
    <m/>
    <m/>
    <m/>
    <m/>
    <s v="{5cc996da-22ac-42f8-b1e3-7ff5846c580c}"/>
    <d v="2020-06-24T14:11:54"/>
    <s v="clark@ccber.ucsb.edu_ucsb"/>
    <d v="2020-06-24T14:11:54"/>
    <s v="clark@ccber.ucsb.edu_ucsb"/>
  </r>
  <r>
    <n v="68"/>
    <d v="2020-06-24T00:00:00"/>
    <d v="2020-06-24T07:16:42"/>
    <x v="29"/>
    <n v="5"/>
    <x v="0"/>
    <s v="Other"/>
    <m/>
    <m/>
    <s v="utility wire"/>
    <m/>
    <x v="1"/>
    <m/>
    <m/>
    <m/>
    <m/>
    <m/>
    <m/>
    <m/>
    <m/>
    <m/>
    <m/>
    <m/>
    <m/>
    <m/>
    <m/>
    <m/>
    <s v="{6e37d292-eeb2-4ae6-a133-effe1f531c46}"/>
    <d v="2020-06-24T14:16:42"/>
    <s v="clark@ccber.ucsb.edu_ucsb"/>
    <d v="2020-06-24T14:16:42"/>
    <s v="clark@ccber.ucsb.edu_ucsb"/>
  </r>
  <r>
    <n v="69"/>
    <d v="2020-06-24T00:00:00"/>
    <d v="2020-06-24T07:19:46"/>
    <x v="30"/>
    <n v="1"/>
    <x v="0"/>
    <s v="Vegetation - Herbaceous"/>
    <m/>
    <m/>
    <m/>
    <m/>
    <x v="1"/>
    <m/>
    <m/>
    <m/>
    <m/>
    <m/>
    <m/>
    <m/>
    <m/>
    <m/>
    <m/>
    <m/>
    <m/>
    <m/>
    <m/>
    <m/>
    <s v="{aa1ea6b2-d14f-41d1-8093-514a98daba07}"/>
    <d v="2020-06-24T14:19:46"/>
    <s v="clark@ccber.ucsb.edu_ucsb"/>
    <d v="2020-06-24T14:19:46"/>
    <s v="clark@ccber.ucsb.edu_ucsb"/>
  </r>
  <r>
    <n v="70"/>
    <d v="2020-06-24T00:00:00"/>
    <d v="2020-06-24T07:22:37"/>
    <x v="30"/>
    <n v="1"/>
    <x v="0"/>
    <s v="Vegetation - Herbaceous"/>
    <m/>
    <m/>
    <m/>
    <m/>
    <x v="1"/>
    <m/>
    <m/>
    <m/>
    <m/>
    <m/>
    <m/>
    <m/>
    <m/>
    <m/>
    <m/>
    <m/>
    <m/>
    <m/>
    <m/>
    <m/>
    <s v="{dc874f9d-7694-461e-a46b-bbdc9861675e}"/>
    <d v="2020-06-24T14:22:37"/>
    <s v="clark@ccber.ucsb.edu_ucsb"/>
    <d v="2020-06-24T14:22:37"/>
    <s v="clark@ccber.ucsb.edu_ucsb"/>
  </r>
  <r>
    <n v="71"/>
    <d v="2020-06-24T00:00:00"/>
    <d v="2020-06-24T07:23:45"/>
    <x v="31"/>
    <n v="1"/>
    <x v="0"/>
    <s v="Vegetation - Tree"/>
    <m/>
    <m/>
    <m/>
    <m/>
    <x v="1"/>
    <m/>
    <m/>
    <m/>
    <m/>
    <m/>
    <m/>
    <m/>
    <m/>
    <m/>
    <m/>
    <m/>
    <m/>
    <m/>
    <m/>
    <m/>
    <s v="{a6580527-d5a0-49f3-9070-387c159b8cb4}"/>
    <d v="2020-06-24T14:23:45"/>
    <s v="clark@ccber.ucsb.edu_ucsb"/>
    <d v="2020-06-24T14:23:45"/>
    <s v="clark@ccber.ucsb.edu_ucsb"/>
  </r>
  <r>
    <n v="72"/>
    <d v="2020-06-24T00:00:00"/>
    <d v="2020-06-24T07:24:42"/>
    <x v="32"/>
    <n v="1"/>
    <x v="0"/>
    <s v="Vegetation - Tree"/>
    <m/>
    <m/>
    <m/>
    <m/>
    <x v="1"/>
    <m/>
    <m/>
    <m/>
    <m/>
    <m/>
    <m/>
    <m/>
    <m/>
    <m/>
    <m/>
    <m/>
    <m/>
    <m/>
    <m/>
    <m/>
    <s v="{dbe41028-2cdf-4f29-adf0-b180f2b25354}"/>
    <d v="2020-06-24T14:24:42"/>
    <s v="clark@ccber.ucsb.edu_ucsb"/>
    <d v="2020-06-24T14:24:42"/>
    <s v="clark@ccber.ucsb.edu_ucsb"/>
  </r>
  <r>
    <n v="73"/>
    <d v="2020-06-24T00:00:00"/>
    <d v="2020-06-24T07:26:50"/>
    <x v="30"/>
    <n v="1"/>
    <x v="0"/>
    <s v="Vegetation - Herbaceous"/>
    <m/>
    <m/>
    <m/>
    <m/>
    <x v="1"/>
    <m/>
    <m/>
    <m/>
    <m/>
    <m/>
    <m/>
    <m/>
    <m/>
    <m/>
    <m/>
    <m/>
    <m/>
    <m/>
    <m/>
    <m/>
    <s v="{5c3aae6c-4e84-4f4d-bdc8-517390bcbb32}"/>
    <d v="2020-06-24T14:26:50"/>
    <s v="clark@ccber.ucsb.edu_ucsb"/>
    <d v="2020-06-24T14:26:50"/>
    <s v="clark@ccber.ucsb.edu_ucsb"/>
  </r>
  <r>
    <n v="74"/>
    <d v="2020-06-24T00:00:00"/>
    <d v="2020-06-24T07:27:09"/>
    <x v="33"/>
    <n v="1"/>
    <x v="0"/>
    <s v="Vegetation - Tree"/>
    <m/>
    <m/>
    <m/>
    <m/>
    <x v="1"/>
    <m/>
    <m/>
    <m/>
    <m/>
    <m/>
    <m/>
    <m/>
    <m/>
    <m/>
    <m/>
    <m/>
    <m/>
    <m/>
    <m/>
    <m/>
    <s v="{255577b1-09d8-45c6-9ea9-a18f9c789dd5}"/>
    <d v="2020-06-24T14:27:09"/>
    <s v="clark@ccber.ucsb.edu_ucsb"/>
    <d v="2020-06-24T14:27:09"/>
    <s v="clark@ccber.ucsb.edu_ucsb"/>
  </r>
  <r>
    <n v="75"/>
    <d v="2020-06-24T00:00:00"/>
    <d v="2020-06-24T07:31:37"/>
    <x v="34"/>
    <n v="1"/>
    <x v="0"/>
    <s v="Habitat Feature - Snag"/>
    <m/>
    <m/>
    <m/>
    <m/>
    <x v="1"/>
    <m/>
    <m/>
    <m/>
    <m/>
    <m/>
    <m/>
    <m/>
    <m/>
    <m/>
    <m/>
    <m/>
    <m/>
    <m/>
    <m/>
    <m/>
    <s v="{cbdf94a3-c844-4346-8f0e-4a5568b1561a}"/>
    <d v="2020-06-24T14:31:37"/>
    <s v="clark@ccber.ucsb.edu_ucsb"/>
    <d v="2020-06-24T14:31:37"/>
    <s v="clark@ccber.ucsb.edu_ucsb"/>
  </r>
  <r>
    <n v="76"/>
    <d v="2020-06-24T00:00:00"/>
    <d v="2020-06-24T07:41:52"/>
    <x v="16"/>
    <n v="1"/>
    <x v="0"/>
    <s v="Vegetation - Tree"/>
    <m/>
    <m/>
    <m/>
    <m/>
    <x v="1"/>
    <m/>
    <m/>
    <m/>
    <m/>
    <m/>
    <m/>
    <m/>
    <m/>
    <m/>
    <m/>
    <m/>
    <m/>
    <m/>
    <m/>
    <m/>
    <s v="{62639287-1f95-440a-8e29-671762b60d8a}"/>
    <d v="2020-06-24T14:41:52"/>
    <s v="clark@ccber.ucsb.edu_ucsb"/>
    <d v="2020-06-24T14:41:52"/>
    <s v="clark@ccber.ucsb.edu_ucsb"/>
  </r>
  <r>
    <n v="77"/>
    <d v="2020-06-24T00:00:00"/>
    <d v="2020-06-24T07:45:44"/>
    <x v="30"/>
    <n v="1"/>
    <x v="0"/>
    <s v="Vegetation - Tree"/>
    <m/>
    <m/>
    <m/>
    <m/>
    <x v="1"/>
    <m/>
    <m/>
    <m/>
    <m/>
    <m/>
    <m/>
    <m/>
    <m/>
    <m/>
    <m/>
    <m/>
    <m/>
    <m/>
    <m/>
    <m/>
    <s v="{74094df6-46c8-4d9b-907a-682f8163f0d3}"/>
    <d v="2020-06-24T14:45:44"/>
    <s v="clark@ccber.ucsb.edu_ucsb"/>
    <d v="2020-06-24T14:45:44"/>
    <s v="clark@ccber.ucsb.edu_ucsb"/>
  </r>
  <r>
    <n v="78"/>
    <d v="2020-06-24T00:00:00"/>
    <d v="2020-06-24T07:46:11"/>
    <x v="35"/>
    <n v="1"/>
    <x v="0"/>
    <s v="Vegetation - Tree"/>
    <m/>
    <m/>
    <m/>
    <m/>
    <x v="1"/>
    <m/>
    <m/>
    <m/>
    <m/>
    <m/>
    <m/>
    <m/>
    <m/>
    <m/>
    <m/>
    <m/>
    <m/>
    <m/>
    <m/>
    <m/>
    <s v="{13596d14-a882-42b6-8745-fe62b2cf0916}"/>
    <d v="2020-06-24T14:46:11"/>
    <s v="clark@ccber.ucsb.edu_ucsb"/>
    <d v="2020-06-24T14:46:11"/>
    <s v="clark@ccber.ucsb.edu_ucsb"/>
  </r>
  <r>
    <n v="79"/>
    <d v="2020-06-24T00:00:00"/>
    <d v="2020-06-24T07:49:15"/>
    <x v="36"/>
    <n v="1"/>
    <x v="0"/>
    <s v="Flyover"/>
    <m/>
    <m/>
    <m/>
    <m/>
    <x v="1"/>
    <m/>
    <m/>
    <m/>
    <m/>
    <m/>
    <m/>
    <m/>
    <m/>
    <m/>
    <m/>
    <m/>
    <m/>
    <m/>
    <m/>
    <m/>
    <s v="{43e37db0-86a9-4367-8e8e-76c702f52b8c}"/>
    <d v="2020-06-24T14:49:15"/>
    <s v="clark@ccber.ucsb.edu_ucsb"/>
    <d v="2020-06-24T14:49:15"/>
    <s v="clark@ccber.ucsb.edu_ucsb"/>
  </r>
  <r>
    <n v="80"/>
    <d v="2020-06-24T00:00:00"/>
    <d v="2020-06-24T07:52:01"/>
    <x v="20"/>
    <n v="6"/>
    <x v="0"/>
    <s v="Vegetation - Herbaceous"/>
    <m/>
    <m/>
    <m/>
    <m/>
    <x v="1"/>
    <m/>
    <m/>
    <m/>
    <m/>
    <m/>
    <m/>
    <m/>
    <m/>
    <m/>
    <m/>
    <m/>
    <m/>
    <m/>
    <m/>
    <m/>
    <s v="{b83b84b8-9ce6-4c1c-8fbd-4f7f8792f7c5}"/>
    <d v="2020-06-24T14:52:01"/>
    <s v="clark@ccber.ucsb.edu_ucsb"/>
    <d v="2020-06-24T14:52:01"/>
    <s v="clark@ccber.ucsb.edu_ucsb"/>
  </r>
  <r>
    <n v="81"/>
    <d v="2020-06-24T00:00:00"/>
    <d v="2020-06-24T07:52:14"/>
    <x v="3"/>
    <n v="2"/>
    <x v="0"/>
    <s v="Air"/>
    <m/>
    <m/>
    <m/>
    <m/>
    <x v="1"/>
    <m/>
    <m/>
    <m/>
    <m/>
    <m/>
    <m/>
    <m/>
    <m/>
    <m/>
    <m/>
    <m/>
    <m/>
    <m/>
    <m/>
    <m/>
    <s v="{34a677af-2e77-48ea-b1a1-1d960da15201}"/>
    <d v="2020-06-24T14:52:14"/>
    <s v="clark@ccber.ucsb.edu_ucsb"/>
    <d v="2020-06-24T14:52:14"/>
    <s v="clark@ccber.ucsb.edu_ucsb"/>
  </r>
  <r>
    <n v="82"/>
    <d v="2020-06-24T00:00:00"/>
    <d v="2020-06-24T07:58:16"/>
    <x v="14"/>
    <n v="1"/>
    <x v="0"/>
    <s v="Bare ground"/>
    <m/>
    <m/>
    <m/>
    <m/>
    <x v="1"/>
    <m/>
    <m/>
    <m/>
    <m/>
    <m/>
    <m/>
    <m/>
    <m/>
    <m/>
    <m/>
    <m/>
    <m/>
    <m/>
    <m/>
    <m/>
    <s v="{904b581c-cf2a-46bd-9788-47c4c82a1fd1}"/>
    <d v="2020-06-24T14:58:16"/>
    <s v="clark@ccber.ucsb.edu_ucsb"/>
    <d v="2020-06-24T14:58:16"/>
    <s v="clark@ccber.ucsb.edu_ucsb"/>
  </r>
  <r>
    <n v="83"/>
    <d v="2020-06-24T00:00:00"/>
    <d v="2020-06-24T08:00:18"/>
    <x v="22"/>
    <n v="1"/>
    <x v="0"/>
    <s v="Vegetation - Herbaceous"/>
    <m/>
    <m/>
    <m/>
    <m/>
    <x v="1"/>
    <m/>
    <m/>
    <m/>
    <m/>
    <m/>
    <m/>
    <m/>
    <m/>
    <m/>
    <m/>
    <m/>
    <m/>
    <m/>
    <m/>
    <m/>
    <s v="{9b8ef23b-9558-40ff-8fd7-07b5c1768e38}"/>
    <d v="2020-06-24T15:00:18"/>
    <s v="clark@ccber.ucsb.edu_ucsb"/>
    <d v="2020-06-24T15:00:18"/>
    <s v="clark@ccber.ucsb.edu_ucsb"/>
  </r>
  <r>
    <n v="84"/>
    <d v="2020-06-24T00:00:00"/>
    <d v="2020-06-24T08:01:0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554470ca-1fb0-45bb-9b5d-1fbd80b7f12b}"/>
    <d v="2020-06-24T15:01:07"/>
    <s v="clark@ccber.ucsb.edu_ucsb"/>
    <d v="2020-06-24T15:01:07"/>
    <s v="clark@ccber.ucsb.edu_ucsb"/>
  </r>
  <r>
    <n v="85"/>
    <d v="2020-06-24T00:00:00"/>
    <d v="2020-06-24T08:04:23"/>
    <x v="23"/>
    <n v="1"/>
    <x v="0"/>
    <s v="Vegetation - Herbaceous"/>
    <m/>
    <m/>
    <m/>
    <m/>
    <x v="1"/>
    <m/>
    <m/>
    <m/>
    <m/>
    <m/>
    <m/>
    <m/>
    <m/>
    <m/>
    <m/>
    <m/>
    <m/>
    <m/>
    <m/>
    <m/>
    <s v="{26ff73fb-e20f-435c-9d7d-581c7d1bd018}"/>
    <d v="2020-06-24T15:04:23"/>
    <s v="clark@ccber.ucsb.edu_ucsb"/>
    <d v="2020-06-24T15:04:23"/>
    <s v="clark@ccber.ucsb.edu_ucsb"/>
  </r>
  <r>
    <n v="86"/>
    <d v="2020-06-24T00:00:00"/>
    <d v="2020-06-24T08:08:0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02112120-4b1d-4eff-90c5-6a3f7357c58c}"/>
    <d v="2020-06-24T15:08:07"/>
    <s v="clark@ccber.ucsb.edu_ucsb"/>
    <d v="2020-06-24T15:08:07"/>
    <s v="clark@ccber.ucsb.edu_ucsb"/>
  </r>
  <r>
    <n v="87"/>
    <d v="2020-06-24T00:00:00"/>
    <d v="2020-06-24T08:09:45"/>
    <x v="8"/>
    <n v="1"/>
    <x v="0"/>
    <s v="Vegetation - Tree"/>
    <m/>
    <m/>
    <m/>
    <m/>
    <x v="1"/>
    <m/>
    <m/>
    <m/>
    <m/>
    <m/>
    <m/>
    <m/>
    <m/>
    <m/>
    <m/>
    <m/>
    <m/>
    <m/>
    <m/>
    <m/>
    <s v="{1bf6242f-bdb8-4e53-8abe-3e199477eb71}"/>
    <d v="2020-06-24T15:09:45"/>
    <s v="clark@ccber.ucsb.edu_ucsb"/>
    <d v="2020-06-24T15:09:45"/>
    <s v="clark@ccber.ucsb.edu_ucsb"/>
  </r>
  <r>
    <n v="88"/>
    <d v="2020-06-24T00:00:00"/>
    <d v="2020-06-24T08:09:5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1c5d6a62-b29b-4428-89d5-6bb28b0f4fd7}"/>
    <d v="2020-06-24T15:09:57"/>
    <s v="clark@ccber.ucsb.edu_ucsb"/>
    <d v="2020-06-24T15:09:57"/>
    <s v="clark@ccber.ucsb.edu_ucsb"/>
  </r>
  <r>
    <n v="89"/>
    <d v="2020-06-24T00:00:00"/>
    <d v="2020-06-24T08:10:24"/>
    <x v="32"/>
    <n v="1"/>
    <x v="0"/>
    <s v="Flyover"/>
    <m/>
    <m/>
    <m/>
    <m/>
    <x v="1"/>
    <m/>
    <m/>
    <m/>
    <m/>
    <m/>
    <m/>
    <m/>
    <m/>
    <m/>
    <m/>
    <m/>
    <m/>
    <m/>
    <m/>
    <m/>
    <s v="{3b1a1216-0014-4f0d-91fe-c6822680c18e}"/>
    <d v="2020-06-24T15:10:24"/>
    <s v="clark@ccber.ucsb.edu_ucsb"/>
    <d v="2020-06-24T15:10:24"/>
    <s v="clark@ccber.ucsb.edu_ucsb"/>
  </r>
  <r>
    <n v="90"/>
    <d v="2020-06-24T00:00:00"/>
    <d v="2020-06-24T08:10:53"/>
    <x v="36"/>
    <n v="2"/>
    <x v="0"/>
    <s v="Vegetation - Tree"/>
    <m/>
    <m/>
    <m/>
    <m/>
    <x v="1"/>
    <m/>
    <m/>
    <m/>
    <m/>
    <m/>
    <m/>
    <m/>
    <m/>
    <m/>
    <m/>
    <m/>
    <m/>
    <m/>
    <m/>
    <m/>
    <s v="{652ff13b-90fa-4d64-a064-3722496f6f4d}"/>
    <d v="2020-06-24T15:10:53"/>
    <s v="clark@ccber.ucsb.edu_ucsb"/>
    <d v="2020-06-24T15:10:53"/>
    <s v="clark@ccber.ucsb.edu_ucsb"/>
  </r>
  <r>
    <n v="91"/>
    <d v="2020-06-24T00:00:00"/>
    <d v="2020-06-24T08:14:32"/>
    <x v="21"/>
    <n v="25"/>
    <x v="0"/>
    <s v="Bare ground"/>
    <m/>
    <m/>
    <m/>
    <m/>
    <x v="1"/>
    <m/>
    <m/>
    <m/>
    <m/>
    <m/>
    <m/>
    <m/>
    <m/>
    <m/>
    <m/>
    <m/>
    <m/>
    <m/>
    <m/>
    <m/>
    <s v="{8e2d46ec-b65e-4ee3-a16f-9c33b3933b44}"/>
    <d v="2020-06-24T15:14:32"/>
    <s v="clark@ccber.ucsb.edu_ucsb"/>
    <d v="2020-06-24T15:14:32"/>
    <s v="clark@ccber.ucsb.edu_ucsb"/>
  </r>
  <r>
    <n v="92"/>
    <d v="2020-06-24T00:00:00"/>
    <d v="2020-06-24T08:14:48"/>
    <x v="0"/>
    <n v="1"/>
    <x v="0"/>
    <s v="Vegetation - Shrub"/>
    <m/>
    <m/>
    <m/>
    <m/>
    <x v="1"/>
    <m/>
    <m/>
    <m/>
    <m/>
    <m/>
    <m/>
    <m/>
    <m/>
    <m/>
    <m/>
    <m/>
    <m/>
    <m/>
    <m/>
    <m/>
    <s v="{77d6784e-ddce-401d-abf5-6ba12bd85cf6}"/>
    <d v="2020-06-24T15:14:48"/>
    <s v="clark@ccber.ucsb.edu_ucsb"/>
    <d v="2020-06-24T15:14:48"/>
    <s v="clark@ccber.ucsb.edu_ucsb"/>
  </r>
  <r>
    <n v="93"/>
    <d v="2020-06-24T00:00:00"/>
    <d v="2020-06-24T08:17:32"/>
    <x v="16"/>
    <n v="1"/>
    <x v="0"/>
    <s v="Vegetation - Herbaceous"/>
    <m/>
    <m/>
    <m/>
    <m/>
    <x v="1"/>
    <m/>
    <m/>
    <m/>
    <m/>
    <m/>
    <m/>
    <m/>
    <m/>
    <m/>
    <m/>
    <m/>
    <m/>
    <m/>
    <m/>
    <m/>
    <s v="{79bd09d0-0841-4eb1-b7e1-e42eadf7fd87}"/>
    <d v="2020-06-24T15:17:32"/>
    <s v="clark@ccber.ucsb.edu_ucsb"/>
    <d v="2020-06-24T15:17:32"/>
    <s v="clark@ccber.ucsb.edu_ucsb"/>
  </r>
  <r>
    <n v="94"/>
    <d v="2020-06-24T00:00:00"/>
    <d v="2020-06-24T08:20:45"/>
    <x v="16"/>
    <n v="2"/>
    <x v="0"/>
    <m/>
    <m/>
    <m/>
    <m/>
    <m/>
    <x v="1"/>
    <m/>
    <m/>
    <m/>
    <m/>
    <m/>
    <m/>
    <m/>
    <m/>
    <m/>
    <m/>
    <m/>
    <m/>
    <m/>
    <m/>
    <m/>
    <s v="{771569f5-c99c-497d-a19d-784c83a9b349}"/>
    <d v="2020-06-24T15:20:45"/>
    <s v="clark@ccber.ucsb.edu_ucsb"/>
    <d v="2020-06-24T15:20:45"/>
    <s v="clark@ccber.ucsb.edu_ucsb"/>
  </r>
  <r>
    <n v="95"/>
    <d v="2020-06-24T00:00:00"/>
    <d v="2020-06-24T08:21:42"/>
    <x v="37"/>
    <n v="4"/>
    <x v="0"/>
    <s v="Vegetation - Tree"/>
    <m/>
    <m/>
    <m/>
    <m/>
    <x v="1"/>
    <m/>
    <m/>
    <m/>
    <m/>
    <m/>
    <m/>
    <m/>
    <m/>
    <m/>
    <m/>
    <m/>
    <m/>
    <m/>
    <m/>
    <m/>
    <s v="{09b9f1ac-cd9e-4212-b3f0-39b386a27606}"/>
    <d v="2020-06-24T15:21:42"/>
    <s v="clark@ccber.ucsb.edu_ucsb"/>
    <d v="2020-06-24T15:22:25"/>
    <s v="clark@ccber.ucsb.edu_ucsb"/>
  </r>
  <r>
    <n v="96"/>
    <d v="2020-06-24T00:00:00"/>
    <d v="2020-06-24T08:27:17"/>
    <x v="8"/>
    <n v="3"/>
    <x v="0"/>
    <s v="Vegetation - Herbaceous"/>
    <m/>
    <m/>
    <m/>
    <m/>
    <x v="1"/>
    <m/>
    <m/>
    <m/>
    <m/>
    <m/>
    <m/>
    <m/>
    <m/>
    <m/>
    <m/>
    <m/>
    <m/>
    <m/>
    <m/>
    <m/>
    <s v="{a45e0d74-096a-42c9-85e5-a39bd4e03f15}"/>
    <d v="2020-06-24T15:27:17"/>
    <s v="clark@ccber.ucsb.edu_ucsb"/>
    <d v="2020-06-24T15:27:17"/>
    <s v="clark@ccber.ucsb.edu_ucsb"/>
  </r>
  <r>
    <n v="97"/>
    <d v="2020-06-24T00:00:00"/>
    <d v="2020-06-24T08:27:33"/>
    <x v="38"/>
    <n v="1"/>
    <x v="0"/>
    <s v="Vegetation - Tree"/>
    <m/>
    <m/>
    <m/>
    <m/>
    <x v="1"/>
    <m/>
    <m/>
    <m/>
    <m/>
    <m/>
    <m/>
    <m/>
    <m/>
    <m/>
    <m/>
    <m/>
    <m/>
    <m/>
    <m/>
    <m/>
    <s v="{3dceb0fc-4198-4340-b220-7b1124212409}"/>
    <d v="2020-06-24T15:27:33"/>
    <s v="clark@ccber.ucsb.edu_ucsb"/>
    <d v="2020-06-24T15:27:33"/>
    <s v="clark@ccber.ucsb.edu_ucsb"/>
  </r>
  <r>
    <n v="98"/>
    <d v="2020-06-24T00:00:00"/>
    <d v="2020-06-24T08:27:52"/>
    <x v="39"/>
    <n v="1"/>
    <x v="0"/>
    <s v="Vegetation - Shrub"/>
    <m/>
    <m/>
    <m/>
    <m/>
    <x v="1"/>
    <m/>
    <m/>
    <m/>
    <m/>
    <m/>
    <m/>
    <m/>
    <m/>
    <m/>
    <m/>
    <m/>
    <m/>
    <m/>
    <m/>
    <m/>
    <s v="{a8c97eb5-c4ae-4cdd-8e92-590cf919f5df}"/>
    <d v="2020-06-24T15:27:52"/>
    <s v="clark@ccber.ucsb.edu_ucsb"/>
    <d v="2020-06-24T15:27:52"/>
    <s v="clark@ccber.ucsb.edu_ucsb"/>
  </r>
  <r>
    <n v="99"/>
    <d v="2020-06-24T00:00:00"/>
    <d v="2020-06-24T08:29:2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c7b31fd5-56ae-45b4-bbec-cc5f2eb60f8a}"/>
    <d v="2020-06-24T15:29:27"/>
    <s v="clark@ccber.ucsb.edu_ucsb"/>
    <d v="2020-06-24T15:29:27"/>
    <s v="clark@ccber.ucsb.edu_ucsb"/>
  </r>
  <r>
    <n v="100"/>
    <d v="2020-06-24T00:00:00"/>
    <d v="2020-06-24T08:51:48"/>
    <x v="24"/>
    <n v="1"/>
    <x v="0"/>
    <s v="Vegetation - Tree"/>
    <m/>
    <m/>
    <m/>
    <m/>
    <x v="1"/>
    <m/>
    <m/>
    <m/>
    <m/>
    <m/>
    <m/>
    <m/>
    <m/>
    <m/>
    <m/>
    <m/>
    <m/>
    <m/>
    <m/>
    <m/>
    <s v="{0b5760c9-4a4e-47c2-b15d-ec3457cf7e77}"/>
    <d v="2020-06-24T15:51:48"/>
    <s v="clark@ccber.ucsb.edu_ucsb"/>
    <d v="2020-06-24T15:51:48"/>
    <s v="clark@ccber.ucsb.edu_ucsb"/>
  </r>
  <r>
    <m/>
    <d v="2020-06-24T00:00:00"/>
    <m/>
    <x v="7"/>
    <n v="1"/>
    <x v="0"/>
    <s v="Vegetation - Herbaceous"/>
    <m/>
    <m/>
    <s v="Observation added after survey review - entry missed in the field."/>
    <m/>
    <x v="1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F4987-8AF6-486B-A78F-A2FAD356F09F}" name="PivotTable1" cacheId="4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F46" firstHeaderRow="1" firstDataRow="3" firstDataCol="1"/>
  <pivotFields count="32">
    <pivotField numFmtId="1" showAll="0"/>
    <pivotField numFmtId="14" showAll="0"/>
    <pivotField numFmtId="165" showAll="0"/>
    <pivotField axis="axisRow" showAll="0">
      <items count="41">
        <item x="9"/>
        <item x="6"/>
        <item x="2"/>
        <item x="35"/>
        <item x="16"/>
        <item x="12"/>
        <item x="29"/>
        <item x="39"/>
        <item x="10"/>
        <item x="20"/>
        <item x="25"/>
        <item x="3"/>
        <item x="7"/>
        <item x="24"/>
        <item x="37"/>
        <item x="19"/>
        <item x="0"/>
        <item x="22"/>
        <item x="14"/>
        <item x="30"/>
        <item x="17"/>
        <item x="31"/>
        <item x="1"/>
        <item x="36"/>
        <item x="33"/>
        <item x="38"/>
        <item x="5"/>
        <item x="32"/>
        <item x="28"/>
        <item x="21"/>
        <item x="13"/>
        <item x="23"/>
        <item x="11"/>
        <item x="18"/>
        <item x="8"/>
        <item x="34"/>
        <item x="4"/>
        <item x="15"/>
        <item x="26"/>
        <item x="27"/>
        <item t="default"/>
      </items>
    </pivotField>
    <pivotField dataField="1"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2">
    <field x="5"/>
    <field x="11"/>
  </colFields>
  <colItems count="5">
    <i>
      <x/>
      <x/>
    </i>
    <i r="1">
      <x v="1"/>
    </i>
    <i t="default">
      <x/>
    </i>
    <i>
      <x v="1"/>
      <x/>
    </i>
    <i t="default">
      <x v="1"/>
    </i>
  </colItems>
  <dataFields count="1">
    <dataField name="Sum of Count" fld="4" baseField="0" baseItem="0"/>
  </dataFields>
  <formats count="16">
    <format dxfId="15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4">
      <pivotArea type="topRight" dataOnly="0" labelOnly="1" outline="0" offset="B1:C1" fieldPosition="0"/>
    </format>
    <format dxfId="13">
      <pivotArea dataOnly="0" labelOnly="1" fieldPosition="0">
        <references count="1">
          <reference field="5" count="1">
            <x v="1"/>
          </reference>
        </references>
      </pivotArea>
    </format>
    <format dxfId="12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1">
      <pivotArea dataOnly="0" labelOnly="1" fieldPosition="0">
        <references count="2">
          <reference field="5" count="1" selected="0">
            <x v="1"/>
          </reference>
          <reference field="11" count="1">
            <x v="0"/>
          </reference>
        </references>
      </pivotArea>
    </format>
    <format dxfId="10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9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5" count="1" defaultSubtotal="1">
            <x v="0"/>
          </reference>
        </references>
      </pivotArea>
    </format>
    <format dxfId="6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5">
      <pivotArea type="topRight" dataOnly="0" labelOnly="1" outline="0" offset="A1" fieldPosition="0"/>
    </format>
    <format dxfId="4">
      <pivotArea dataOnly="0" labelOnly="1" fieldPosition="0">
        <references count="1">
          <reference field="5" count="1" defaultSubtotal="1">
            <x v="0"/>
          </reference>
        </references>
      </pivotArea>
    </format>
    <format dxfId="3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2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1">
      <pivotArea collapsedLevelsAreSubtotals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2"/>
  <sheetViews>
    <sheetView tabSelected="1" topLeftCell="B1" workbookViewId="0">
      <pane ySplit="1" topLeftCell="A50" activePane="bottomLeft" state="frozen"/>
      <selection pane="bottomLeft" activeCell="F31" sqref="F31"/>
    </sheetView>
  </sheetViews>
  <sheetFormatPr defaultRowHeight="12.75" x14ac:dyDescent="0.2"/>
  <cols>
    <col min="1" max="1" width="16" customWidth="1"/>
    <col min="2" max="3" width="16" style="7" customWidth="1"/>
    <col min="4" max="4" width="26" bestFit="1" customWidth="1"/>
    <col min="5" max="5" width="6.28515625" style="7" bestFit="1" customWidth="1"/>
    <col min="6" max="6" width="12.7109375" style="7" customWidth="1"/>
    <col min="7" max="7" width="21.85546875" bestFit="1" customWidth="1"/>
    <col min="8" max="8" width="4.5703125" bestFit="1" customWidth="1"/>
    <col min="9" max="9" width="19.7109375" bestFit="1" customWidth="1"/>
    <col min="10" max="10" width="27.5703125" bestFit="1" customWidth="1"/>
    <col min="11" max="11" width="12" style="7" bestFit="1" customWidth="1"/>
    <col min="12" max="12" width="26.28515625" bestFit="1" customWidth="1"/>
    <col min="13" max="13" width="13.42578125" bestFit="1" customWidth="1"/>
    <col min="14" max="14" width="12.42578125" bestFit="1" customWidth="1"/>
    <col min="15" max="15" width="16.85546875" bestFit="1" customWidth="1"/>
    <col min="16" max="16" width="22.28515625" bestFit="1" customWidth="1"/>
    <col min="17" max="17" width="20.7109375" bestFit="1" customWidth="1"/>
    <col min="18" max="18" width="20.140625" bestFit="1" customWidth="1"/>
    <col min="19" max="19" width="22.5703125" bestFit="1" customWidth="1"/>
    <col min="20" max="20" width="12.85546875" bestFit="1" customWidth="1"/>
    <col min="21" max="21" width="16" customWidth="1"/>
    <col min="22" max="22" width="21.42578125" bestFit="1" customWidth="1"/>
    <col min="23" max="23" width="19.85546875" bestFit="1" customWidth="1"/>
    <col min="24" max="24" width="20" customWidth="1"/>
    <col min="25" max="25" width="21.7109375" bestFit="1" customWidth="1"/>
    <col min="26" max="26" width="12" bestFit="1" customWidth="1"/>
    <col min="27" max="27" width="13.5703125" bestFit="1" customWidth="1"/>
    <col min="28" max="29" width="16" customWidth="1"/>
    <col min="30" max="30" width="25" bestFit="1" customWidth="1"/>
    <col min="31" max="31" width="16" customWidth="1"/>
    <col min="32" max="32" width="25" bestFit="1" customWidth="1"/>
  </cols>
  <sheetData>
    <row r="1" spans="1:32" ht="25.5" x14ac:dyDescent="0.2">
      <c r="A1" s="1" t="s">
        <v>0</v>
      </c>
      <c r="B1" s="1" t="s">
        <v>200</v>
      </c>
      <c r="C1" s="1" t="s">
        <v>201</v>
      </c>
      <c r="D1" s="1" t="s">
        <v>1</v>
      </c>
      <c r="E1" s="1" t="s">
        <v>2</v>
      </c>
      <c r="F1" s="9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 s="2">
        <v>16</v>
      </c>
      <c r="B2" s="5">
        <v>44006</v>
      </c>
      <c r="C2" s="8">
        <f>AC2-(7/24)</f>
        <v>44006.298935185187</v>
      </c>
      <c r="D2" s="3" t="s">
        <v>67</v>
      </c>
      <c r="E2" s="6">
        <v>2</v>
      </c>
      <c r="F2" s="10" t="s">
        <v>31</v>
      </c>
      <c r="G2" s="3" t="s">
        <v>54</v>
      </c>
      <c r="H2" s="3"/>
      <c r="I2" s="3"/>
      <c r="J2" s="3"/>
      <c r="K2" s="10"/>
      <c r="L2" s="11" t="s">
        <v>202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68</v>
      </c>
      <c r="AC2" s="4">
        <v>44006.590601851851</v>
      </c>
      <c r="AD2" s="3" t="s">
        <v>37</v>
      </c>
      <c r="AE2" s="4">
        <v>44006.590937499997</v>
      </c>
      <c r="AF2" s="3" t="s">
        <v>37</v>
      </c>
    </row>
    <row r="3" spans="1:32" x14ac:dyDescent="0.2">
      <c r="A3" s="2">
        <v>57</v>
      </c>
      <c r="B3" s="5">
        <v>44006</v>
      </c>
      <c r="C3" s="8">
        <f>AC3-(7/24)</f>
        <v>44006.361898148149</v>
      </c>
      <c r="D3" s="3" t="s">
        <v>67</v>
      </c>
      <c r="E3" s="6">
        <v>1</v>
      </c>
      <c r="F3" s="10" t="s">
        <v>31</v>
      </c>
      <c r="G3" s="3" t="s">
        <v>61</v>
      </c>
      <c r="H3" s="3"/>
      <c r="I3" s="3"/>
      <c r="J3" s="3"/>
      <c r="K3" s="10"/>
      <c r="L3" s="11" t="s">
        <v>202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131</v>
      </c>
      <c r="AC3" s="4">
        <v>44006.653564814813</v>
      </c>
      <c r="AD3" s="3" t="s">
        <v>37</v>
      </c>
      <c r="AE3" s="4">
        <v>44006.653564814813</v>
      </c>
      <c r="AF3" s="3" t="s">
        <v>37</v>
      </c>
    </row>
    <row r="4" spans="1:32" x14ac:dyDescent="0.2">
      <c r="A4" s="2">
        <v>10</v>
      </c>
      <c r="B4" s="5">
        <v>44006</v>
      </c>
      <c r="C4" s="8">
        <f>AC4-(7/24)</f>
        <v>44006.289328703708</v>
      </c>
      <c r="D4" s="3" t="s">
        <v>56</v>
      </c>
      <c r="E4" s="6">
        <v>3</v>
      </c>
      <c r="F4" s="10" t="s">
        <v>31</v>
      </c>
      <c r="G4" s="3" t="s">
        <v>54</v>
      </c>
      <c r="H4" s="3"/>
      <c r="I4" s="3"/>
      <c r="J4" s="3"/>
      <c r="K4" s="10"/>
      <c r="L4" s="11" t="s">
        <v>202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57</v>
      </c>
      <c r="AC4" s="4">
        <v>44006.580995370372</v>
      </c>
      <c r="AD4" s="3" t="s">
        <v>37</v>
      </c>
      <c r="AE4" s="4">
        <v>44006.580995370372</v>
      </c>
      <c r="AF4" s="3" t="s">
        <v>37</v>
      </c>
    </row>
    <row r="5" spans="1:32" x14ac:dyDescent="0.2">
      <c r="A5" s="2">
        <v>17</v>
      </c>
      <c r="B5" s="5">
        <v>44006</v>
      </c>
      <c r="C5" s="8">
        <f>AC5-(7/24)</f>
        <v>44006.301180555558</v>
      </c>
      <c r="D5" s="3" t="s">
        <v>56</v>
      </c>
      <c r="E5" s="6">
        <v>2</v>
      </c>
      <c r="F5" s="10" t="s">
        <v>31</v>
      </c>
      <c r="G5" s="3" t="s">
        <v>54</v>
      </c>
      <c r="H5" s="3"/>
      <c r="I5" s="3" t="s">
        <v>69</v>
      </c>
      <c r="J5" s="3"/>
      <c r="K5" s="10"/>
      <c r="L5" s="11" t="s">
        <v>202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70</v>
      </c>
      <c r="AC5" s="4">
        <v>44006.592847222222</v>
      </c>
      <c r="AD5" s="3" t="s">
        <v>37</v>
      </c>
      <c r="AE5" s="4">
        <v>44006.592847222222</v>
      </c>
      <c r="AF5" s="3" t="s">
        <v>37</v>
      </c>
    </row>
    <row r="6" spans="1:32" x14ac:dyDescent="0.2">
      <c r="A6" s="2">
        <v>33</v>
      </c>
      <c r="B6" s="5">
        <v>44006</v>
      </c>
      <c r="C6" s="8">
        <f>AC6-(7/24)</f>
        <v>44006.328518518523</v>
      </c>
      <c r="D6" s="3" t="s">
        <v>56</v>
      </c>
      <c r="E6" s="6">
        <v>2</v>
      </c>
      <c r="F6" s="10" t="s">
        <v>31</v>
      </c>
      <c r="G6" s="3" t="s">
        <v>61</v>
      </c>
      <c r="H6" s="3"/>
      <c r="I6" s="3"/>
      <c r="J6" s="3"/>
      <c r="K6" s="10"/>
      <c r="L6" s="11" t="s">
        <v>202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94</v>
      </c>
      <c r="AC6" s="4">
        <v>44006.620185185187</v>
      </c>
      <c r="AD6" s="3" t="s">
        <v>37</v>
      </c>
      <c r="AE6" s="4">
        <v>44006.620185185187</v>
      </c>
      <c r="AF6" s="3" t="s">
        <v>37</v>
      </c>
    </row>
    <row r="7" spans="1:32" x14ac:dyDescent="0.2">
      <c r="A7" s="2">
        <v>61</v>
      </c>
      <c r="B7" s="5">
        <v>44006</v>
      </c>
      <c r="C7" s="8">
        <f>AC7-(7/24)</f>
        <v>44006.382037037038</v>
      </c>
      <c r="D7" s="3" t="s">
        <v>56</v>
      </c>
      <c r="E7" s="6">
        <v>3</v>
      </c>
      <c r="F7" s="10" t="s">
        <v>31</v>
      </c>
      <c r="G7" s="3" t="s">
        <v>75</v>
      </c>
      <c r="H7" s="3"/>
      <c r="I7" s="3"/>
      <c r="J7" s="3"/>
      <c r="K7" s="10"/>
      <c r="L7" s="11" t="s">
        <v>202</v>
      </c>
      <c r="M7" s="3"/>
      <c r="N7" s="3" t="s">
        <v>138</v>
      </c>
      <c r="O7" s="3"/>
      <c r="P7" s="3"/>
      <c r="Q7" s="3"/>
      <c r="R7" s="3"/>
      <c r="S7" s="3"/>
      <c r="T7" s="3"/>
      <c r="U7" s="2">
        <v>62</v>
      </c>
      <c r="V7" s="2">
        <v>100</v>
      </c>
      <c r="W7" s="3" t="s">
        <v>139</v>
      </c>
      <c r="X7" s="3" t="s">
        <v>35</v>
      </c>
      <c r="Y7" s="3"/>
      <c r="Z7" s="3"/>
      <c r="AA7" s="3"/>
      <c r="AB7" s="3" t="s">
        <v>140</v>
      </c>
      <c r="AC7" s="4">
        <v>44006.673703703702</v>
      </c>
      <c r="AD7" s="3" t="s">
        <v>37</v>
      </c>
      <c r="AE7" s="4">
        <v>44006.676111111112</v>
      </c>
      <c r="AF7" s="3" t="s">
        <v>37</v>
      </c>
    </row>
    <row r="8" spans="1:32" x14ac:dyDescent="0.2">
      <c r="A8" s="2">
        <v>4</v>
      </c>
      <c r="B8" s="5">
        <v>44006</v>
      </c>
      <c r="C8" s="8">
        <f>AC8-(7/24)</f>
        <v>44006.28434027778</v>
      </c>
      <c r="D8" s="3" t="s">
        <v>42</v>
      </c>
      <c r="E8" s="6">
        <v>1</v>
      </c>
      <c r="F8" s="10" t="s">
        <v>31</v>
      </c>
      <c r="G8" s="3" t="s">
        <v>43</v>
      </c>
      <c r="H8" s="3"/>
      <c r="I8" s="3"/>
      <c r="J8" s="3"/>
      <c r="K8" s="10"/>
      <c r="L8" s="11" t="s">
        <v>202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44</v>
      </c>
      <c r="AC8" s="4">
        <v>44006.576006944444</v>
      </c>
      <c r="AD8" s="3" t="s">
        <v>37</v>
      </c>
      <c r="AE8" s="4">
        <v>44006.576006944444</v>
      </c>
      <c r="AF8" s="3" t="s">
        <v>37</v>
      </c>
    </row>
    <row r="9" spans="1:32" x14ac:dyDescent="0.2">
      <c r="A9" s="2">
        <v>20</v>
      </c>
      <c r="B9" s="5">
        <v>44006</v>
      </c>
      <c r="C9" s="8">
        <f>AC9-(7/24)</f>
        <v>44006.305891203709</v>
      </c>
      <c r="D9" s="3" t="s">
        <v>42</v>
      </c>
      <c r="E9" s="6">
        <v>1</v>
      </c>
      <c r="F9" s="10" t="s">
        <v>31</v>
      </c>
      <c r="G9" s="3" t="s">
        <v>43</v>
      </c>
      <c r="H9" s="3"/>
      <c r="I9" s="3"/>
      <c r="J9" s="3"/>
      <c r="K9" s="10"/>
      <c r="L9" s="11" t="s">
        <v>202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74</v>
      </c>
      <c r="AC9" s="4">
        <v>44006.597557870373</v>
      </c>
      <c r="AD9" s="3" t="s">
        <v>37</v>
      </c>
      <c r="AE9" s="4">
        <v>44006.597557870373</v>
      </c>
      <c r="AF9" s="3" t="s">
        <v>37</v>
      </c>
    </row>
    <row r="10" spans="1:32" x14ac:dyDescent="0.2">
      <c r="A10" s="2">
        <v>54</v>
      </c>
      <c r="B10" s="5">
        <v>44006</v>
      </c>
      <c r="C10" s="8">
        <f>AC10-(7/24)</f>
        <v>44006.349212962967</v>
      </c>
      <c r="D10" s="3" t="s">
        <v>42</v>
      </c>
      <c r="E10" s="6">
        <v>1</v>
      </c>
      <c r="F10" s="10" t="s">
        <v>31</v>
      </c>
      <c r="G10" s="3" t="s">
        <v>43</v>
      </c>
      <c r="H10" s="3"/>
      <c r="I10" s="3"/>
      <c r="J10" s="3"/>
      <c r="K10" s="10"/>
      <c r="L10" s="11" t="s">
        <v>202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127</v>
      </c>
      <c r="AC10" s="4">
        <v>44006.640879629631</v>
      </c>
      <c r="AD10" s="3" t="s">
        <v>37</v>
      </c>
      <c r="AE10" s="4">
        <v>44006.640879629631</v>
      </c>
      <c r="AF10" s="3" t="s">
        <v>37</v>
      </c>
    </row>
    <row r="11" spans="1:32" x14ac:dyDescent="0.2">
      <c r="A11" s="2">
        <v>64</v>
      </c>
      <c r="B11" s="5">
        <v>44006</v>
      </c>
      <c r="C11" s="8">
        <f>AC11-(7/24)</f>
        <v>44006.291724537041</v>
      </c>
      <c r="D11" s="3" t="s">
        <v>42</v>
      </c>
      <c r="E11" s="6">
        <v>1</v>
      </c>
      <c r="F11" s="10" t="s">
        <v>31</v>
      </c>
      <c r="G11" s="3" t="s">
        <v>54</v>
      </c>
      <c r="H11" s="3"/>
      <c r="I11" s="3"/>
      <c r="J11" s="3"/>
      <c r="K11" s="10"/>
      <c r="L11" s="11" t="s">
        <v>203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s">
        <v>146</v>
      </c>
      <c r="AC11" s="4">
        <v>44006.583391203705</v>
      </c>
      <c r="AD11" s="3" t="s">
        <v>142</v>
      </c>
      <c r="AE11" s="4">
        <v>44006.583391203705</v>
      </c>
      <c r="AF11" s="3" t="s">
        <v>142</v>
      </c>
    </row>
    <row r="12" spans="1:32" x14ac:dyDescent="0.2">
      <c r="A12" s="2">
        <v>78</v>
      </c>
      <c r="B12" s="5">
        <v>44006</v>
      </c>
      <c r="C12" s="8">
        <f>AC12-(7/24)</f>
        <v>44006.323738425926</v>
      </c>
      <c r="D12" s="3" t="s">
        <v>172</v>
      </c>
      <c r="E12" s="6">
        <v>1</v>
      </c>
      <c r="F12" s="10" t="s">
        <v>31</v>
      </c>
      <c r="G12" s="3" t="s">
        <v>54</v>
      </c>
      <c r="H12" s="3"/>
      <c r="I12" s="3"/>
      <c r="J12" s="3"/>
      <c r="K12" s="10"/>
      <c r="L12" s="11" t="s">
        <v>203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173</v>
      </c>
      <c r="AC12" s="4">
        <v>44006.615405092591</v>
      </c>
      <c r="AD12" s="3" t="s">
        <v>142</v>
      </c>
      <c r="AE12" s="4">
        <v>44006.615405092591</v>
      </c>
      <c r="AF12" s="3" t="s">
        <v>142</v>
      </c>
    </row>
    <row r="13" spans="1:32" x14ac:dyDescent="0.2">
      <c r="A13" s="2">
        <v>31</v>
      </c>
      <c r="B13" s="5">
        <v>44006</v>
      </c>
      <c r="C13" s="8">
        <f>AC13-(7/24)</f>
        <v>44006.327893518523</v>
      </c>
      <c r="D13" s="3" t="s">
        <v>91</v>
      </c>
      <c r="E13" s="6">
        <v>1</v>
      </c>
      <c r="F13" s="10" t="s">
        <v>31</v>
      </c>
      <c r="G13" s="3" t="s">
        <v>48</v>
      </c>
      <c r="H13" s="3"/>
      <c r="I13" s="3"/>
      <c r="J13" s="3"/>
      <c r="K13" s="10"/>
      <c r="L13" s="11" t="s">
        <v>202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92</v>
      </c>
      <c r="AC13" s="4">
        <v>44006.619560185187</v>
      </c>
      <c r="AD13" s="3" t="s">
        <v>37</v>
      </c>
      <c r="AE13" s="4">
        <v>44006.619560185187</v>
      </c>
      <c r="AF13" s="3" t="s">
        <v>37</v>
      </c>
    </row>
    <row r="14" spans="1:32" x14ac:dyDescent="0.2">
      <c r="A14" s="2">
        <v>44</v>
      </c>
      <c r="B14" s="5">
        <v>44006</v>
      </c>
      <c r="C14" s="8">
        <f>AC14-(7/24)</f>
        <v>44006.337986111117</v>
      </c>
      <c r="D14" s="3" t="s">
        <v>91</v>
      </c>
      <c r="E14" s="6">
        <v>1</v>
      </c>
      <c r="F14" s="10" t="s">
        <v>31</v>
      </c>
      <c r="G14" s="3" t="s">
        <v>113</v>
      </c>
      <c r="H14" s="3"/>
      <c r="I14" s="3"/>
      <c r="J14" s="3"/>
      <c r="K14" s="10"/>
      <c r="L14" s="11" t="s">
        <v>202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114</v>
      </c>
      <c r="AC14" s="4">
        <v>44006.629652777781</v>
      </c>
      <c r="AD14" s="3" t="s">
        <v>37</v>
      </c>
      <c r="AE14" s="4">
        <v>44006.629652777781</v>
      </c>
      <c r="AF14" s="3" t="s">
        <v>37</v>
      </c>
    </row>
    <row r="15" spans="1:32" x14ac:dyDescent="0.2">
      <c r="A15" s="2">
        <v>52</v>
      </c>
      <c r="B15" s="5">
        <v>44006</v>
      </c>
      <c r="C15" s="8">
        <f>AC15-(7/24)</f>
        <v>44006.345416666671</v>
      </c>
      <c r="D15" s="3" t="s">
        <v>91</v>
      </c>
      <c r="E15" s="6">
        <v>1</v>
      </c>
      <c r="F15" s="10" t="s">
        <v>31</v>
      </c>
      <c r="G15" s="3" t="s">
        <v>48</v>
      </c>
      <c r="H15" s="3"/>
      <c r="I15" s="3"/>
      <c r="J15" s="3"/>
      <c r="K15" s="10"/>
      <c r="L15" s="11" t="s">
        <v>202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125</v>
      </c>
      <c r="AC15" s="4">
        <v>44006.637083333335</v>
      </c>
      <c r="AD15" s="3" t="s">
        <v>37</v>
      </c>
      <c r="AE15" s="4">
        <v>44006.637083333335</v>
      </c>
      <c r="AF15" s="3" t="s">
        <v>37</v>
      </c>
    </row>
    <row r="16" spans="1:32" x14ac:dyDescent="0.2">
      <c r="A16" s="2">
        <v>66</v>
      </c>
      <c r="B16" s="5">
        <v>44006</v>
      </c>
      <c r="C16" s="8">
        <f>AC16-(7/24)</f>
        <v>44006.299687500003</v>
      </c>
      <c r="D16" s="3" t="s">
        <v>91</v>
      </c>
      <c r="E16" s="6">
        <v>1</v>
      </c>
      <c r="F16" s="10" t="s">
        <v>31</v>
      </c>
      <c r="G16" s="3" t="s">
        <v>32</v>
      </c>
      <c r="H16" s="3"/>
      <c r="I16" s="3"/>
      <c r="J16" s="3"/>
      <c r="K16" s="10"/>
      <c r="L16" s="11" t="s">
        <v>203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150</v>
      </c>
      <c r="AC16" s="4">
        <v>44006.591354166667</v>
      </c>
      <c r="AD16" s="3" t="s">
        <v>142</v>
      </c>
      <c r="AE16" s="4">
        <v>44006.591354166667</v>
      </c>
      <c r="AF16" s="3" t="s">
        <v>142</v>
      </c>
    </row>
    <row r="17" spans="1:32" x14ac:dyDescent="0.2">
      <c r="A17" s="2">
        <v>76</v>
      </c>
      <c r="B17" s="5">
        <v>44006</v>
      </c>
      <c r="C17" s="8">
        <f>AC17-(7/24)</f>
        <v>44006.320740740746</v>
      </c>
      <c r="D17" s="3" t="s">
        <v>91</v>
      </c>
      <c r="E17" s="6">
        <v>1</v>
      </c>
      <c r="F17" s="10" t="s">
        <v>31</v>
      </c>
      <c r="G17" s="3" t="s">
        <v>54</v>
      </c>
      <c r="H17" s="3"/>
      <c r="I17" s="3"/>
      <c r="J17" s="3"/>
      <c r="K17" s="10"/>
      <c r="L17" s="11" t="s">
        <v>203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170</v>
      </c>
      <c r="AC17" s="4">
        <v>44006.612407407411</v>
      </c>
      <c r="AD17" s="3" t="s">
        <v>142</v>
      </c>
      <c r="AE17" s="4">
        <v>44006.612407407411</v>
      </c>
      <c r="AF17" s="3" t="s">
        <v>142</v>
      </c>
    </row>
    <row r="18" spans="1:32" x14ac:dyDescent="0.2">
      <c r="A18" s="2">
        <v>93</v>
      </c>
      <c r="B18" s="5">
        <v>44006</v>
      </c>
      <c r="C18" s="8">
        <f>AC18-(7/24)</f>
        <v>44006.345509259263</v>
      </c>
      <c r="D18" s="3" t="s">
        <v>91</v>
      </c>
      <c r="E18" s="6">
        <v>1</v>
      </c>
      <c r="F18" s="10" t="s">
        <v>31</v>
      </c>
      <c r="G18" s="3" t="s">
        <v>65</v>
      </c>
      <c r="H18" s="3"/>
      <c r="I18" s="3"/>
      <c r="J18" s="3"/>
      <c r="K18" s="10"/>
      <c r="L18" s="11" t="s">
        <v>203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189</v>
      </c>
      <c r="AC18" s="4">
        <v>44006.637175925927</v>
      </c>
      <c r="AD18" s="3" t="s">
        <v>142</v>
      </c>
      <c r="AE18" s="4">
        <v>44006.637175925927</v>
      </c>
      <c r="AF18" s="3" t="s">
        <v>142</v>
      </c>
    </row>
    <row r="19" spans="1:32" x14ac:dyDescent="0.2">
      <c r="A19" s="2">
        <v>94</v>
      </c>
      <c r="B19" s="5">
        <v>44006</v>
      </c>
      <c r="C19" s="8">
        <f>AC19-(7/24)</f>
        <v>44006.347743055558</v>
      </c>
      <c r="D19" s="3" t="s">
        <v>91</v>
      </c>
      <c r="E19" s="6">
        <v>2</v>
      </c>
      <c r="F19" s="10" t="s">
        <v>31</v>
      </c>
      <c r="G19" s="3"/>
      <c r="H19" s="3"/>
      <c r="I19" s="3"/>
      <c r="J19" s="3"/>
      <c r="K19" s="10"/>
      <c r="L19" s="11" t="s">
        <v>203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190</v>
      </c>
      <c r="AC19" s="4">
        <v>44006.639409722222</v>
      </c>
      <c r="AD19" s="3" t="s">
        <v>142</v>
      </c>
      <c r="AE19" s="4">
        <v>44006.639409722222</v>
      </c>
      <c r="AF19" s="3" t="s">
        <v>142</v>
      </c>
    </row>
    <row r="20" spans="1:32" x14ac:dyDescent="0.2">
      <c r="A20" s="2">
        <v>25</v>
      </c>
      <c r="B20" s="5">
        <v>44006</v>
      </c>
      <c r="C20" s="8">
        <f>AC20-(7/24)</f>
        <v>44006.316365740742</v>
      </c>
      <c r="D20" s="3" t="s">
        <v>81</v>
      </c>
      <c r="E20" s="6">
        <v>1</v>
      </c>
      <c r="F20" s="10" t="s">
        <v>31</v>
      </c>
      <c r="G20" s="3" t="s">
        <v>75</v>
      </c>
      <c r="H20" s="3"/>
      <c r="I20" s="3"/>
      <c r="J20" s="3"/>
      <c r="K20" s="10"/>
      <c r="L20" s="11" t="s">
        <v>202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82</v>
      </c>
      <c r="AC20" s="4">
        <v>44006.608032407406</v>
      </c>
      <c r="AD20" s="3" t="s">
        <v>37</v>
      </c>
      <c r="AE20" s="4">
        <v>44006.608032407406</v>
      </c>
      <c r="AF20" s="3" t="s">
        <v>37</v>
      </c>
    </row>
    <row r="21" spans="1:32" x14ac:dyDescent="0.2">
      <c r="A21" s="2">
        <v>32</v>
      </c>
      <c r="B21" s="5">
        <v>44006</v>
      </c>
      <c r="C21" s="8">
        <f>AC21-(7/24)</f>
        <v>44006.328078703707</v>
      </c>
      <c r="D21" s="3" t="s">
        <v>81</v>
      </c>
      <c r="E21" s="6">
        <v>2</v>
      </c>
      <c r="F21" s="10" t="s">
        <v>31</v>
      </c>
      <c r="G21" s="3" t="s">
        <v>43</v>
      </c>
      <c r="H21" s="3"/>
      <c r="I21" s="3"/>
      <c r="J21" s="3"/>
      <c r="K21" s="10"/>
      <c r="L21" s="11" t="s">
        <v>202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s">
        <v>93</v>
      </c>
      <c r="AC21" s="4">
        <v>44006.619745370372</v>
      </c>
      <c r="AD21" s="3" t="s">
        <v>37</v>
      </c>
      <c r="AE21" s="4">
        <v>44006.619745370372</v>
      </c>
      <c r="AF21" s="3" t="s">
        <v>37</v>
      </c>
    </row>
    <row r="22" spans="1:32" x14ac:dyDescent="0.2">
      <c r="A22" s="2">
        <v>68</v>
      </c>
      <c r="B22" s="5">
        <v>44006</v>
      </c>
      <c r="C22" s="8">
        <f>AC22-(7/24)</f>
        <v>44006.303263888891</v>
      </c>
      <c r="D22" s="3" t="s">
        <v>154</v>
      </c>
      <c r="E22" s="6">
        <v>5</v>
      </c>
      <c r="F22" s="10" t="s">
        <v>31</v>
      </c>
      <c r="G22" s="3" t="s">
        <v>107</v>
      </c>
      <c r="H22" s="3"/>
      <c r="I22" s="3"/>
      <c r="J22" s="3" t="s">
        <v>155</v>
      </c>
      <c r="K22" s="10"/>
      <c r="L22" s="11" t="s">
        <v>203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156</v>
      </c>
      <c r="AC22" s="4">
        <v>44006.594930555555</v>
      </c>
      <c r="AD22" s="3" t="s">
        <v>142</v>
      </c>
      <c r="AE22" s="4">
        <v>44006.594930555555</v>
      </c>
      <c r="AF22" s="3" t="s">
        <v>142</v>
      </c>
    </row>
    <row r="23" spans="1:32" x14ac:dyDescent="0.2">
      <c r="A23" s="2">
        <v>98</v>
      </c>
      <c r="B23" s="5">
        <v>44006</v>
      </c>
      <c r="C23" s="8">
        <f>AC23-(7/24)</f>
        <v>44006.352685185186</v>
      </c>
      <c r="D23" s="3" t="s">
        <v>196</v>
      </c>
      <c r="E23" s="6">
        <v>1</v>
      </c>
      <c r="F23" s="10" t="s">
        <v>31</v>
      </c>
      <c r="G23" s="3" t="s">
        <v>61</v>
      </c>
      <c r="H23" s="3"/>
      <c r="I23" s="3"/>
      <c r="J23" s="3"/>
      <c r="K23" s="10"/>
      <c r="L23" s="11" t="s">
        <v>203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197</v>
      </c>
      <c r="AC23" s="4">
        <v>44006.64435185185</v>
      </c>
      <c r="AD23" s="3" t="s">
        <v>142</v>
      </c>
      <c r="AE23" s="4">
        <v>44006.64435185185</v>
      </c>
      <c r="AF23" s="3" t="s">
        <v>142</v>
      </c>
    </row>
    <row r="24" spans="1:32" x14ac:dyDescent="0.2">
      <c r="A24" s="2">
        <v>19</v>
      </c>
      <c r="B24" s="5">
        <v>44006</v>
      </c>
      <c r="C24" s="8">
        <f>AC24-(7/24)</f>
        <v>44006.304212962968</v>
      </c>
      <c r="D24" s="3" t="s">
        <v>72</v>
      </c>
      <c r="E24" s="6">
        <v>1</v>
      </c>
      <c r="F24" s="10" t="s">
        <v>31</v>
      </c>
      <c r="G24" s="3" t="s">
        <v>54</v>
      </c>
      <c r="H24" s="3"/>
      <c r="I24" s="3"/>
      <c r="J24" s="3"/>
      <c r="K24" s="10"/>
      <c r="L24" s="11" t="s">
        <v>202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73</v>
      </c>
      <c r="AC24" s="4">
        <v>44006.595879629633</v>
      </c>
      <c r="AD24" s="3" t="s">
        <v>37</v>
      </c>
      <c r="AE24" s="4">
        <v>44006.595879629633</v>
      </c>
      <c r="AF24" s="3" t="s">
        <v>37</v>
      </c>
    </row>
    <row r="25" spans="1:32" x14ac:dyDescent="0.2">
      <c r="A25" s="2">
        <v>40</v>
      </c>
      <c r="B25" s="5">
        <v>44006</v>
      </c>
      <c r="C25" s="8">
        <f>AC25-(7/24)</f>
        <v>44006.335486111115</v>
      </c>
      <c r="D25" s="3" t="s">
        <v>105</v>
      </c>
      <c r="E25" s="6">
        <v>7</v>
      </c>
      <c r="F25" s="10" t="s">
        <v>106</v>
      </c>
      <c r="G25" s="3" t="s">
        <v>48</v>
      </c>
      <c r="H25" s="3"/>
      <c r="I25" s="3" t="s">
        <v>107</v>
      </c>
      <c r="J25" s="3" t="s">
        <v>108</v>
      </c>
      <c r="K25" s="10"/>
      <c r="L25" s="11" t="s">
        <v>202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 t="s">
        <v>109</v>
      </c>
      <c r="AC25" s="4">
        <v>44006.627152777779</v>
      </c>
      <c r="AD25" s="3" t="s">
        <v>37</v>
      </c>
      <c r="AE25" s="4">
        <v>44006.661099537036</v>
      </c>
      <c r="AF25" s="3" t="s">
        <v>37</v>
      </c>
    </row>
    <row r="26" spans="1:32" x14ac:dyDescent="0.2">
      <c r="A26" s="2">
        <v>80</v>
      </c>
      <c r="B26" s="5">
        <v>44006</v>
      </c>
      <c r="C26" s="8">
        <f>AC26-(7/24)</f>
        <v>44006.327789351853</v>
      </c>
      <c r="D26" s="3" t="s">
        <v>105</v>
      </c>
      <c r="E26" s="6">
        <v>6</v>
      </c>
      <c r="F26" s="10" t="s">
        <v>31</v>
      </c>
      <c r="G26" s="3" t="s">
        <v>65</v>
      </c>
      <c r="H26" s="3"/>
      <c r="I26" s="3"/>
      <c r="J26" s="3"/>
      <c r="K26" s="10"/>
      <c r="L26" s="11" t="s">
        <v>203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s">
        <v>176</v>
      </c>
      <c r="AC26" s="4">
        <v>44006.619456018518</v>
      </c>
      <c r="AD26" s="3" t="s">
        <v>142</v>
      </c>
      <c r="AE26" s="4">
        <v>44006.619456018518</v>
      </c>
      <c r="AF26" s="3" t="s">
        <v>142</v>
      </c>
    </row>
    <row r="27" spans="1:32" x14ac:dyDescent="0.2">
      <c r="A27" s="2">
        <v>60</v>
      </c>
      <c r="B27" s="5">
        <v>44006</v>
      </c>
      <c r="C27" s="8">
        <f>AC27-(7/24)</f>
        <v>44006.381539351853</v>
      </c>
      <c r="D27" s="3" t="s">
        <v>136</v>
      </c>
      <c r="E27" s="6">
        <v>3</v>
      </c>
      <c r="F27" s="10" t="s">
        <v>31</v>
      </c>
      <c r="G27" s="3" t="s">
        <v>43</v>
      </c>
      <c r="H27" s="3"/>
      <c r="I27" s="3"/>
      <c r="J27" s="3"/>
      <c r="K27" s="10"/>
      <c r="L27" s="11" t="s">
        <v>202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137</v>
      </c>
      <c r="AC27" s="4">
        <v>44006.673206018517</v>
      </c>
      <c r="AD27" s="3" t="s">
        <v>37</v>
      </c>
      <c r="AE27" s="4">
        <v>44006.673206018517</v>
      </c>
      <c r="AF27" s="3" t="s">
        <v>37</v>
      </c>
    </row>
    <row r="28" spans="1:32" x14ac:dyDescent="0.2">
      <c r="A28" s="2">
        <v>5</v>
      </c>
      <c r="B28" s="5">
        <v>44006</v>
      </c>
      <c r="C28" s="8">
        <f>AC28-(7/24)</f>
        <v>44006.285532407412</v>
      </c>
      <c r="D28" s="3" t="s">
        <v>45</v>
      </c>
      <c r="E28" s="6">
        <v>1</v>
      </c>
      <c r="F28" s="10" t="s">
        <v>31</v>
      </c>
      <c r="G28" s="3" t="s">
        <v>43</v>
      </c>
      <c r="H28" s="3"/>
      <c r="I28" s="3"/>
      <c r="J28" s="3"/>
      <c r="K28" s="10"/>
      <c r="L28" s="11" t="s">
        <v>202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46</v>
      </c>
      <c r="AC28" s="4">
        <v>44006.577199074076</v>
      </c>
      <c r="AD28" s="3" t="s">
        <v>37</v>
      </c>
      <c r="AE28" s="4">
        <v>44006.577199074076</v>
      </c>
      <c r="AF28" s="3" t="s">
        <v>37</v>
      </c>
    </row>
    <row r="29" spans="1:32" x14ac:dyDescent="0.2">
      <c r="A29" s="2">
        <v>18</v>
      </c>
      <c r="B29" s="5">
        <v>44006</v>
      </c>
      <c r="C29" s="8">
        <f>AC29-(7/24)</f>
        <v>44006.302754629629</v>
      </c>
      <c r="D29" s="3" t="s">
        <v>45</v>
      </c>
      <c r="E29" s="6">
        <v>10</v>
      </c>
      <c r="F29" s="10" t="s">
        <v>31</v>
      </c>
      <c r="G29" s="3" t="s">
        <v>43</v>
      </c>
      <c r="H29" s="3"/>
      <c r="I29" s="3"/>
      <c r="J29" s="3"/>
      <c r="K29" s="10"/>
      <c r="L29" s="11" t="s">
        <v>202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71</v>
      </c>
      <c r="AC29" s="4">
        <v>44006.594421296293</v>
      </c>
      <c r="AD29" s="3" t="s">
        <v>37</v>
      </c>
      <c r="AE29" s="4">
        <v>44006.594421296293</v>
      </c>
      <c r="AF29" s="3" t="s">
        <v>37</v>
      </c>
    </row>
    <row r="30" spans="1:32" x14ac:dyDescent="0.2">
      <c r="A30" s="2">
        <v>26</v>
      </c>
      <c r="B30" s="5">
        <v>44006</v>
      </c>
      <c r="C30" s="8">
        <f>AC30-(7/24)</f>
        <v>44006.317141203705</v>
      </c>
      <c r="D30" s="3" t="s">
        <v>45</v>
      </c>
      <c r="E30" s="6">
        <v>2</v>
      </c>
      <c r="F30" s="10" t="s">
        <v>31</v>
      </c>
      <c r="G30" s="3" t="s">
        <v>43</v>
      </c>
      <c r="H30" s="3"/>
      <c r="I30" s="3"/>
      <c r="J30" s="3"/>
      <c r="K30" s="10"/>
      <c r="L30" s="11" t="s">
        <v>202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 t="s">
        <v>83</v>
      </c>
      <c r="AC30" s="4">
        <v>44006.608807870369</v>
      </c>
      <c r="AD30" s="3" t="s">
        <v>37</v>
      </c>
      <c r="AE30" s="4">
        <v>44006.608807870369</v>
      </c>
      <c r="AF30" s="3" t="s">
        <v>37</v>
      </c>
    </row>
    <row r="31" spans="1:32" x14ac:dyDescent="0.2">
      <c r="A31" s="2">
        <v>45</v>
      </c>
      <c r="B31" s="5">
        <v>44006</v>
      </c>
      <c r="C31" s="8">
        <f>AC31-(7/24)</f>
        <v>44006.340451388889</v>
      </c>
      <c r="D31" s="3" t="s">
        <v>45</v>
      </c>
      <c r="E31" s="6">
        <v>3</v>
      </c>
      <c r="F31" s="10" t="s">
        <v>31</v>
      </c>
      <c r="G31" s="3" t="s">
        <v>43</v>
      </c>
      <c r="H31" s="3"/>
      <c r="I31" s="3"/>
      <c r="J31" s="3"/>
      <c r="K31" s="10"/>
      <c r="L31" s="11" t="s">
        <v>202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s">
        <v>115</v>
      </c>
      <c r="AC31" s="4">
        <v>44006.632118055553</v>
      </c>
      <c r="AD31" s="3" t="s">
        <v>37</v>
      </c>
      <c r="AE31" s="4">
        <v>44006.632118055553</v>
      </c>
      <c r="AF31" s="3" t="s">
        <v>37</v>
      </c>
    </row>
    <row r="32" spans="1:32" x14ac:dyDescent="0.2">
      <c r="A32" s="2">
        <v>49</v>
      </c>
      <c r="B32" s="5">
        <v>44006</v>
      </c>
      <c r="C32" s="8">
        <f>AC32-(7/24)</f>
        <v>44006.344097222223</v>
      </c>
      <c r="D32" s="3" t="s">
        <v>45</v>
      </c>
      <c r="E32" s="6">
        <v>180</v>
      </c>
      <c r="F32" s="10" t="s">
        <v>31</v>
      </c>
      <c r="G32" s="3" t="s">
        <v>43</v>
      </c>
      <c r="H32" s="3"/>
      <c r="I32" s="3"/>
      <c r="J32" s="3"/>
      <c r="K32" s="10"/>
      <c r="L32" s="11" t="s">
        <v>202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s">
        <v>121</v>
      </c>
      <c r="AC32" s="4">
        <v>44006.635763888888</v>
      </c>
      <c r="AD32" s="3" t="s">
        <v>37</v>
      </c>
      <c r="AE32" s="4">
        <v>44006.648425925923</v>
      </c>
      <c r="AF32" s="3" t="s">
        <v>37</v>
      </c>
    </row>
    <row r="33" spans="1:32" x14ac:dyDescent="0.2">
      <c r="A33" s="2">
        <v>81</v>
      </c>
      <c r="B33" s="5">
        <v>44006</v>
      </c>
      <c r="C33" s="8">
        <f>AC33-(7/24)</f>
        <v>44006.327939814815</v>
      </c>
      <c r="D33" s="3" t="s">
        <v>45</v>
      </c>
      <c r="E33" s="6">
        <v>2</v>
      </c>
      <c r="F33" s="10" t="s">
        <v>31</v>
      </c>
      <c r="G33" s="3" t="s">
        <v>43</v>
      </c>
      <c r="H33" s="3"/>
      <c r="I33" s="3"/>
      <c r="J33" s="3"/>
      <c r="K33" s="10"/>
      <c r="L33" s="11" t="s">
        <v>203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s">
        <v>177</v>
      </c>
      <c r="AC33" s="4">
        <v>44006.619606481479</v>
      </c>
      <c r="AD33" s="3" t="s">
        <v>142</v>
      </c>
      <c r="AE33" s="4">
        <v>44006.619606481479</v>
      </c>
      <c r="AF33" s="3" t="s">
        <v>142</v>
      </c>
    </row>
    <row r="34" spans="1:32" x14ac:dyDescent="0.2">
      <c r="A34" s="2">
        <v>13</v>
      </c>
      <c r="B34" s="5">
        <v>44006</v>
      </c>
      <c r="C34" s="8">
        <f>AC34-(7/24)</f>
        <v>44006.292685185188</v>
      </c>
      <c r="D34" s="3" t="s">
        <v>60</v>
      </c>
      <c r="E34" s="6">
        <v>2</v>
      </c>
      <c r="F34" s="10" t="s">
        <v>31</v>
      </c>
      <c r="G34" s="3" t="s">
        <v>61</v>
      </c>
      <c r="H34" s="3"/>
      <c r="I34" s="3"/>
      <c r="J34" s="3"/>
      <c r="K34" s="10"/>
      <c r="L34" s="11" t="s">
        <v>202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 t="s">
        <v>62</v>
      </c>
      <c r="AC34" s="4">
        <v>44006.584351851852</v>
      </c>
      <c r="AD34" s="3" t="s">
        <v>37</v>
      </c>
      <c r="AE34" s="4">
        <v>44006.584351851852</v>
      </c>
      <c r="AF34" s="3" t="s">
        <v>37</v>
      </c>
    </row>
    <row r="35" spans="1:32" x14ac:dyDescent="0.2">
      <c r="A35" s="2">
        <v>47</v>
      </c>
      <c r="B35" s="5">
        <v>44006</v>
      </c>
      <c r="C35" s="8">
        <f>AC35-(7/24)</f>
        <v>44006.341574074075</v>
      </c>
      <c r="D35" s="3" t="s">
        <v>60</v>
      </c>
      <c r="E35" s="6">
        <v>2</v>
      </c>
      <c r="F35" s="10" t="s">
        <v>31</v>
      </c>
      <c r="G35" s="3" t="s">
        <v>65</v>
      </c>
      <c r="H35" s="3"/>
      <c r="I35" s="3"/>
      <c r="J35" s="3"/>
      <c r="K35" s="10"/>
      <c r="L35" s="11" t="s">
        <v>202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s">
        <v>119</v>
      </c>
      <c r="AC35" s="4">
        <v>44006.633240740739</v>
      </c>
      <c r="AD35" s="3" t="s">
        <v>37</v>
      </c>
      <c r="AE35" s="4">
        <v>44006.633240740739</v>
      </c>
      <c r="AF35" s="3" t="s">
        <v>37</v>
      </c>
    </row>
    <row r="36" spans="1:32" x14ac:dyDescent="0.2">
      <c r="A36" s="39">
        <v>101</v>
      </c>
      <c r="B36" s="5">
        <v>44006</v>
      </c>
      <c r="D36" s="18" t="s">
        <v>60</v>
      </c>
      <c r="E36" s="7">
        <v>1</v>
      </c>
      <c r="F36" s="7" t="s">
        <v>31</v>
      </c>
      <c r="G36" s="3" t="s">
        <v>65</v>
      </c>
      <c r="J36" t="s">
        <v>212</v>
      </c>
      <c r="L36" s="11" t="s">
        <v>203</v>
      </c>
    </row>
    <row r="37" spans="1:32" x14ac:dyDescent="0.2">
      <c r="A37" s="2">
        <v>59</v>
      </c>
      <c r="B37" s="5">
        <v>44006</v>
      </c>
      <c r="C37" s="8">
        <f>AC37-(7/24)</f>
        <v>44006.376655092594</v>
      </c>
      <c r="D37" s="3" t="s">
        <v>133</v>
      </c>
      <c r="E37" s="6">
        <v>2</v>
      </c>
      <c r="F37" s="10" t="s">
        <v>31</v>
      </c>
      <c r="G37" s="3" t="s">
        <v>54</v>
      </c>
      <c r="H37" s="3"/>
      <c r="I37" s="3" t="s">
        <v>107</v>
      </c>
      <c r="J37" s="3" t="s">
        <v>134</v>
      </c>
      <c r="K37" s="10"/>
      <c r="L37" s="11" t="s">
        <v>202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 t="s">
        <v>135</v>
      </c>
      <c r="AC37" s="4">
        <v>44006.668321759258</v>
      </c>
      <c r="AD37" s="3" t="s">
        <v>37</v>
      </c>
      <c r="AE37" s="4">
        <v>44006.668321759258</v>
      </c>
      <c r="AF37" s="3" t="s">
        <v>37</v>
      </c>
    </row>
    <row r="38" spans="1:32" x14ac:dyDescent="0.2">
      <c r="A38" s="2">
        <v>100</v>
      </c>
      <c r="B38" s="5">
        <v>44006</v>
      </c>
      <c r="C38" s="8">
        <f>AC38-(7/24)</f>
        <v>44006.369305555556</v>
      </c>
      <c r="D38" s="3" t="s">
        <v>133</v>
      </c>
      <c r="E38" s="6">
        <v>1</v>
      </c>
      <c r="F38" s="10" t="s">
        <v>31</v>
      </c>
      <c r="G38" s="3" t="s">
        <v>54</v>
      </c>
      <c r="H38" s="3"/>
      <c r="I38" s="3"/>
      <c r="J38" s="3"/>
      <c r="K38" s="10"/>
      <c r="L38" s="11" t="s">
        <v>203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199</v>
      </c>
      <c r="AC38" s="4">
        <v>44006.66097222222</v>
      </c>
      <c r="AD38" s="3" t="s">
        <v>142</v>
      </c>
      <c r="AE38" s="4">
        <v>44006.66097222222</v>
      </c>
      <c r="AF38" s="3" t="s">
        <v>142</v>
      </c>
    </row>
    <row r="39" spans="1:32" x14ac:dyDescent="0.2">
      <c r="A39" s="2">
        <v>95</v>
      </c>
      <c r="B39" s="5">
        <v>44006</v>
      </c>
      <c r="C39" s="8">
        <f>AC39-(7/24)</f>
        <v>44006.348402777781</v>
      </c>
      <c r="D39" s="3" t="s">
        <v>191</v>
      </c>
      <c r="E39" s="6">
        <v>4</v>
      </c>
      <c r="F39" s="10" t="s">
        <v>31</v>
      </c>
      <c r="G39" s="3" t="s">
        <v>54</v>
      </c>
      <c r="H39" s="3"/>
      <c r="I39" s="3"/>
      <c r="J39" s="3"/>
      <c r="K39" s="10"/>
      <c r="L39" s="11" t="s">
        <v>203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 t="s">
        <v>192</v>
      </c>
      <c r="AC39" s="4">
        <v>44006.640069444446</v>
      </c>
      <c r="AD39" s="3" t="s">
        <v>142</v>
      </c>
      <c r="AE39" s="4">
        <v>44006.640567129631</v>
      </c>
      <c r="AF39" s="3" t="s">
        <v>142</v>
      </c>
    </row>
    <row r="40" spans="1:32" x14ac:dyDescent="0.2">
      <c r="A40" s="2">
        <v>39</v>
      </c>
      <c r="B40" s="5">
        <v>44006</v>
      </c>
      <c r="C40" s="8">
        <f>AC40-(7/24)</f>
        <v>44006.334155092598</v>
      </c>
      <c r="D40" s="3" t="s">
        <v>103</v>
      </c>
      <c r="E40" s="6">
        <v>1</v>
      </c>
      <c r="F40" s="10" t="s">
        <v>31</v>
      </c>
      <c r="G40" s="3" t="s">
        <v>54</v>
      </c>
      <c r="H40" s="3"/>
      <c r="I40" s="3"/>
      <c r="J40" s="3"/>
      <c r="K40" s="10"/>
      <c r="L40" s="11" t="s">
        <v>202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104</v>
      </c>
      <c r="AC40" s="4">
        <v>44006.625821759262</v>
      </c>
      <c r="AD40" s="3" t="s">
        <v>37</v>
      </c>
      <c r="AE40" s="4">
        <v>44006.625821759262</v>
      </c>
      <c r="AF40" s="3" t="s">
        <v>37</v>
      </c>
    </row>
    <row r="41" spans="1:32" x14ac:dyDescent="0.2">
      <c r="A41" s="2">
        <v>1</v>
      </c>
      <c r="B41" s="5">
        <v>44006</v>
      </c>
      <c r="C41" s="8">
        <f>AC41-(7/24)</f>
        <v>44006.272997685184</v>
      </c>
      <c r="D41" s="3" t="s">
        <v>30</v>
      </c>
      <c r="E41" s="6">
        <v>4</v>
      </c>
      <c r="F41" s="10" t="s">
        <v>31</v>
      </c>
      <c r="G41" s="3" t="s">
        <v>32</v>
      </c>
      <c r="H41" s="3"/>
      <c r="I41" s="3"/>
      <c r="J41" s="3"/>
      <c r="K41" s="10">
        <v>5.5</v>
      </c>
      <c r="L41" s="11" t="s">
        <v>202</v>
      </c>
      <c r="M41" s="3" t="s">
        <v>33</v>
      </c>
      <c r="N41" s="3"/>
      <c r="O41" s="2">
        <v>62</v>
      </c>
      <c r="P41" s="2">
        <v>100</v>
      </c>
      <c r="Q41" s="3" t="s">
        <v>34</v>
      </c>
      <c r="R41" s="3" t="s">
        <v>35</v>
      </c>
      <c r="S41" s="3"/>
      <c r="T41" s="3"/>
      <c r="U41" s="3"/>
      <c r="V41" s="3"/>
      <c r="W41" s="3"/>
      <c r="X41" s="3"/>
      <c r="Y41" s="3"/>
      <c r="Z41" s="3"/>
      <c r="AA41" s="3"/>
      <c r="AB41" s="3" t="s">
        <v>36</v>
      </c>
      <c r="AC41" s="4">
        <v>44006.564664351848</v>
      </c>
      <c r="AD41" s="3" t="s">
        <v>37</v>
      </c>
      <c r="AE41" s="4">
        <v>44006.564664351848</v>
      </c>
      <c r="AF41" s="3" t="s">
        <v>37</v>
      </c>
    </row>
    <row r="42" spans="1:32" x14ac:dyDescent="0.2">
      <c r="A42" s="2">
        <v>3</v>
      </c>
      <c r="B42" s="5">
        <v>44006</v>
      </c>
      <c r="C42" s="8">
        <f>AC42-(7/24)</f>
        <v>44006.282500000001</v>
      </c>
      <c r="D42" s="3" t="s">
        <v>30</v>
      </c>
      <c r="E42" s="6">
        <v>6</v>
      </c>
      <c r="F42" s="10" t="s">
        <v>31</v>
      </c>
      <c r="G42" s="3" t="s">
        <v>32</v>
      </c>
      <c r="H42" s="3"/>
      <c r="I42" s="3"/>
      <c r="J42" s="3"/>
      <c r="K42" s="10"/>
      <c r="L42" s="11" t="s">
        <v>202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 t="s">
        <v>41</v>
      </c>
      <c r="AC42" s="4">
        <v>44006.574166666665</v>
      </c>
      <c r="AD42" s="3" t="s">
        <v>37</v>
      </c>
      <c r="AE42" s="4">
        <v>44006.574166666665</v>
      </c>
      <c r="AF42" s="3" t="s">
        <v>37</v>
      </c>
    </row>
    <row r="43" spans="1:32" x14ac:dyDescent="0.2">
      <c r="A43" s="2">
        <v>42</v>
      </c>
      <c r="B43" s="5">
        <v>44006</v>
      </c>
      <c r="C43" s="8">
        <f>AC43-(7/24)</f>
        <v>44006.336701388893</v>
      </c>
      <c r="D43" s="3" t="s">
        <v>30</v>
      </c>
      <c r="E43" s="6">
        <v>1</v>
      </c>
      <c r="F43" s="10" t="s">
        <v>31</v>
      </c>
      <c r="G43" s="3" t="s">
        <v>61</v>
      </c>
      <c r="H43" s="3"/>
      <c r="I43" s="3"/>
      <c r="J43" s="3"/>
      <c r="K43" s="10"/>
      <c r="L43" s="11" t="s">
        <v>202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s">
        <v>111</v>
      </c>
      <c r="AC43" s="4">
        <v>44006.628368055557</v>
      </c>
      <c r="AD43" s="3" t="s">
        <v>37</v>
      </c>
      <c r="AE43" s="4">
        <v>44006.628368055557</v>
      </c>
      <c r="AF43" s="3" t="s">
        <v>37</v>
      </c>
    </row>
    <row r="44" spans="1:32" x14ac:dyDescent="0.2">
      <c r="A44" s="2">
        <v>48</v>
      </c>
      <c r="B44" s="5">
        <v>44006</v>
      </c>
      <c r="C44" s="8">
        <f>AC44-(7/24)</f>
        <v>44006.343842592592</v>
      </c>
      <c r="D44" s="3" t="s">
        <v>30</v>
      </c>
      <c r="E44" s="6">
        <v>5</v>
      </c>
      <c r="F44" s="10" t="s">
        <v>31</v>
      </c>
      <c r="G44" s="3" t="s">
        <v>65</v>
      </c>
      <c r="H44" s="3"/>
      <c r="I44" s="3"/>
      <c r="J44" s="3"/>
      <c r="K44" s="10"/>
      <c r="L44" s="11" t="s">
        <v>202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 t="s">
        <v>120</v>
      </c>
      <c r="AC44" s="4">
        <v>44006.635509259257</v>
      </c>
      <c r="AD44" s="3" t="s">
        <v>37</v>
      </c>
      <c r="AE44" s="4">
        <v>44006.635509259257</v>
      </c>
      <c r="AF44" s="3" t="s">
        <v>37</v>
      </c>
    </row>
    <row r="45" spans="1:32" x14ac:dyDescent="0.2">
      <c r="A45" s="2">
        <v>50</v>
      </c>
      <c r="B45" s="5">
        <v>44006</v>
      </c>
      <c r="C45" s="8">
        <f>AC45-(7/24)</f>
        <v>44006.344687500001</v>
      </c>
      <c r="D45" s="3" t="s">
        <v>30</v>
      </c>
      <c r="E45" s="6">
        <v>5</v>
      </c>
      <c r="F45" s="10" t="s">
        <v>31</v>
      </c>
      <c r="G45" s="3" t="s">
        <v>61</v>
      </c>
      <c r="H45" s="3"/>
      <c r="I45" s="3"/>
      <c r="J45" s="3"/>
      <c r="K45" s="10"/>
      <c r="L45" s="11" t="s">
        <v>202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 t="s">
        <v>122</v>
      </c>
      <c r="AC45" s="4">
        <v>44006.636354166665</v>
      </c>
      <c r="AD45" s="3" t="s">
        <v>37</v>
      </c>
      <c r="AE45" s="4">
        <v>44006.636354166665</v>
      </c>
      <c r="AF45" s="3" t="s">
        <v>37</v>
      </c>
    </row>
    <row r="46" spans="1:32" x14ac:dyDescent="0.2">
      <c r="A46" s="2">
        <v>62</v>
      </c>
      <c r="B46" s="5">
        <v>44006</v>
      </c>
      <c r="C46" s="8">
        <f>AC46-(7/24)</f>
        <v>44006.283368055556</v>
      </c>
      <c r="D46" s="3" t="s">
        <v>30</v>
      </c>
      <c r="E46" s="6">
        <v>2</v>
      </c>
      <c r="F46" s="10" t="s">
        <v>31</v>
      </c>
      <c r="G46" s="3" t="s">
        <v>61</v>
      </c>
      <c r="H46" s="3"/>
      <c r="I46" s="3"/>
      <c r="J46" s="3"/>
      <c r="K46" s="10"/>
      <c r="L46" s="11" t="s">
        <v>203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141</v>
      </c>
      <c r="AC46" s="4">
        <v>44006.57503472222</v>
      </c>
      <c r="AD46" s="3" t="s">
        <v>142</v>
      </c>
      <c r="AE46" s="4">
        <v>44006.57503472222</v>
      </c>
      <c r="AF46" s="3" t="s">
        <v>142</v>
      </c>
    </row>
    <row r="47" spans="1:32" x14ac:dyDescent="0.2">
      <c r="A47" s="2">
        <v>92</v>
      </c>
      <c r="B47" s="5">
        <v>44006</v>
      </c>
      <c r="C47" s="8">
        <f>AC47-(7/24)</f>
        <v>44006.343611111115</v>
      </c>
      <c r="D47" s="3" t="s">
        <v>30</v>
      </c>
      <c r="E47" s="6">
        <v>1</v>
      </c>
      <c r="F47" s="10" t="s">
        <v>31</v>
      </c>
      <c r="G47" s="3" t="s">
        <v>61</v>
      </c>
      <c r="H47" s="3"/>
      <c r="I47" s="3"/>
      <c r="J47" s="3"/>
      <c r="K47" s="10"/>
      <c r="L47" s="11" t="s">
        <v>203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188</v>
      </c>
      <c r="AC47" s="4">
        <v>44006.635277777779</v>
      </c>
      <c r="AD47" s="3" t="s">
        <v>142</v>
      </c>
      <c r="AE47" s="4">
        <v>44006.635277777779</v>
      </c>
      <c r="AF47" s="3" t="s">
        <v>142</v>
      </c>
    </row>
    <row r="48" spans="1:32" x14ac:dyDescent="0.2">
      <c r="A48" s="2">
        <v>51</v>
      </c>
      <c r="B48" s="5">
        <v>44006</v>
      </c>
      <c r="C48" s="8">
        <f>AC48-(7/24)</f>
        <v>44006.345266203709</v>
      </c>
      <c r="D48" s="3" t="s">
        <v>123</v>
      </c>
      <c r="E48" s="6">
        <v>10</v>
      </c>
      <c r="F48" s="10" t="s">
        <v>31</v>
      </c>
      <c r="G48" s="3" t="s">
        <v>75</v>
      </c>
      <c r="H48" s="3"/>
      <c r="I48" s="3"/>
      <c r="J48" s="3"/>
      <c r="K48" s="10"/>
      <c r="L48" s="11" t="s">
        <v>202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s">
        <v>124</v>
      </c>
      <c r="AC48" s="4">
        <v>44006.636932870373</v>
      </c>
      <c r="AD48" s="3" t="s">
        <v>37</v>
      </c>
      <c r="AE48" s="4">
        <v>44006.636932870373</v>
      </c>
      <c r="AF48" s="3" t="s">
        <v>37</v>
      </c>
    </row>
    <row r="49" spans="1:32" x14ac:dyDescent="0.2">
      <c r="A49" s="2">
        <v>83</v>
      </c>
      <c r="B49" s="5">
        <v>44006</v>
      </c>
      <c r="C49" s="8">
        <f>AC49-(7/24)</f>
        <v>44006.333541666667</v>
      </c>
      <c r="D49" s="3" t="s">
        <v>123</v>
      </c>
      <c r="E49" s="6">
        <v>1</v>
      </c>
      <c r="F49" s="10" t="s">
        <v>31</v>
      </c>
      <c r="G49" s="3" t="s">
        <v>65</v>
      </c>
      <c r="H49" s="3"/>
      <c r="I49" s="3"/>
      <c r="J49" s="3"/>
      <c r="K49" s="10"/>
      <c r="L49" s="11" t="s">
        <v>203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 t="s">
        <v>179</v>
      </c>
      <c r="AC49" s="4">
        <v>44006.625208333331</v>
      </c>
      <c r="AD49" s="3" t="s">
        <v>142</v>
      </c>
      <c r="AE49" s="4">
        <v>44006.625208333331</v>
      </c>
      <c r="AF49" s="3" t="s">
        <v>142</v>
      </c>
    </row>
    <row r="50" spans="1:32" x14ac:dyDescent="0.2">
      <c r="A50" s="2">
        <v>29</v>
      </c>
      <c r="B50" s="5">
        <v>44006</v>
      </c>
      <c r="C50" s="8">
        <f>AC50-(7/24)</f>
        <v>44006.325347222228</v>
      </c>
      <c r="D50" s="3" t="s">
        <v>87</v>
      </c>
      <c r="E50" s="6">
        <v>1</v>
      </c>
      <c r="F50" s="10" t="s">
        <v>31</v>
      </c>
      <c r="G50" s="3" t="s">
        <v>48</v>
      </c>
      <c r="H50" s="3"/>
      <c r="I50" s="3"/>
      <c r="J50" s="3"/>
      <c r="K50" s="10"/>
      <c r="L50" s="11" t="s">
        <v>202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 t="s">
        <v>88</v>
      </c>
      <c r="AC50" s="4">
        <v>44006.617013888892</v>
      </c>
      <c r="AD50" s="3" t="s">
        <v>37</v>
      </c>
      <c r="AE50" s="4">
        <v>44006.617013888892</v>
      </c>
      <c r="AF50" s="3" t="s">
        <v>37</v>
      </c>
    </row>
    <row r="51" spans="1:32" x14ac:dyDescent="0.2">
      <c r="A51" s="2">
        <v>82</v>
      </c>
      <c r="B51" s="5">
        <v>44006</v>
      </c>
      <c r="C51" s="8">
        <f>AC51-(7/24)</f>
        <v>44006.332129629634</v>
      </c>
      <c r="D51" s="3" t="s">
        <v>87</v>
      </c>
      <c r="E51" s="6">
        <v>1</v>
      </c>
      <c r="F51" s="10" t="s">
        <v>31</v>
      </c>
      <c r="G51" s="3" t="s">
        <v>75</v>
      </c>
      <c r="H51" s="3"/>
      <c r="I51" s="3"/>
      <c r="J51" s="3"/>
      <c r="K51" s="10"/>
      <c r="L51" s="11" t="s">
        <v>203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 t="s">
        <v>178</v>
      </c>
      <c r="AC51" s="4">
        <v>44006.623796296299</v>
      </c>
      <c r="AD51" s="3" t="s">
        <v>142</v>
      </c>
      <c r="AE51" s="4">
        <v>44006.623796296299</v>
      </c>
      <c r="AF51" s="3" t="s">
        <v>142</v>
      </c>
    </row>
    <row r="52" spans="1:32" x14ac:dyDescent="0.2">
      <c r="A52" s="2">
        <v>69</v>
      </c>
      <c r="B52" s="5">
        <v>44006</v>
      </c>
      <c r="C52" s="8">
        <f>AC52-(7/24)</f>
        <v>44006.305393518523</v>
      </c>
      <c r="D52" s="3" t="s">
        <v>157</v>
      </c>
      <c r="E52" s="6">
        <v>1</v>
      </c>
      <c r="F52" s="10" t="s">
        <v>31</v>
      </c>
      <c r="G52" s="3" t="s">
        <v>65</v>
      </c>
      <c r="H52" s="3"/>
      <c r="I52" s="3"/>
      <c r="J52" s="3"/>
      <c r="K52" s="10"/>
      <c r="L52" s="11" t="s">
        <v>203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 t="s">
        <v>158</v>
      </c>
      <c r="AC52" s="4">
        <v>44006.597060185188</v>
      </c>
      <c r="AD52" s="3" t="s">
        <v>142</v>
      </c>
      <c r="AE52" s="4">
        <v>44006.597060185188</v>
      </c>
      <c r="AF52" s="3" t="s">
        <v>142</v>
      </c>
    </row>
    <row r="53" spans="1:32" x14ac:dyDescent="0.2">
      <c r="A53" s="2">
        <v>70</v>
      </c>
      <c r="B53" s="5">
        <v>44006</v>
      </c>
      <c r="C53" s="8">
        <f>AC53-(7/24)</f>
        <v>44006.307372685187</v>
      </c>
      <c r="D53" s="3" t="s">
        <v>157</v>
      </c>
      <c r="E53" s="6">
        <v>1</v>
      </c>
      <c r="F53" s="10" t="s">
        <v>31</v>
      </c>
      <c r="G53" s="3" t="s">
        <v>65</v>
      </c>
      <c r="H53" s="3"/>
      <c r="I53" s="3"/>
      <c r="J53" s="3"/>
      <c r="K53" s="10"/>
      <c r="L53" s="11" t="s">
        <v>203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 t="s">
        <v>159</v>
      </c>
      <c r="AC53" s="4">
        <v>44006.599039351851</v>
      </c>
      <c r="AD53" s="3" t="s">
        <v>142</v>
      </c>
      <c r="AE53" s="4">
        <v>44006.599039351851</v>
      </c>
      <c r="AF53" s="3" t="s">
        <v>142</v>
      </c>
    </row>
    <row r="54" spans="1:32" x14ac:dyDescent="0.2">
      <c r="A54" s="2">
        <v>73</v>
      </c>
      <c r="B54" s="5">
        <v>44006</v>
      </c>
      <c r="C54" s="8">
        <f>AC54-(7/24)</f>
        <v>44006.310300925928</v>
      </c>
      <c r="D54" s="3" t="s">
        <v>157</v>
      </c>
      <c r="E54" s="6">
        <v>1</v>
      </c>
      <c r="F54" s="10" t="s">
        <v>31</v>
      </c>
      <c r="G54" s="3" t="s">
        <v>65</v>
      </c>
      <c r="H54" s="3"/>
      <c r="I54" s="3"/>
      <c r="J54" s="3"/>
      <c r="K54" s="10"/>
      <c r="L54" s="11" t="s">
        <v>203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 t="s">
        <v>164</v>
      </c>
      <c r="AC54" s="4">
        <v>44006.601967592593</v>
      </c>
      <c r="AD54" s="3" t="s">
        <v>142</v>
      </c>
      <c r="AE54" s="4">
        <v>44006.601967592593</v>
      </c>
      <c r="AF54" s="3" t="s">
        <v>142</v>
      </c>
    </row>
    <row r="55" spans="1:32" x14ac:dyDescent="0.2">
      <c r="A55" s="2">
        <v>77</v>
      </c>
      <c r="B55" s="5">
        <v>44006</v>
      </c>
      <c r="C55" s="8">
        <f>AC55-(7/24)</f>
        <v>44006.323425925926</v>
      </c>
      <c r="D55" s="3" t="s">
        <v>157</v>
      </c>
      <c r="E55" s="6">
        <v>1</v>
      </c>
      <c r="F55" s="10" t="s">
        <v>31</v>
      </c>
      <c r="G55" s="3" t="s">
        <v>54</v>
      </c>
      <c r="H55" s="3"/>
      <c r="I55" s="3"/>
      <c r="J55" s="3"/>
      <c r="K55" s="10"/>
      <c r="L55" s="11" t="s">
        <v>203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 t="s">
        <v>171</v>
      </c>
      <c r="AC55" s="4">
        <v>44006.61509259259</v>
      </c>
      <c r="AD55" s="3" t="s">
        <v>142</v>
      </c>
      <c r="AE55" s="4">
        <v>44006.61509259259</v>
      </c>
      <c r="AF55" s="3" t="s">
        <v>142</v>
      </c>
    </row>
    <row r="56" spans="1:32" x14ac:dyDescent="0.2">
      <c r="A56" s="2">
        <v>34</v>
      </c>
      <c r="B56" s="5">
        <v>44006</v>
      </c>
      <c r="C56" s="8">
        <f>AC56-(7/24)</f>
        <v>44006.32949074074</v>
      </c>
      <c r="D56" s="3" t="s">
        <v>95</v>
      </c>
      <c r="E56" s="6">
        <v>2</v>
      </c>
      <c r="F56" s="10" t="s">
        <v>31</v>
      </c>
      <c r="G56" s="3" t="s">
        <v>65</v>
      </c>
      <c r="H56" s="3"/>
      <c r="I56" s="3"/>
      <c r="J56" s="3"/>
      <c r="K56" s="10"/>
      <c r="L56" s="11" t="s">
        <v>202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 t="s">
        <v>96</v>
      </c>
      <c r="AC56" s="4">
        <v>44006.621157407404</v>
      </c>
      <c r="AD56" s="3" t="s">
        <v>37</v>
      </c>
      <c r="AE56" s="4">
        <v>44006.621157407404</v>
      </c>
      <c r="AF56" s="3" t="s">
        <v>37</v>
      </c>
    </row>
    <row r="57" spans="1:32" x14ac:dyDescent="0.2">
      <c r="A57" s="2">
        <v>35</v>
      </c>
      <c r="B57" s="5">
        <v>44006</v>
      </c>
      <c r="C57" s="8">
        <f>AC57-(7/24)</f>
        <v>44006.33057870371</v>
      </c>
      <c r="D57" s="3" t="s">
        <v>95</v>
      </c>
      <c r="E57" s="6">
        <v>2</v>
      </c>
      <c r="F57" s="10" t="s">
        <v>31</v>
      </c>
      <c r="G57" s="3" t="s">
        <v>65</v>
      </c>
      <c r="H57" s="3"/>
      <c r="I57" s="3" t="s">
        <v>69</v>
      </c>
      <c r="J57" s="3" t="s">
        <v>97</v>
      </c>
      <c r="K57" s="10"/>
      <c r="L57" s="11" t="s">
        <v>202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s">
        <v>98</v>
      </c>
      <c r="AC57" s="4">
        <v>44006.622245370374</v>
      </c>
      <c r="AD57" s="3" t="s">
        <v>37</v>
      </c>
      <c r="AE57" s="4">
        <v>44006.622245370374</v>
      </c>
      <c r="AF57" s="3" t="s">
        <v>37</v>
      </c>
    </row>
    <row r="58" spans="1:32" x14ac:dyDescent="0.2">
      <c r="A58" s="2">
        <v>36</v>
      </c>
      <c r="B58" s="5">
        <v>44006</v>
      </c>
      <c r="C58" s="8">
        <f>AC58-(7/24)</f>
        <v>44006.332048611112</v>
      </c>
      <c r="D58" s="3" t="s">
        <v>95</v>
      </c>
      <c r="E58" s="6">
        <v>1</v>
      </c>
      <c r="F58" s="10" t="s">
        <v>31</v>
      </c>
      <c r="G58" s="3" t="s">
        <v>61</v>
      </c>
      <c r="H58" s="3"/>
      <c r="I58" s="3"/>
      <c r="J58" s="3"/>
      <c r="K58" s="10"/>
      <c r="L58" s="11" t="s">
        <v>202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99</v>
      </c>
      <c r="AC58" s="4">
        <v>44006.623715277776</v>
      </c>
      <c r="AD58" s="3" t="s">
        <v>37</v>
      </c>
      <c r="AE58" s="4">
        <v>44006.623715277776</v>
      </c>
      <c r="AF58" s="3" t="s">
        <v>37</v>
      </c>
    </row>
    <row r="59" spans="1:32" x14ac:dyDescent="0.2">
      <c r="A59" s="2">
        <v>71</v>
      </c>
      <c r="B59" s="5">
        <v>44006</v>
      </c>
      <c r="C59" s="8">
        <f>AC59-(7/24)</f>
        <v>44006.308159722226</v>
      </c>
      <c r="D59" s="3" t="s">
        <v>160</v>
      </c>
      <c r="E59" s="6">
        <v>1</v>
      </c>
      <c r="F59" s="10" t="s">
        <v>31</v>
      </c>
      <c r="G59" s="3" t="s">
        <v>54</v>
      </c>
      <c r="H59" s="3"/>
      <c r="I59" s="3"/>
      <c r="J59" s="3"/>
      <c r="K59" s="10"/>
      <c r="L59" s="11" t="s">
        <v>203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161</v>
      </c>
      <c r="AC59" s="4">
        <v>44006.599826388891</v>
      </c>
      <c r="AD59" s="3" t="s">
        <v>142</v>
      </c>
      <c r="AE59" s="4">
        <v>44006.599826388891</v>
      </c>
      <c r="AF59" s="3" t="s">
        <v>142</v>
      </c>
    </row>
    <row r="60" spans="1:32" x14ac:dyDescent="0.2">
      <c r="A60" s="2">
        <v>2</v>
      </c>
      <c r="B60" s="5">
        <v>44006</v>
      </c>
      <c r="C60" s="8">
        <f>AC60-(7/24)</f>
        <v>44006.274328703708</v>
      </c>
      <c r="D60" s="3" t="s">
        <v>38</v>
      </c>
      <c r="E60" s="6">
        <v>14</v>
      </c>
      <c r="F60" s="10" t="s">
        <v>31</v>
      </c>
      <c r="G60" s="3" t="s">
        <v>39</v>
      </c>
      <c r="H60" s="3"/>
      <c r="I60" s="3"/>
      <c r="J60" s="3"/>
      <c r="K60" s="10"/>
      <c r="L60" s="11" t="s">
        <v>202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40</v>
      </c>
      <c r="AC60" s="4">
        <v>44006.565995370373</v>
      </c>
      <c r="AD60" s="3" t="s">
        <v>37</v>
      </c>
      <c r="AE60" s="4">
        <v>44006.565995370373</v>
      </c>
      <c r="AF60" s="3" t="s">
        <v>37</v>
      </c>
    </row>
    <row r="61" spans="1:32" x14ac:dyDescent="0.2">
      <c r="A61" s="2">
        <v>7</v>
      </c>
      <c r="B61" s="5">
        <v>44006</v>
      </c>
      <c r="C61" s="8">
        <f>AC61-(7/24)</f>
        <v>44006.287233796298</v>
      </c>
      <c r="D61" s="3" t="s">
        <v>38</v>
      </c>
      <c r="E61" s="6">
        <v>7</v>
      </c>
      <c r="F61" s="10" t="s">
        <v>31</v>
      </c>
      <c r="G61" s="3" t="s">
        <v>39</v>
      </c>
      <c r="H61" s="3"/>
      <c r="I61" s="3"/>
      <c r="J61" s="3"/>
      <c r="K61" s="10"/>
      <c r="L61" s="11" t="s">
        <v>202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50</v>
      </c>
      <c r="AC61" s="4">
        <v>44006.578900462962</v>
      </c>
      <c r="AD61" s="3" t="s">
        <v>37</v>
      </c>
      <c r="AE61" s="4">
        <v>44006.578900462962</v>
      </c>
      <c r="AF61" s="3" t="s">
        <v>37</v>
      </c>
    </row>
    <row r="62" spans="1:32" x14ac:dyDescent="0.2">
      <c r="A62" s="2">
        <v>8</v>
      </c>
      <c r="B62" s="5">
        <v>44006</v>
      </c>
      <c r="C62" s="8">
        <f>AC62-(7/24)</f>
        <v>44006.28811342593</v>
      </c>
      <c r="D62" s="3" t="s">
        <v>38</v>
      </c>
      <c r="E62" s="6">
        <v>5</v>
      </c>
      <c r="F62" s="10" t="s">
        <v>31</v>
      </c>
      <c r="G62" s="3" t="s">
        <v>51</v>
      </c>
      <c r="H62" s="3"/>
      <c r="I62" s="3"/>
      <c r="J62" s="3"/>
      <c r="K62" s="10"/>
      <c r="L62" s="11" t="s">
        <v>202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52</v>
      </c>
      <c r="AC62" s="4">
        <v>44006.579780092594</v>
      </c>
      <c r="AD62" s="3" t="s">
        <v>37</v>
      </c>
      <c r="AE62" s="4">
        <v>44006.579780092594</v>
      </c>
      <c r="AF62" s="3" t="s">
        <v>37</v>
      </c>
    </row>
    <row r="63" spans="1:32" x14ac:dyDescent="0.2">
      <c r="A63" s="2">
        <v>11</v>
      </c>
      <c r="B63" s="5">
        <v>44006</v>
      </c>
      <c r="C63" s="8">
        <f>AC63-(7/24)</f>
        <v>44006.290381944447</v>
      </c>
      <c r="D63" s="3" t="s">
        <v>38</v>
      </c>
      <c r="E63" s="6">
        <v>7</v>
      </c>
      <c r="F63" s="10" t="s">
        <v>31</v>
      </c>
      <c r="G63" s="3" t="s">
        <v>51</v>
      </c>
      <c r="H63" s="3"/>
      <c r="I63" s="3"/>
      <c r="J63" s="3"/>
      <c r="K63" s="10"/>
      <c r="L63" s="11" t="s">
        <v>202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58</v>
      </c>
      <c r="AC63" s="4">
        <v>44006.582048611112</v>
      </c>
      <c r="AD63" s="3" t="s">
        <v>37</v>
      </c>
      <c r="AE63" s="4">
        <v>44006.582048611112</v>
      </c>
      <c r="AF63" s="3" t="s">
        <v>37</v>
      </c>
    </row>
    <row r="64" spans="1:32" x14ac:dyDescent="0.2">
      <c r="A64" s="2">
        <v>24</v>
      </c>
      <c r="B64" s="5">
        <v>44006</v>
      </c>
      <c r="C64" s="8">
        <f>AC64-(7/24)</f>
        <v>44006.309594907412</v>
      </c>
      <c r="D64" s="3" t="s">
        <v>38</v>
      </c>
      <c r="E64" s="6">
        <v>8</v>
      </c>
      <c r="F64" s="10" t="s">
        <v>31</v>
      </c>
      <c r="G64" s="3" t="s">
        <v>39</v>
      </c>
      <c r="H64" s="3"/>
      <c r="I64" s="3"/>
      <c r="J64" s="3"/>
      <c r="K64" s="10"/>
      <c r="L64" s="11" t="s">
        <v>202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80</v>
      </c>
      <c r="AC64" s="4">
        <v>44006.601261574076</v>
      </c>
      <c r="AD64" s="3" t="s">
        <v>37</v>
      </c>
      <c r="AE64" s="4">
        <v>44006.607037037036</v>
      </c>
      <c r="AF64" s="3" t="s">
        <v>37</v>
      </c>
    </row>
    <row r="65" spans="1:32" x14ac:dyDescent="0.2">
      <c r="A65" s="2">
        <v>38</v>
      </c>
      <c r="B65" s="5">
        <v>44006</v>
      </c>
      <c r="C65" s="8">
        <f>AC65-(7/24)</f>
        <v>44006.332812500004</v>
      </c>
      <c r="D65" s="3" t="s">
        <v>38</v>
      </c>
      <c r="E65" s="6">
        <v>5</v>
      </c>
      <c r="F65" s="10" t="s">
        <v>31</v>
      </c>
      <c r="G65" s="3" t="s">
        <v>48</v>
      </c>
      <c r="H65" s="3"/>
      <c r="I65" s="3"/>
      <c r="J65" s="3"/>
      <c r="K65" s="10"/>
      <c r="L65" s="11" t="s">
        <v>202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102</v>
      </c>
      <c r="AC65" s="4">
        <v>44006.624479166669</v>
      </c>
      <c r="AD65" s="3" t="s">
        <v>37</v>
      </c>
      <c r="AE65" s="4">
        <v>44006.624479166669</v>
      </c>
      <c r="AF65" s="3" t="s">
        <v>37</v>
      </c>
    </row>
    <row r="66" spans="1:32" x14ac:dyDescent="0.2">
      <c r="A66" s="2">
        <v>41</v>
      </c>
      <c r="B66" s="5">
        <v>44006</v>
      </c>
      <c r="C66" s="8">
        <f>AC66-(7/24)</f>
        <v>44006.336354166669</v>
      </c>
      <c r="D66" s="3" t="s">
        <v>38</v>
      </c>
      <c r="E66" s="6">
        <v>5</v>
      </c>
      <c r="F66" s="10" t="s">
        <v>31</v>
      </c>
      <c r="G66" s="3" t="s">
        <v>39</v>
      </c>
      <c r="H66" s="3"/>
      <c r="I66" s="3"/>
      <c r="J66" s="3"/>
      <c r="K66" s="10"/>
      <c r="L66" s="11" t="s">
        <v>202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110</v>
      </c>
      <c r="AC66" s="4">
        <v>44006.628020833334</v>
      </c>
      <c r="AD66" s="3" t="s">
        <v>37</v>
      </c>
      <c r="AE66" s="4">
        <v>44006.628020833334</v>
      </c>
      <c r="AF66" s="3" t="s">
        <v>37</v>
      </c>
    </row>
    <row r="67" spans="1:32" x14ac:dyDescent="0.2">
      <c r="A67" s="2">
        <v>79</v>
      </c>
      <c r="B67" s="5">
        <v>44006</v>
      </c>
      <c r="C67" s="8">
        <f>AC67-(7/24)</f>
        <v>44006.325868055559</v>
      </c>
      <c r="D67" s="3" t="s">
        <v>174</v>
      </c>
      <c r="E67" s="6">
        <v>1</v>
      </c>
      <c r="F67" s="10" t="s">
        <v>31</v>
      </c>
      <c r="G67" s="3" t="s">
        <v>152</v>
      </c>
      <c r="H67" s="3"/>
      <c r="I67" s="3"/>
      <c r="J67" s="3"/>
      <c r="K67" s="10"/>
      <c r="L67" s="11" t="s">
        <v>203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175</v>
      </c>
      <c r="AC67" s="4">
        <v>44006.617534722223</v>
      </c>
      <c r="AD67" s="3" t="s">
        <v>142</v>
      </c>
      <c r="AE67" s="4">
        <v>44006.617534722223</v>
      </c>
      <c r="AF67" s="3" t="s">
        <v>142</v>
      </c>
    </row>
    <row r="68" spans="1:32" x14ac:dyDescent="0.2">
      <c r="A68" s="2">
        <v>90</v>
      </c>
      <c r="B68" s="5">
        <v>44006</v>
      </c>
      <c r="C68" s="8">
        <f>AC68-(7/24)</f>
        <v>44006.340891203705</v>
      </c>
      <c r="D68" s="3" t="s">
        <v>174</v>
      </c>
      <c r="E68" s="6">
        <v>2</v>
      </c>
      <c r="F68" s="10" t="s">
        <v>31</v>
      </c>
      <c r="G68" s="3" t="s">
        <v>54</v>
      </c>
      <c r="H68" s="3"/>
      <c r="I68" s="3"/>
      <c r="J68" s="3"/>
      <c r="K68" s="10"/>
      <c r="L68" s="11" t="s">
        <v>203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186</v>
      </c>
      <c r="AC68" s="4">
        <v>44006.632557870369</v>
      </c>
      <c r="AD68" s="3" t="s">
        <v>142</v>
      </c>
      <c r="AE68" s="4">
        <v>44006.632557870369</v>
      </c>
      <c r="AF68" s="3" t="s">
        <v>142</v>
      </c>
    </row>
    <row r="69" spans="1:32" x14ac:dyDescent="0.2">
      <c r="A69" s="2">
        <v>74</v>
      </c>
      <c r="B69" s="5">
        <v>44006</v>
      </c>
      <c r="C69" s="8">
        <f>AC69-(7/24)</f>
        <v>44006.310520833336</v>
      </c>
      <c r="D69" s="3" t="s">
        <v>165</v>
      </c>
      <c r="E69" s="6">
        <v>1</v>
      </c>
      <c r="F69" s="10" t="s">
        <v>31</v>
      </c>
      <c r="G69" s="3" t="s">
        <v>54</v>
      </c>
      <c r="H69" s="3"/>
      <c r="I69" s="3"/>
      <c r="J69" s="3"/>
      <c r="K69" s="10"/>
      <c r="L69" s="11" t="s">
        <v>203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166</v>
      </c>
      <c r="AC69" s="4">
        <v>44006.602187500001</v>
      </c>
      <c r="AD69" s="3" t="s">
        <v>142</v>
      </c>
      <c r="AE69" s="4">
        <v>44006.602187500001</v>
      </c>
      <c r="AF69" s="3" t="s">
        <v>142</v>
      </c>
    </row>
    <row r="70" spans="1:32" x14ac:dyDescent="0.2">
      <c r="A70" s="2">
        <v>97</v>
      </c>
      <c r="B70" s="5">
        <v>44006</v>
      </c>
      <c r="C70" s="8">
        <f>AC70-(7/24)</f>
        <v>44006.352465277778</v>
      </c>
      <c r="D70" s="3" t="s">
        <v>194</v>
      </c>
      <c r="E70" s="6">
        <v>1</v>
      </c>
      <c r="F70" s="10" t="s">
        <v>31</v>
      </c>
      <c r="G70" s="3" t="s">
        <v>54</v>
      </c>
      <c r="H70" s="3"/>
      <c r="I70" s="3"/>
      <c r="J70" s="3"/>
      <c r="K70" s="10"/>
      <c r="L70" s="11" t="s">
        <v>203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 t="s">
        <v>195</v>
      </c>
      <c r="AC70" s="4">
        <v>44006.644131944442</v>
      </c>
      <c r="AD70" s="3" t="s">
        <v>142</v>
      </c>
      <c r="AE70" s="4">
        <v>44006.644131944442</v>
      </c>
      <c r="AF70" s="3" t="s">
        <v>142</v>
      </c>
    </row>
    <row r="71" spans="1:32" x14ac:dyDescent="0.2">
      <c r="A71" s="2">
        <v>9</v>
      </c>
      <c r="B71" s="5">
        <v>44006</v>
      </c>
      <c r="C71" s="8">
        <f>AC71-(7/24)</f>
        <v>44006.289178240746</v>
      </c>
      <c r="D71" s="3" t="s">
        <v>53</v>
      </c>
      <c r="E71" s="6">
        <v>1</v>
      </c>
      <c r="F71" s="10" t="s">
        <v>31</v>
      </c>
      <c r="G71" s="3" t="s">
        <v>54</v>
      </c>
      <c r="H71" s="3"/>
      <c r="I71" s="3"/>
      <c r="J71" s="3"/>
      <c r="K71" s="10"/>
      <c r="L71" s="11" t="s">
        <v>202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 t="s">
        <v>55</v>
      </c>
      <c r="AC71" s="4">
        <v>44006.58084490741</v>
      </c>
      <c r="AD71" s="3" t="s">
        <v>37</v>
      </c>
      <c r="AE71" s="4">
        <v>44006.58084490741</v>
      </c>
      <c r="AF71" s="3" t="s">
        <v>37</v>
      </c>
    </row>
    <row r="72" spans="1:32" x14ac:dyDescent="0.2">
      <c r="A72" s="2">
        <v>12</v>
      </c>
      <c r="B72" s="5">
        <v>44006</v>
      </c>
      <c r="C72" s="8">
        <f>AC72-(7/24)</f>
        <v>44006.29074074074</v>
      </c>
      <c r="D72" s="3" t="s">
        <v>53</v>
      </c>
      <c r="E72" s="6">
        <v>1</v>
      </c>
      <c r="F72" s="10" t="s">
        <v>31</v>
      </c>
      <c r="G72" s="3" t="s">
        <v>54</v>
      </c>
      <c r="H72" s="3"/>
      <c r="I72" s="3"/>
      <c r="J72" s="3"/>
      <c r="K72" s="10"/>
      <c r="L72" s="11" t="s">
        <v>202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 t="s">
        <v>59</v>
      </c>
      <c r="AC72" s="4">
        <v>44006.582407407404</v>
      </c>
      <c r="AD72" s="3" t="s">
        <v>37</v>
      </c>
      <c r="AE72" s="4">
        <v>44006.582407407404</v>
      </c>
      <c r="AF72" s="3" t="s">
        <v>37</v>
      </c>
    </row>
    <row r="73" spans="1:32" x14ac:dyDescent="0.2">
      <c r="A73" s="2">
        <v>72</v>
      </c>
      <c r="B73" s="5">
        <v>44006</v>
      </c>
      <c r="C73" s="8">
        <f>AC73-(7/24)</f>
        <v>44006.30881944445</v>
      </c>
      <c r="D73" s="3" t="s">
        <v>162</v>
      </c>
      <c r="E73" s="6">
        <v>1</v>
      </c>
      <c r="F73" s="10" t="s">
        <v>31</v>
      </c>
      <c r="G73" s="3" t="s">
        <v>54</v>
      </c>
      <c r="H73" s="3"/>
      <c r="I73" s="3"/>
      <c r="J73" s="3"/>
      <c r="K73" s="10"/>
      <c r="L73" s="11" t="s">
        <v>203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 t="s">
        <v>163</v>
      </c>
      <c r="AC73" s="4">
        <v>44006.600486111114</v>
      </c>
      <c r="AD73" s="3" t="s">
        <v>142</v>
      </c>
      <c r="AE73" s="4">
        <v>44006.600486111114</v>
      </c>
      <c r="AF73" s="3" t="s">
        <v>142</v>
      </c>
    </row>
    <row r="74" spans="1:32" x14ac:dyDescent="0.2">
      <c r="A74" s="2">
        <v>89</v>
      </c>
      <c r="B74" s="5">
        <v>44006</v>
      </c>
      <c r="C74" s="8">
        <f>AC74-(7/24)</f>
        <v>44006.340555555558</v>
      </c>
      <c r="D74" s="3" t="s">
        <v>162</v>
      </c>
      <c r="E74" s="6">
        <v>1</v>
      </c>
      <c r="F74" s="10" t="s">
        <v>31</v>
      </c>
      <c r="G74" s="3" t="s">
        <v>152</v>
      </c>
      <c r="H74" s="3"/>
      <c r="I74" s="3"/>
      <c r="J74" s="3"/>
      <c r="K74" s="10"/>
      <c r="L74" s="11" t="s">
        <v>203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 t="s">
        <v>185</v>
      </c>
      <c r="AC74" s="4">
        <v>44006.632222222222</v>
      </c>
      <c r="AD74" s="3" t="s">
        <v>142</v>
      </c>
      <c r="AE74" s="4">
        <v>44006.632222222222</v>
      </c>
      <c r="AF74" s="3" t="s">
        <v>142</v>
      </c>
    </row>
    <row r="75" spans="1:32" x14ac:dyDescent="0.2">
      <c r="A75" s="2">
        <v>67</v>
      </c>
      <c r="B75" s="5">
        <v>44006</v>
      </c>
      <c r="C75" s="8">
        <f>AC75-(7/24)</f>
        <v>44006.299930555557</v>
      </c>
      <c r="D75" s="3" t="s">
        <v>151</v>
      </c>
      <c r="E75" s="6">
        <v>2</v>
      </c>
      <c r="F75" s="10" t="s">
        <v>31</v>
      </c>
      <c r="G75" s="3" t="s">
        <v>152</v>
      </c>
      <c r="H75" s="3"/>
      <c r="I75" s="3"/>
      <c r="J75" s="3"/>
      <c r="K75" s="10"/>
      <c r="L75" s="11" t="s">
        <v>203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s">
        <v>153</v>
      </c>
      <c r="AC75" s="4">
        <v>44006.591597222221</v>
      </c>
      <c r="AD75" s="3" t="s">
        <v>142</v>
      </c>
      <c r="AE75" s="4">
        <v>44006.591597222221</v>
      </c>
      <c r="AF75" s="3" t="s">
        <v>142</v>
      </c>
    </row>
    <row r="76" spans="1:32" x14ac:dyDescent="0.2">
      <c r="A76" s="2">
        <v>46</v>
      </c>
      <c r="B76" s="5">
        <v>44006</v>
      </c>
      <c r="C76" s="8">
        <f>AC76-(7/24)</f>
        <v>44006.340717592597</v>
      </c>
      <c r="D76" s="3" t="s">
        <v>116</v>
      </c>
      <c r="E76" s="6">
        <v>3</v>
      </c>
      <c r="F76" s="10" t="s">
        <v>31</v>
      </c>
      <c r="G76" s="3" t="s">
        <v>117</v>
      </c>
      <c r="H76" s="3"/>
      <c r="I76" s="3"/>
      <c r="J76" s="3"/>
      <c r="K76" s="10"/>
      <c r="L76" s="11" t="s">
        <v>202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s">
        <v>118</v>
      </c>
      <c r="AC76" s="4">
        <v>44006.632384259261</v>
      </c>
      <c r="AD76" s="3" t="s">
        <v>37</v>
      </c>
      <c r="AE76" s="4">
        <v>44006.632384259261</v>
      </c>
      <c r="AF76" s="3" t="s">
        <v>37</v>
      </c>
    </row>
    <row r="77" spans="1:32" x14ac:dyDescent="0.2">
      <c r="A77" s="2">
        <v>55</v>
      </c>
      <c r="B77" s="5">
        <v>44006</v>
      </c>
      <c r="C77" s="8">
        <f>AC77-(7/24)</f>
        <v>44006.349780092598</v>
      </c>
      <c r="D77" s="3" t="s">
        <v>116</v>
      </c>
      <c r="E77" s="6">
        <v>15</v>
      </c>
      <c r="F77" s="10" t="s">
        <v>31</v>
      </c>
      <c r="G77" s="3" t="s">
        <v>117</v>
      </c>
      <c r="H77" s="3"/>
      <c r="I77" s="3"/>
      <c r="J77" s="3"/>
      <c r="K77" s="10"/>
      <c r="L77" s="11" t="s">
        <v>202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128</v>
      </c>
      <c r="AC77" s="4">
        <v>44006.641446759262</v>
      </c>
      <c r="AD77" s="3" t="s">
        <v>37</v>
      </c>
      <c r="AE77" s="4">
        <v>44006.641446759262</v>
      </c>
      <c r="AF77" s="3" t="s">
        <v>37</v>
      </c>
    </row>
    <row r="78" spans="1:32" x14ac:dyDescent="0.2">
      <c r="A78" s="2">
        <v>91</v>
      </c>
      <c r="B78" s="5">
        <v>44006</v>
      </c>
      <c r="C78" s="8">
        <f>AC78-(7/24)</f>
        <v>44006.34342592593</v>
      </c>
      <c r="D78" s="3" t="s">
        <v>116</v>
      </c>
      <c r="E78" s="6">
        <v>25</v>
      </c>
      <c r="F78" s="10" t="s">
        <v>31</v>
      </c>
      <c r="G78" s="3" t="s">
        <v>75</v>
      </c>
      <c r="H78" s="3"/>
      <c r="I78" s="3"/>
      <c r="J78" s="3"/>
      <c r="K78" s="10"/>
      <c r="L78" s="11" t="s">
        <v>203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 t="s">
        <v>187</v>
      </c>
      <c r="AC78" s="4">
        <v>44006.635092592594</v>
      </c>
      <c r="AD78" s="3" t="s">
        <v>142</v>
      </c>
      <c r="AE78" s="4">
        <v>44006.635092592594</v>
      </c>
      <c r="AF78" s="3" t="s">
        <v>142</v>
      </c>
    </row>
    <row r="79" spans="1:32" x14ac:dyDescent="0.2">
      <c r="A79" s="2">
        <v>27</v>
      </c>
      <c r="B79" s="5">
        <v>44006</v>
      </c>
      <c r="C79" s="8">
        <f>AC79-(7/24)</f>
        <v>44006.320613425931</v>
      </c>
      <c r="D79" s="3" t="s">
        <v>84</v>
      </c>
      <c r="E79" s="6">
        <v>1</v>
      </c>
      <c r="F79" s="10" t="s">
        <v>31</v>
      </c>
      <c r="G79" s="3" t="s">
        <v>39</v>
      </c>
      <c r="H79" s="3"/>
      <c r="I79" s="3"/>
      <c r="J79" s="3"/>
      <c r="K79" s="10"/>
      <c r="L79" s="11" t="s">
        <v>202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s">
        <v>85</v>
      </c>
      <c r="AC79" s="4">
        <v>44006.612280092595</v>
      </c>
      <c r="AD79" s="3" t="s">
        <v>37</v>
      </c>
      <c r="AE79" s="4">
        <v>44006.612280092595</v>
      </c>
      <c r="AF79" s="3" t="s">
        <v>37</v>
      </c>
    </row>
    <row r="80" spans="1:32" x14ac:dyDescent="0.2">
      <c r="A80" s="2">
        <v>56</v>
      </c>
      <c r="B80" s="5">
        <v>44006</v>
      </c>
      <c r="C80" s="8">
        <f>AC80-(7/24)</f>
        <v>44006.360567129632</v>
      </c>
      <c r="D80" s="3" t="s">
        <v>129</v>
      </c>
      <c r="E80" s="6">
        <v>1</v>
      </c>
      <c r="F80" s="10" t="s">
        <v>31</v>
      </c>
      <c r="G80" s="3" t="s">
        <v>61</v>
      </c>
      <c r="H80" s="3"/>
      <c r="I80" s="3"/>
      <c r="J80" s="3"/>
      <c r="K80" s="10"/>
      <c r="L80" s="11" t="s">
        <v>202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 t="s">
        <v>130</v>
      </c>
      <c r="AC80" s="4">
        <v>44006.652233796296</v>
      </c>
      <c r="AD80" s="3" t="s">
        <v>37</v>
      </c>
      <c r="AE80" s="4">
        <v>44006.652233796296</v>
      </c>
      <c r="AF80" s="3" t="s">
        <v>37</v>
      </c>
    </row>
    <row r="81" spans="1:32" x14ac:dyDescent="0.2">
      <c r="A81" s="2">
        <v>85</v>
      </c>
      <c r="B81" s="5">
        <v>44006</v>
      </c>
      <c r="C81" s="8">
        <f>AC81-(7/24)</f>
        <v>44006.336377314816</v>
      </c>
      <c r="D81" s="3" t="s">
        <v>129</v>
      </c>
      <c r="E81" s="6">
        <v>1</v>
      </c>
      <c r="F81" s="10" t="s">
        <v>31</v>
      </c>
      <c r="G81" s="3" t="s">
        <v>65</v>
      </c>
      <c r="H81" s="3"/>
      <c r="I81" s="3"/>
      <c r="J81" s="3"/>
      <c r="K81" s="10"/>
      <c r="L81" s="11" t="s">
        <v>203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 t="s">
        <v>181</v>
      </c>
      <c r="AC81" s="4">
        <v>44006.62804398148</v>
      </c>
      <c r="AD81" s="3" t="s">
        <v>142</v>
      </c>
      <c r="AE81" s="4">
        <v>44006.62804398148</v>
      </c>
      <c r="AF81" s="3" t="s">
        <v>142</v>
      </c>
    </row>
    <row r="82" spans="1:32" x14ac:dyDescent="0.2">
      <c r="A82" s="2">
        <v>23</v>
      </c>
      <c r="B82" s="5">
        <v>44006</v>
      </c>
      <c r="C82" s="8">
        <f>AC82-(7/24)</f>
        <v>44006.30840277778</v>
      </c>
      <c r="D82" s="3" t="s">
        <v>78</v>
      </c>
      <c r="E82" s="6">
        <v>3</v>
      </c>
      <c r="F82" s="10" t="s">
        <v>31</v>
      </c>
      <c r="G82" s="3" t="s">
        <v>61</v>
      </c>
      <c r="H82" s="3"/>
      <c r="I82" s="3"/>
      <c r="J82" s="3"/>
      <c r="K82" s="10"/>
      <c r="L82" s="11" t="s">
        <v>202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 t="s">
        <v>79</v>
      </c>
      <c r="AC82" s="4">
        <v>44006.600069444445</v>
      </c>
      <c r="AD82" s="3" t="s">
        <v>37</v>
      </c>
      <c r="AE82" s="4">
        <v>44006.600069444445</v>
      </c>
      <c r="AF82" s="3" t="s">
        <v>37</v>
      </c>
    </row>
    <row r="83" spans="1:32" x14ac:dyDescent="0.2">
      <c r="A83" s="2">
        <v>37</v>
      </c>
      <c r="B83" s="5">
        <v>44006</v>
      </c>
      <c r="C83" s="8">
        <f>AC83-(7/24)</f>
        <v>44006.332638888889</v>
      </c>
      <c r="D83" s="3" t="s">
        <v>100</v>
      </c>
      <c r="E83" s="6">
        <v>1</v>
      </c>
      <c r="F83" s="10" t="s">
        <v>31</v>
      </c>
      <c r="G83" s="3" t="s">
        <v>48</v>
      </c>
      <c r="H83" s="3"/>
      <c r="I83" s="3"/>
      <c r="J83" s="3"/>
      <c r="K83" s="10"/>
      <c r="L83" s="11" t="s">
        <v>202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 t="s">
        <v>101</v>
      </c>
      <c r="AC83" s="4">
        <v>44006.624305555553</v>
      </c>
      <c r="AD83" s="3" t="s">
        <v>37</v>
      </c>
      <c r="AE83" s="4">
        <v>44006.624305555553</v>
      </c>
      <c r="AF83" s="3" t="s">
        <v>37</v>
      </c>
    </row>
    <row r="84" spans="1:32" x14ac:dyDescent="0.2">
      <c r="A84" s="2">
        <v>58</v>
      </c>
      <c r="B84" s="5">
        <v>44006</v>
      </c>
      <c r="C84" s="8">
        <f>AC84-(7/24)</f>
        <v>44006.368796296301</v>
      </c>
      <c r="D84" s="3" t="s">
        <v>100</v>
      </c>
      <c r="E84" s="6">
        <v>1</v>
      </c>
      <c r="F84" s="10" t="s">
        <v>31</v>
      </c>
      <c r="G84" s="3" t="s">
        <v>48</v>
      </c>
      <c r="H84" s="3"/>
      <c r="I84" s="3"/>
      <c r="J84" s="3"/>
      <c r="K84" s="10"/>
      <c r="L84" s="11" t="s">
        <v>202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 t="s">
        <v>132</v>
      </c>
      <c r="AC84" s="4">
        <v>44006.660462962966</v>
      </c>
      <c r="AD84" s="3" t="s">
        <v>37</v>
      </c>
      <c r="AE84" s="4">
        <v>44006.660462962966</v>
      </c>
      <c r="AF84" s="3" t="s">
        <v>37</v>
      </c>
    </row>
    <row r="85" spans="1:32" x14ac:dyDescent="0.2">
      <c r="A85" s="2">
        <v>14</v>
      </c>
      <c r="B85" s="5">
        <v>44006</v>
      </c>
      <c r="C85" s="8">
        <f>AC85-(7/24)</f>
        <v>44006.296620370376</v>
      </c>
      <c r="D85" s="3" t="s">
        <v>63</v>
      </c>
      <c r="E85" s="6">
        <v>1</v>
      </c>
      <c r="F85" s="10" t="s">
        <v>31</v>
      </c>
      <c r="G85" s="3" t="s">
        <v>61</v>
      </c>
      <c r="H85" s="3"/>
      <c r="I85" s="3"/>
      <c r="J85" s="3"/>
      <c r="K85" s="10"/>
      <c r="L85" s="11" t="s">
        <v>202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 t="s">
        <v>64</v>
      </c>
      <c r="AC85" s="4">
        <v>44006.588287037041</v>
      </c>
      <c r="AD85" s="3" t="s">
        <v>37</v>
      </c>
      <c r="AE85" s="4">
        <v>44006.588287037041</v>
      </c>
      <c r="AF85" s="3" t="s">
        <v>37</v>
      </c>
    </row>
    <row r="86" spans="1:32" x14ac:dyDescent="0.2">
      <c r="A86" s="2">
        <v>15</v>
      </c>
      <c r="B86" s="5">
        <v>44006</v>
      </c>
      <c r="C86" s="8">
        <f>AC86-(7/24)</f>
        <v>44006.297858796301</v>
      </c>
      <c r="D86" s="3" t="s">
        <v>63</v>
      </c>
      <c r="E86" s="6">
        <v>2</v>
      </c>
      <c r="F86" s="10" t="s">
        <v>31</v>
      </c>
      <c r="G86" s="3" t="s">
        <v>65</v>
      </c>
      <c r="H86" s="3"/>
      <c r="I86" s="3"/>
      <c r="J86" s="3"/>
      <c r="K86" s="10"/>
      <c r="L86" s="11" t="s">
        <v>202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 t="s">
        <v>66</v>
      </c>
      <c r="AC86" s="4">
        <v>44006.589525462965</v>
      </c>
      <c r="AD86" s="3" t="s">
        <v>37</v>
      </c>
      <c r="AE86" s="4">
        <v>44006.589525462965</v>
      </c>
      <c r="AF86" s="3" t="s">
        <v>37</v>
      </c>
    </row>
    <row r="87" spans="1:32" x14ac:dyDescent="0.2">
      <c r="A87" s="2">
        <v>21</v>
      </c>
      <c r="B87" s="5">
        <v>44006</v>
      </c>
      <c r="C87" s="8">
        <f>AC87-(7/24)</f>
        <v>44006.30604166667</v>
      </c>
      <c r="D87" s="3" t="s">
        <v>63</v>
      </c>
      <c r="E87" s="6">
        <v>1</v>
      </c>
      <c r="F87" s="10" t="s">
        <v>31</v>
      </c>
      <c r="G87" s="3" t="s">
        <v>75</v>
      </c>
      <c r="H87" s="3"/>
      <c r="I87" s="3"/>
      <c r="J87" s="3"/>
      <c r="K87" s="10"/>
      <c r="L87" s="11" t="s">
        <v>202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 t="s">
        <v>76</v>
      </c>
      <c r="AC87" s="4">
        <v>44006.597708333335</v>
      </c>
      <c r="AD87" s="3" t="s">
        <v>37</v>
      </c>
      <c r="AE87" s="4">
        <v>44006.597708333335</v>
      </c>
      <c r="AF87" s="3" t="s">
        <v>37</v>
      </c>
    </row>
    <row r="88" spans="1:32" x14ac:dyDescent="0.2">
      <c r="A88" s="2">
        <v>28</v>
      </c>
      <c r="B88" s="5">
        <v>44006</v>
      </c>
      <c r="C88" s="8">
        <f>AC88-(7/24)</f>
        <v>44006.322442129633</v>
      </c>
      <c r="D88" s="3" t="s">
        <v>63</v>
      </c>
      <c r="E88" s="6">
        <v>1</v>
      </c>
      <c r="F88" s="10" t="s">
        <v>31</v>
      </c>
      <c r="G88" s="3" t="s">
        <v>61</v>
      </c>
      <c r="H88" s="3"/>
      <c r="I88" s="3"/>
      <c r="J88" s="3"/>
      <c r="K88" s="10"/>
      <c r="L88" s="11" t="s">
        <v>202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 t="s">
        <v>86</v>
      </c>
      <c r="AC88" s="4">
        <v>44006.614108796297</v>
      </c>
      <c r="AD88" s="3" t="s">
        <v>37</v>
      </c>
      <c r="AE88" s="4">
        <v>44006.614108796297</v>
      </c>
      <c r="AF88" s="3" t="s">
        <v>37</v>
      </c>
    </row>
    <row r="89" spans="1:32" x14ac:dyDescent="0.2">
      <c r="A89" s="2">
        <v>43</v>
      </c>
      <c r="B89" s="5">
        <v>44006</v>
      </c>
      <c r="C89" s="8">
        <f>AC89-(7/24)</f>
        <v>44006.337384259263</v>
      </c>
      <c r="D89" s="3" t="s">
        <v>63</v>
      </c>
      <c r="E89" s="6">
        <v>1</v>
      </c>
      <c r="F89" s="10" t="s">
        <v>31</v>
      </c>
      <c r="G89" s="3" t="s">
        <v>61</v>
      </c>
      <c r="H89" s="3"/>
      <c r="I89" s="3"/>
      <c r="J89" s="3"/>
      <c r="K89" s="10"/>
      <c r="L89" s="11" t="s">
        <v>202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 t="s">
        <v>112</v>
      </c>
      <c r="AC89" s="4">
        <v>44006.629050925927</v>
      </c>
      <c r="AD89" s="3" t="s">
        <v>37</v>
      </c>
      <c r="AE89" s="4">
        <v>44006.629050925927</v>
      </c>
      <c r="AF89" s="3" t="s">
        <v>37</v>
      </c>
    </row>
    <row r="90" spans="1:32" x14ac:dyDescent="0.2">
      <c r="A90" s="2">
        <v>53</v>
      </c>
      <c r="B90" s="5">
        <v>44006</v>
      </c>
      <c r="C90" s="8">
        <f>AC90-(7/24)</f>
        <v>44006.348796296297</v>
      </c>
      <c r="D90" s="3" t="s">
        <v>63</v>
      </c>
      <c r="E90" s="6">
        <v>1</v>
      </c>
      <c r="F90" s="10" t="s">
        <v>31</v>
      </c>
      <c r="G90" s="3" t="s">
        <v>75</v>
      </c>
      <c r="H90" s="3"/>
      <c r="I90" s="3"/>
      <c r="J90" s="3"/>
      <c r="K90" s="10"/>
      <c r="L90" s="11" t="s">
        <v>202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 t="s">
        <v>126</v>
      </c>
      <c r="AC90" s="4">
        <v>44006.640462962961</v>
      </c>
      <c r="AD90" s="3" t="s">
        <v>37</v>
      </c>
      <c r="AE90" s="4">
        <v>44006.640462962961</v>
      </c>
      <c r="AF90" s="3" t="s">
        <v>37</v>
      </c>
    </row>
    <row r="91" spans="1:32" x14ac:dyDescent="0.2">
      <c r="A91" s="2">
        <v>84</v>
      </c>
      <c r="B91" s="5">
        <v>44006</v>
      </c>
      <c r="C91" s="8">
        <f>AC91-(7/24)</f>
        <v>44006.334108796298</v>
      </c>
      <c r="D91" s="3" t="s">
        <v>63</v>
      </c>
      <c r="E91" s="6">
        <v>1</v>
      </c>
      <c r="F91" s="10" t="s">
        <v>31</v>
      </c>
      <c r="G91" s="3" t="s">
        <v>65</v>
      </c>
      <c r="H91" s="3"/>
      <c r="I91" s="3"/>
      <c r="J91" s="3"/>
      <c r="K91" s="10"/>
      <c r="L91" s="11" t="s">
        <v>203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 t="s">
        <v>180</v>
      </c>
      <c r="AC91" s="4">
        <v>44006.625775462962</v>
      </c>
      <c r="AD91" s="3" t="s">
        <v>142</v>
      </c>
      <c r="AE91" s="4">
        <v>44006.625775462962</v>
      </c>
      <c r="AF91" s="3" t="s">
        <v>142</v>
      </c>
    </row>
    <row r="92" spans="1:32" x14ac:dyDescent="0.2">
      <c r="A92" s="2">
        <v>86</v>
      </c>
      <c r="B92" s="5">
        <v>44006</v>
      </c>
      <c r="C92" s="8">
        <f>AC92-(7/24)</f>
        <v>44006.338969907411</v>
      </c>
      <c r="D92" s="3" t="s">
        <v>63</v>
      </c>
      <c r="E92" s="6">
        <v>1</v>
      </c>
      <c r="F92" s="10" t="s">
        <v>31</v>
      </c>
      <c r="G92" s="3" t="s">
        <v>65</v>
      </c>
      <c r="H92" s="3"/>
      <c r="I92" s="3"/>
      <c r="J92" s="3"/>
      <c r="K92" s="10"/>
      <c r="L92" s="11" t="s">
        <v>203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s">
        <v>182</v>
      </c>
      <c r="AC92" s="4">
        <v>44006.630636574075</v>
      </c>
      <c r="AD92" s="3" t="s">
        <v>142</v>
      </c>
      <c r="AE92" s="4">
        <v>44006.630636574075</v>
      </c>
      <c r="AF92" s="3" t="s">
        <v>142</v>
      </c>
    </row>
    <row r="93" spans="1:32" x14ac:dyDescent="0.2">
      <c r="A93" s="2">
        <v>87</v>
      </c>
      <c r="B93" s="5">
        <v>44006</v>
      </c>
      <c r="C93" s="8">
        <f>AC93-(7/24)</f>
        <v>44006.340104166666</v>
      </c>
      <c r="D93" s="3" t="s">
        <v>63</v>
      </c>
      <c r="E93" s="6">
        <v>1</v>
      </c>
      <c r="F93" s="10" t="s">
        <v>31</v>
      </c>
      <c r="G93" s="3" t="s">
        <v>54</v>
      </c>
      <c r="H93" s="3"/>
      <c r="I93" s="3"/>
      <c r="J93" s="3"/>
      <c r="K93" s="10"/>
      <c r="L93" s="11" t="s">
        <v>203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s">
        <v>183</v>
      </c>
      <c r="AC93" s="4">
        <v>44006.63177083333</v>
      </c>
      <c r="AD93" s="3" t="s">
        <v>142</v>
      </c>
      <c r="AE93" s="4">
        <v>44006.63177083333</v>
      </c>
      <c r="AF93" s="3" t="s">
        <v>142</v>
      </c>
    </row>
    <row r="94" spans="1:32" x14ac:dyDescent="0.2">
      <c r="A94" s="2">
        <v>88</v>
      </c>
      <c r="B94" s="5">
        <v>44006</v>
      </c>
      <c r="C94" s="8">
        <f>AC94-(7/24)</f>
        <v>44006.340243055558</v>
      </c>
      <c r="D94" s="3" t="s">
        <v>63</v>
      </c>
      <c r="E94" s="6">
        <v>1</v>
      </c>
      <c r="F94" s="10" t="s">
        <v>31</v>
      </c>
      <c r="G94" s="3" t="s">
        <v>65</v>
      </c>
      <c r="H94" s="3"/>
      <c r="I94" s="3"/>
      <c r="J94" s="3"/>
      <c r="K94" s="10"/>
      <c r="L94" s="11" t="s">
        <v>203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 t="s">
        <v>184</v>
      </c>
      <c r="AC94" s="4">
        <v>44006.631909722222</v>
      </c>
      <c r="AD94" s="3" t="s">
        <v>142</v>
      </c>
      <c r="AE94" s="4">
        <v>44006.631909722222</v>
      </c>
      <c r="AF94" s="3" t="s">
        <v>142</v>
      </c>
    </row>
    <row r="95" spans="1:32" x14ac:dyDescent="0.2">
      <c r="A95" s="2">
        <v>96</v>
      </c>
      <c r="B95" s="5">
        <v>44006</v>
      </c>
      <c r="C95" s="8">
        <f>AC95-(7/24)</f>
        <v>44006.352280092593</v>
      </c>
      <c r="D95" s="3" t="s">
        <v>63</v>
      </c>
      <c r="E95" s="6">
        <v>3</v>
      </c>
      <c r="F95" s="10" t="s">
        <v>31</v>
      </c>
      <c r="G95" s="3" t="s">
        <v>65</v>
      </c>
      <c r="H95" s="3"/>
      <c r="I95" s="3"/>
      <c r="J95" s="3"/>
      <c r="K95" s="10"/>
      <c r="L95" s="11" t="s">
        <v>203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 t="s">
        <v>193</v>
      </c>
      <c r="AC95" s="4">
        <v>44006.643946759257</v>
      </c>
      <c r="AD95" s="3" t="s">
        <v>142</v>
      </c>
      <c r="AE95" s="4">
        <v>44006.643946759257</v>
      </c>
      <c r="AF95" s="3" t="s">
        <v>142</v>
      </c>
    </row>
    <row r="96" spans="1:32" x14ac:dyDescent="0.2">
      <c r="A96" s="2">
        <v>99</v>
      </c>
      <c r="B96" s="5">
        <v>44006</v>
      </c>
      <c r="C96" s="8">
        <f>AC96-(7/24)</f>
        <v>44006.353784722225</v>
      </c>
      <c r="D96" s="3" t="s">
        <v>63</v>
      </c>
      <c r="E96" s="6">
        <v>1</v>
      </c>
      <c r="F96" s="10" t="s">
        <v>31</v>
      </c>
      <c r="G96" s="3" t="s">
        <v>65</v>
      </c>
      <c r="H96" s="3"/>
      <c r="I96" s="3"/>
      <c r="J96" s="3"/>
      <c r="K96" s="10"/>
      <c r="L96" s="11" t="s">
        <v>203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 t="s">
        <v>198</v>
      </c>
      <c r="AC96" s="4">
        <v>44006.645451388889</v>
      </c>
      <c r="AD96" s="3" t="s">
        <v>142</v>
      </c>
      <c r="AE96" s="4">
        <v>44006.645451388889</v>
      </c>
      <c r="AF96" s="3" t="s">
        <v>142</v>
      </c>
    </row>
    <row r="97" spans="1:32" x14ac:dyDescent="0.2">
      <c r="A97" s="2">
        <v>75</v>
      </c>
      <c r="B97" s="5">
        <v>44006</v>
      </c>
      <c r="C97" s="8">
        <f>AC97-(7/24)</f>
        <v>44006.313622685186</v>
      </c>
      <c r="D97" s="3" t="s">
        <v>167</v>
      </c>
      <c r="E97" s="6">
        <v>1</v>
      </c>
      <c r="F97" s="10" t="s">
        <v>31</v>
      </c>
      <c r="G97" s="3" t="s">
        <v>168</v>
      </c>
      <c r="H97" s="3"/>
      <c r="I97" s="3"/>
      <c r="J97" s="3"/>
      <c r="K97" s="10"/>
      <c r="L97" s="11" t="s">
        <v>203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s">
        <v>169</v>
      </c>
      <c r="AC97" s="4">
        <v>44006.60528935185</v>
      </c>
      <c r="AD97" s="3" t="s">
        <v>142</v>
      </c>
      <c r="AE97" s="4">
        <v>44006.60528935185</v>
      </c>
      <c r="AF97" s="3" t="s">
        <v>142</v>
      </c>
    </row>
    <row r="98" spans="1:32" x14ac:dyDescent="0.2">
      <c r="A98" s="2">
        <v>6</v>
      </c>
      <c r="B98" s="5">
        <v>44006</v>
      </c>
      <c r="C98" s="8">
        <f>AC98-(7/24)</f>
        <v>44006.286226851851</v>
      </c>
      <c r="D98" s="3" t="s">
        <v>47</v>
      </c>
      <c r="E98" s="6">
        <v>2</v>
      </c>
      <c r="F98" s="10" t="s">
        <v>31</v>
      </c>
      <c r="G98" s="3" t="s">
        <v>48</v>
      </c>
      <c r="H98" s="3"/>
      <c r="I98" s="3"/>
      <c r="J98" s="3"/>
      <c r="K98" s="10"/>
      <c r="L98" s="11" t="s">
        <v>202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 t="s">
        <v>49</v>
      </c>
      <c r="AC98" s="4">
        <v>44006.577893518515</v>
      </c>
      <c r="AD98" s="3" t="s">
        <v>37</v>
      </c>
      <c r="AE98" s="4">
        <v>44006.577893518515</v>
      </c>
      <c r="AF98" s="3" t="s">
        <v>37</v>
      </c>
    </row>
    <row r="99" spans="1:32" x14ac:dyDescent="0.2">
      <c r="A99" s="2">
        <v>22</v>
      </c>
      <c r="B99" s="5">
        <v>44006</v>
      </c>
      <c r="C99" s="8">
        <f>AC99-(7/24)</f>
        <v>44006.307893518519</v>
      </c>
      <c r="D99" s="3" t="s">
        <v>47</v>
      </c>
      <c r="E99" s="6">
        <v>1</v>
      </c>
      <c r="F99" s="10" t="s">
        <v>31</v>
      </c>
      <c r="G99" s="3" t="s">
        <v>43</v>
      </c>
      <c r="H99" s="3"/>
      <c r="I99" s="3"/>
      <c r="J99" s="3"/>
      <c r="K99" s="10"/>
      <c r="L99" s="11" t="s">
        <v>202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s">
        <v>77</v>
      </c>
      <c r="AC99" s="4">
        <v>44006.599560185183</v>
      </c>
      <c r="AD99" s="3" t="s">
        <v>37</v>
      </c>
      <c r="AE99" s="4">
        <v>44006.599560185183</v>
      </c>
      <c r="AF99" s="3" t="s">
        <v>37</v>
      </c>
    </row>
    <row r="100" spans="1:32" x14ac:dyDescent="0.2">
      <c r="A100" s="2">
        <v>30</v>
      </c>
      <c r="B100" s="5">
        <v>44006</v>
      </c>
      <c r="C100" s="8">
        <f>AC100-(7/24)</f>
        <v>44006.325543981482</v>
      </c>
      <c r="D100" s="3" t="s">
        <v>89</v>
      </c>
      <c r="E100" s="6">
        <v>3</v>
      </c>
      <c r="F100" s="10" t="s">
        <v>31</v>
      </c>
      <c r="G100" s="3" t="s">
        <v>48</v>
      </c>
      <c r="H100" s="3"/>
      <c r="I100" s="3"/>
      <c r="J100" s="3"/>
      <c r="K100" s="10"/>
      <c r="L100" s="11" t="s">
        <v>202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s">
        <v>90</v>
      </c>
      <c r="AC100" s="4">
        <v>44006.617210648146</v>
      </c>
      <c r="AD100" s="3" t="s">
        <v>37</v>
      </c>
      <c r="AE100" s="4">
        <v>44006.617210648146</v>
      </c>
      <c r="AF100" s="3" t="s">
        <v>37</v>
      </c>
    </row>
    <row r="101" spans="1:32" x14ac:dyDescent="0.2">
      <c r="A101" s="2">
        <v>63</v>
      </c>
      <c r="B101" s="5">
        <v>44006</v>
      </c>
      <c r="C101" s="8">
        <f>AC101-(7/24)</f>
        <v>44006.287905092599</v>
      </c>
      <c r="D101" s="3" t="s">
        <v>143</v>
      </c>
      <c r="E101" s="6">
        <v>2</v>
      </c>
      <c r="F101" s="10" t="s">
        <v>31</v>
      </c>
      <c r="G101" s="3" t="s">
        <v>75</v>
      </c>
      <c r="H101" s="3"/>
      <c r="I101" s="3" t="s">
        <v>107</v>
      </c>
      <c r="J101" s="3" t="s">
        <v>144</v>
      </c>
      <c r="K101" s="10"/>
      <c r="L101" s="11" t="s">
        <v>203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 t="s">
        <v>145</v>
      </c>
      <c r="AC101" s="4">
        <v>44006.579571759263</v>
      </c>
      <c r="AD101" s="3" t="s">
        <v>142</v>
      </c>
      <c r="AE101" s="4">
        <v>44006.579571759263</v>
      </c>
      <c r="AF101" s="3" t="s">
        <v>142</v>
      </c>
    </row>
    <row r="102" spans="1:32" x14ac:dyDescent="0.2">
      <c r="A102" s="2">
        <v>65</v>
      </c>
      <c r="B102" s="5">
        <v>44006</v>
      </c>
      <c r="C102" s="8">
        <f>AC102-(7/24)</f>
        <v>44006.291909722226</v>
      </c>
      <c r="D102" s="3" t="s">
        <v>147</v>
      </c>
      <c r="E102" s="6">
        <v>1</v>
      </c>
      <c r="F102" s="10" t="s">
        <v>31</v>
      </c>
      <c r="G102" s="3" t="s">
        <v>54</v>
      </c>
      <c r="H102" s="3"/>
      <c r="I102" s="3" t="s">
        <v>148</v>
      </c>
      <c r="J102" s="3"/>
      <c r="K102" s="10"/>
      <c r="L102" s="11" t="s">
        <v>203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 t="s">
        <v>149</v>
      </c>
      <c r="AC102" s="4">
        <v>44006.58357638889</v>
      </c>
      <c r="AD102" s="3" t="s">
        <v>142</v>
      </c>
      <c r="AE102" s="4">
        <v>44006.58421296296</v>
      </c>
      <c r="AF102" s="3" t="s">
        <v>142</v>
      </c>
    </row>
  </sheetData>
  <autoFilter ref="A1:AF102" xr:uid="{347BA0D0-14D8-4575-AD30-19182BD7F331}"/>
  <sortState xmlns:xlrd2="http://schemas.microsoft.com/office/spreadsheetml/2017/richdata2" ref="A2:AF102">
    <sortCondition ref="D2:D10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B331-4B78-415A-A35E-6A95162DC957}">
  <dimension ref="A1:F46"/>
  <sheetViews>
    <sheetView topLeftCell="A16" workbookViewId="0">
      <selection activeCell="D6" sqref="D6:D45"/>
    </sheetView>
  </sheetViews>
  <sheetFormatPr defaultRowHeight="12.75" x14ac:dyDescent="0.2"/>
  <cols>
    <col min="1" max="1" width="25.85546875" bestFit="1" customWidth="1"/>
    <col min="2" max="2" width="24.28515625" bestFit="1" customWidth="1"/>
    <col min="3" max="3" width="27.42578125" bestFit="1" customWidth="1"/>
    <col min="4" max="4" width="8.28515625" bestFit="1" customWidth="1"/>
    <col min="5" max="5" width="24.28515625" bestFit="1" customWidth="1"/>
    <col min="6" max="6" width="9" bestFit="1" customWidth="1"/>
    <col min="7" max="7" width="11.7109375" bestFit="1" customWidth="1"/>
  </cols>
  <sheetData>
    <row r="1" spans="1:6" x14ac:dyDescent="0.2">
      <c r="D1" s="41" t="s">
        <v>211</v>
      </c>
      <c r="E1" s="40" t="s">
        <v>210</v>
      </c>
      <c r="F1" s="40"/>
    </row>
    <row r="2" spans="1:6" x14ac:dyDescent="0.2">
      <c r="D2" s="41"/>
      <c r="E2" s="40"/>
      <c r="F2" s="40"/>
    </row>
    <row r="3" spans="1:6" x14ac:dyDescent="0.2">
      <c r="A3" s="12" t="s">
        <v>206</v>
      </c>
      <c r="B3" s="12" t="s">
        <v>207</v>
      </c>
      <c r="D3" s="17"/>
      <c r="E3" s="14"/>
      <c r="F3" s="14"/>
    </row>
    <row r="4" spans="1:6" x14ac:dyDescent="0.2">
      <c r="B4" t="s">
        <v>31</v>
      </c>
      <c r="D4" s="17" t="s">
        <v>208</v>
      </c>
      <c r="E4" s="20" t="s">
        <v>106</v>
      </c>
      <c r="F4" s="20" t="s">
        <v>209</v>
      </c>
    </row>
    <row r="5" spans="1:6" x14ac:dyDescent="0.2">
      <c r="A5" s="12" t="s">
        <v>204</v>
      </c>
      <c r="B5" t="s">
        <v>202</v>
      </c>
      <c r="C5" t="s">
        <v>203</v>
      </c>
      <c r="D5" s="17"/>
      <c r="E5" s="20" t="s">
        <v>202</v>
      </c>
      <c r="F5" s="20"/>
    </row>
    <row r="6" spans="1:6" x14ac:dyDescent="0.2">
      <c r="A6" s="34" t="s">
        <v>67</v>
      </c>
      <c r="B6" s="22">
        <v>3</v>
      </c>
      <c r="C6" s="22"/>
      <c r="D6" s="23">
        <v>3</v>
      </c>
      <c r="E6" s="24"/>
      <c r="F6" s="25"/>
    </row>
    <row r="7" spans="1:6" x14ac:dyDescent="0.2">
      <c r="A7" s="35" t="s">
        <v>56</v>
      </c>
      <c r="B7" s="26">
        <v>10</v>
      </c>
      <c r="C7" s="26"/>
      <c r="D7" s="27">
        <v>10</v>
      </c>
      <c r="E7" s="28"/>
      <c r="F7" s="29"/>
    </row>
    <row r="8" spans="1:6" x14ac:dyDescent="0.2">
      <c r="A8" s="35" t="s">
        <v>42</v>
      </c>
      <c r="B8" s="26">
        <v>3</v>
      </c>
      <c r="C8" s="26">
        <v>1</v>
      </c>
      <c r="D8" s="27">
        <v>4</v>
      </c>
      <c r="E8" s="28"/>
      <c r="F8" s="29"/>
    </row>
    <row r="9" spans="1:6" x14ac:dyDescent="0.2">
      <c r="A9" s="35" t="s">
        <v>172</v>
      </c>
      <c r="B9" s="26"/>
      <c r="C9" s="26">
        <v>1</v>
      </c>
      <c r="D9" s="27">
        <v>1</v>
      </c>
      <c r="E9" s="28"/>
      <c r="F9" s="29"/>
    </row>
    <row r="10" spans="1:6" x14ac:dyDescent="0.2">
      <c r="A10" s="35" t="s">
        <v>91</v>
      </c>
      <c r="B10" s="26">
        <v>3</v>
      </c>
      <c r="C10" s="26">
        <v>5</v>
      </c>
      <c r="D10" s="27">
        <v>8</v>
      </c>
      <c r="E10" s="28"/>
      <c r="F10" s="29"/>
    </row>
    <row r="11" spans="1:6" x14ac:dyDescent="0.2">
      <c r="A11" s="35" t="s">
        <v>81</v>
      </c>
      <c r="B11" s="26">
        <v>3</v>
      </c>
      <c r="C11" s="26"/>
      <c r="D11" s="27">
        <v>3</v>
      </c>
      <c r="E11" s="28"/>
      <c r="F11" s="29"/>
    </row>
    <row r="12" spans="1:6" x14ac:dyDescent="0.2">
      <c r="A12" s="35" t="s">
        <v>154</v>
      </c>
      <c r="B12" s="26"/>
      <c r="C12" s="26">
        <v>5</v>
      </c>
      <c r="D12" s="27">
        <v>5</v>
      </c>
      <c r="E12" s="28"/>
      <c r="F12" s="29"/>
    </row>
    <row r="13" spans="1:6" x14ac:dyDescent="0.2">
      <c r="A13" s="35" t="s">
        <v>196</v>
      </c>
      <c r="B13" s="26"/>
      <c r="C13" s="26">
        <v>1</v>
      </c>
      <c r="D13" s="27">
        <v>1</v>
      </c>
      <c r="E13" s="28"/>
      <c r="F13" s="29"/>
    </row>
    <row r="14" spans="1:6" x14ac:dyDescent="0.2">
      <c r="A14" s="35" t="s">
        <v>72</v>
      </c>
      <c r="B14" s="26">
        <v>1</v>
      </c>
      <c r="C14" s="26"/>
      <c r="D14" s="27">
        <v>1</v>
      </c>
      <c r="E14" s="28"/>
      <c r="F14" s="29"/>
    </row>
    <row r="15" spans="1:6" x14ac:dyDescent="0.2">
      <c r="A15" s="35" t="s">
        <v>105</v>
      </c>
      <c r="B15" s="26"/>
      <c r="C15" s="26">
        <v>6</v>
      </c>
      <c r="D15" s="27">
        <v>6</v>
      </c>
      <c r="E15" s="28">
        <v>6</v>
      </c>
      <c r="F15" s="29">
        <v>6</v>
      </c>
    </row>
    <row r="16" spans="1:6" x14ac:dyDescent="0.2">
      <c r="A16" s="35" t="s">
        <v>136</v>
      </c>
      <c r="B16" s="26">
        <v>3</v>
      </c>
      <c r="C16" s="26"/>
      <c r="D16" s="27">
        <v>3</v>
      </c>
      <c r="E16" s="28"/>
      <c r="F16" s="29"/>
    </row>
    <row r="17" spans="1:6" x14ac:dyDescent="0.2">
      <c r="A17" s="35" t="s">
        <v>45</v>
      </c>
      <c r="B17" s="26">
        <v>196</v>
      </c>
      <c r="C17" s="26">
        <v>2</v>
      </c>
      <c r="D17" s="27">
        <v>198</v>
      </c>
      <c r="E17" s="28"/>
      <c r="F17" s="29"/>
    </row>
    <row r="18" spans="1:6" x14ac:dyDescent="0.2">
      <c r="A18" s="35" t="s">
        <v>60</v>
      </c>
      <c r="B18" s="26">
        <v>4</v>
      </c>
      <c r="C18" s="26">
        <v>1</v>
      </c>
      <c r="D18" s="27">
        <v>5</v>
      </c>
      <c r="E18" s="28"/>
      <c r="F18" s="29"/>
    </row>
    <row r="19" spans="1:6" x14ac:dyDescent="0.2">
      <c r="A19" s="35" t="s">
        <v>133</v>
      </c>
      <c r="B19" s="26">
        <v>2</v>
      </c>
      <c r="C19" s="26">
        <v>1</v>
      </c>
      <c r="D19" s="27">
        <v>3</v>
      </c>
      <c r="E19" s="28"/>
      <c r="F19" s="29"/>
    </row>
    <row r="20" spans="1:6" x14ac:dyDescent="0.2">
      <c r="A20" s="35" t="s">
        <v>191</v>
      </c>
      <c r="B20" s="26"/>
      <c r="C20" s="26">
        <v>4</v>
      </c>
      <c r="D20" s="27">
        <v>4</v>
      </c>
      <c r="E20" s="28"/>
      <c r="F20" s="29"/>
    </row>
    <row r="21" spans="1:6" x14ac:dyDescent="0.2">
      <c r="A21" s="35" t="s">
        <v>103</v>
      </c>
      <c r="B21" s="26">
        <v>1</v>
      </c>
      <c r="C21" s="26"/>
      <c r="D21" s="27">
        <v>1</v>
      </c>
      <c r="E21" s="28"/>
      <c r="F21" s="29"/>
    </row>
    <row r="22" spans="1:6" x14ac:dyDescent="0.2">
      <c r="A22" s="35" t="s">
        <v>30</v>
      </c>
      <c r="B22" s="26">
        <v>21</v>
      </c>
      <c r="C22" s="26">
        <v>3</v>
      </c>
      <c r="D22" s="27">
        <v>24</v>
      </c>
      <c r="E22" s="28"/>
      <c r="F22" s="29"/>
    </row>
    <row r="23" spans="1:6" x14ac:dyDescent="0.2">
      <c r="A23" s="35" t="s">
        <v>123</v>
      </c>
      <c r="B23" s="26">
        <v>10</v>
      </c>
      <c r="C23" s="26">
        <v>1</v>
      </c>
      <c r="D23" s="27">
        <v>11</v>
      </c>
      <c r="E23" s="28"/>
      <c r="F23" s="29"/>
    </row>
    <row r="24" spans="1:6" x14ac:dyDescent="0.2">
      <c r="A24" s="35" t="s">
        <v>87</v>
      </c>
      <c r="B24" s="26">
        <v>1</v>
      </c>
      <c r="C24" s="26">
        <v>1</v>
      </c>
      <c r="D24" s="27">
        <v>2</v>
      </c>
      <c r="E24" s="28"/>
      <c r="F24" s="29"/>
    </row>
    <row r="25" spans="1:6" x14ac:dyDescent="0.2">
      <c r="A25" s="35" t="s">
        <v>157</v>
      </c>
      <c r="B25" s="26"/>
      <c r="C25" s="26">
        <v>4</v>
      </c>
      <c r="D25" s="27">
        <v>4</v>
      </c>
      <c r="E25" s="28"/>
      <c r="F25" s="29"/>
    </row>
    <row r="26" spans="1:6" x14ac:dyDescent="0.2">
      <c r="A26" s="35" t="s">
        <v>95</v>
      </c>
      <c r="B26" s="26">
        <v>5</v>
      </c>
      <c r="C26" s="26"/>
      <c r="D26" s="27">
        <v>5</v>
      </c>
      <c r="E26" s="28"/>
      <c r="F26" s="29"/>
    </row>
    <row r="27" spans="1:6" x14ac:dyDescent="0.2">
      <c r="A27" s="35" t="s">
        <v>160</v>
      </c>
      <c r="B27" s="26"/>
      <c r="C27" s="26">
        <v>1</v>
      </c>
      <c r="D27" s="27">
        <v>1</v>
      </c>
      <c r="E27" s="28"/>
      <c r="F27" s="29"/>
    </row>
    <row r="28" spans="1:6" x14ac:dyDescent="0.2">
      <c r="A28" s="35" t="s">
        <v>38</v>
      </c>
      <c r="B28" s="26">
        <v>51</v>
      </c>
      <c r="C28" s="26"/>
      <c r="D28" s="27">
        <v>51</v>
      </c>
      <c r="E28" s="28"/>
      <c r="F28" s="29"/>
    </row>
    <row r="29" spans="1:6" x14ac:dyDescent="0.2">
      <c r="A29" s="35" t="s">
        <v>174</v>
      </c>
      <c r="B29" s="26"/>
      <c r="C29" s="26">
        <v>3</v>
      </c>
      <c r="D29" s="27">
        <v>3</v>
      </c>
      <c r="E29" s="28"/>
      <c r="F29" s="29"/>
    </row>
    <row r="30" spans="1:6" x14ac:dyDescent="0.2">
      <c r="A30" s="35" t="s">
        <v>165</v>
      </c>
      <c r="B30" s="26"/>
      <c r="C30" s="26">
        <v>1</v>
      </c>
      <c r="D30" s="27">
        <v>1</v>
      </c>
      <c r="E30" s="28"/>
      <c r="F30" s="29"/>
    </row>
    <row r="31" spans="1:6" x14ac:dyDescent="0.2">
      <c r="A31" s="35" t="s">
        <v>194</v>
      </c>
      <c r="B31" s="26"/>
      <c r="C31" s="26">
        <v>1</v>
      </c>
      <c r="D31" s="27">
        <v>1</v>
      </c>
      <c r="E31" s="28"/>
      <c r="F31" s="29"/>
    </row>
    <row r="32" spans="1:6" x14ac:dyDescent="0.2">
      <c r="A32" s="35" t="s">
        <v>53</v>
      </c>
      <c r="B32" s="26">
        <v>2</v>
      </c>
      <c r="C32" s="26"/>
      <c r="D32" s="27">
        <v>2</v>
      </c>
      <c r="E32" s="28"/>
      <c r="F32" s="29"/>
    </row>
    <row r="33" spans="1:6" x14ac:dyDescent="0.2">
      <c r="A33" s="35" t="s">
        <v>162</v>
      </c>
      <c r="B33" s="26"/>
      <c r="C33" s="26">
        <v>2</v>
      </c>
      <c r="D33" s="27">
        <v>2</v>
      </c>
      <c r="E33" s="28"/>
      <c r="F33" s="29"/>
    </row>
    <row r="34" spans="1:6" x14ac:dyDescent="0.2">
      <c r="A34" s="35" t="s">
        <v>151</v>
      </c>
      <c r="B34" s="26"/>
      <c r="C34" s="26">
        <v>2</v>
      </c>
      <c r="D34" s="27">
        <v>2</v>
      </c>
      <c r="E34" s="28"/>
      <c r="F34" s="29"/>
    </row>
    <row r="35" spans="1:6" x14ac:dyDescent="0.2">
      <c r="A35" s="35" t="s">
        <v>116</v>
      </c>
      <c r="B35" s="26">
        <v>18</v>
      </c>
      <c r="C35" s="26">
        <v>25</v>
      </c>
      <c r="D35" s="27">
        <v>43</v>
      </c>
      <c r="E35" s="28"/>
      <c r="F35" s="29"/>
    </row>
    <row r="36" spans="1:6" x14ac:dyDescent="0.2">
      <c r="A36" s="35" t="s">
        <v>84</v>
      </c>
      <c r="B36" s="26">
        <v>1</v>
      </c>
      <c r="C36" s="26"/>
      <c r="D36" s="27">
        <v>1</v>
      </c>
      <c r="E36" s="28"/>
      <c r="F36" s="29"/>
    </row>
    <row r="37" spans="1:6" x14ac:dyDescent="0.2">
      <c r="A37" s="35" t="s">
        <v>129</v>
      </c>
      <c r="B37" s="26">
        <v>1</v>
      </c>
      <c r="C37" s="26">
        <v>1</v>
      </c>
      <c r="D37" s="27">
        <v>2</v>
      </c>
      <c r="E37" s="28"/>
      <c r="F37" s="29"/>
    </row>
    <row r="38" spans="1:6" x14ac:dyDescent="0.2">
      <c r="A38" s="35" t="s">
        <v>78</v>
      </c>
      <c r="B38" s="26">
        <v>3</v>
      </c>
      <c r="C38" s="26"/>
      <c r="D38" s="27">
        <v>3</v>
      </c>
      <c r="E38" s="28"/>
      <c r="F38" s="29"/>
    </row>
    <row r="39" spans="1:6" x14ac:dyDescent="0.2">
      <c r="A39" s="35" t="s">
        <v>100</v>
      </c>
      <c r="B39" s="26">
        <v>2</v>
      </c>
      <c r="C39" s="26"/>
      <c r="D39" s="27">
        <v>2</v>
      </c>
      <c r="E39" s="28"/>
      <c r="F39" s="29"/>
    </row>
    <row r="40" spans="1:6" x14ac:dyDescent="0.2">
      <c r="A40" s="35" t="s">
        <v>63</v>
      </c>
      <c r="B40" s="26">
        <v>7</v>
      </c>
      <c r="C40" s="26">
        <v>8</v>
      </c>
      <c r="D40" s="27">
        <v>15</v>
      </c>
      <c r="E40" s="28"/>
      <c r="F40" s="29"/>
    </row>
    <row r="41" spans="1:6" x14ac:dyDescent="0.2">
      <c r="A41" s="35" t="s">
        <v>167</v>
      </c>
      <c r="B41" s="26"/>
      <c r="C41" s="26">
        <v>1</v>
      </c>
      <c r="D41" s="27">
        <v>1</v>
      </c>
      <c r="E41" s="28"/>
      <c r="F41" s="29"/>
    </row>
    <row r="42" spans="1:6" x14ac:dyDescent="0.2">
      <c r="A42" s="35" t="s">
        <v>47</v>
      </c>
      <c r="B42" s="26">
        <v>3</v>
      </c>
      <c r="C42" s="26"/>
      <c r="D42" s="27">
        <v>3</v>
      </c>
      <c r="E42" s="28"/>
      <c r="F42" s="29"/>
    </row>
    <row r="43" spans="1:6" x14ac:dyDescent="0.2">
      <c r="A43" s="35" t="s">
        <v>89</v>
      </c>
      <c r="B43" s="26">
        <v>3</v>
      </c>
      <c r="C43" s="26"/>
      <c r="D43" s="27">
        <v>3</v>
      </c>
      <c r="E43" s="28"/>
      <c r="F43" s="29"/>
    </row>
    <row r="44" spans="1:6" x14ac:dyDescent="0.2">
      <c r="A44" s="35" t="s">
        <v>143</v>
      </c>
      <c r="B44" s="26"/>
      <c r="C44" s="26">
        <v>2</v>
      </c>
      <c r="D44" s="27">
        <v>2</v>
      </c>
      <c r="E44" s="28"/>
      <c r="F44" s="29"/>
    </row>
    <row r="45" spans="1:6" x14ac:dyDescent="0.2">
      <c r="A45" s="36" t="s">
        <v>147</v>
      </c>
      <c r="B45" s="30"/>
      <c r="C45" s="30">
        <v>1</v>
      </c>
      <c r="D45" s="31">
        <v>1</v>
      </c>
      <c r="E45" s="32"/>
      <c r="F45" s="33"/>
    </row>
    <row r="46" spans="1:6" x14ac:dyDescent="0.2">
      <c r="A46" s="13" t="s">
        <v>205</v>
      </c>
      <c r="B46" s="16">
        <v>357</v>
      </c>
      <c r="C46" s="16">
        <v>84</v>
      </c>
      <c r="D46" s="21">
        <v>441</v>
      </c>
      <c r="E46" s="19">
        <v>6</v>
      </c>
      <c r="F46" s="15">
        <v>6</v>
      </c>
    </row>
  </sheetData>
  <mergeCells count="2">
    <mergeCell ref="E1:F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2236-5CD4-486E-998E-124BE72A16C1}">
  <dimension ref="A1:B41"/>
  <sheetViews>
    <sheetView topLeftCell="A13" workbookViewId="0">
      <selection activeCell="E8" sqref="E8"/>
    </sheetView>
  </sheetViews>
  <sheetFormatPr defaultRowHeight="12.75" x14ac:dyDescent="0.2"/>
  <cols>
    <col min="1" max="1" width="25.85546875" bestFit="1" customWidth="1"/>
    <col min="2" max="2" width="13.42578125" style="7" bestFit="1" customWidth="1"/>
  </cols>
  <sheetData>
    <row r="1" spans="1:2" x14ac:dyDescent="0.2">
      <c r="A1" s="37" t="s">
        <v>213</v>
      </c>
      <c r="B1" s="38" t="s">
        <v>214</v>
      </c>
    </row>
    <row r="2" spans="1:2" x14ac:dyDescent="0.2">
      <c r="A2" t="s">
        <v>67</v>
      </c>
      <c r="B2" s="7">
        <v>3</v>
      </c>
    </row>
    <row r="3" spans="1:2" x14ac:dyDescent="0.2">
      <c r="A3" t="s">
        <v>56</v>
      </c>
      <c r="B3" s="7">
        <v>10</v>
      </c>
    </row>
    <row r="4" spans="1:2" x14ac:dyDescent="0.2">
      <c r="A4" t="s">
        <v>42</v>
      </c>
      <c r="B4" s="7">
        <v>4</v>
      </c>
    </row>
    <row r="5" spans="1:2" x14ac:dyDescent="0.2">
      <c r="A5" t="s">
        <v>172</v>
      </c>
      <c r="B5" s="7">
        <v>1</v>
      </c>
    </row>
    <row r="6" spans="1:2" x14ac:dyDescent="0.2">
      <c r="A6" t="s">
        <v>91</v>
      </c>
      <c r="B6" s="7">
        <v>8</v>
      </c>
    </row>
    <row r="7" spans="1:2" x14ac:dyDescent="0.2">
      <c r="A7" t="s">
        <v>81</v>
      </c>
      <c r="B7" s="7">
        <v>3</v>
      </c>
    </row>
    <row r="8" spans="1:2" x14ac:dyDescent="0.2">
      <c r="A8" t="s">
        <v>154</v>
      </c>
      <c r="B8" s="7">
        <v>5</v>
      </c>
    </row>
    <row r="9" spans="1:2" x14ac:dyDescent="0.2">
      <c r="A9" t="s">
        <v>196</v>
      </c>
      <c r="B9" s="7">
        <v>1</v>
      </c>
    </row>
    <row r="10" spans="1:2" x14ac:dyDescent="0.2">
      <c r="A10" t="s">
        <v>72</v>
      </c>
      <c r="B10" s="7">
        <v>1</v>
      </c>
    </row>
    <row r="11" spans="1:2" x14ac:dyDescent="0.2">
      <c r="A11" t="s">
        <v>105</v>
      </c>
      <c r="B11" s="7">
        <v>6</v>
      </c>
    </row>
    <row r="12" spans="1:2" x14ac:dyDescent="0.2">
      <c r="A12" t="s">
        <v>136</v>
      </c>
      <c r="B12" s="7">
        <v>3</v>
      </c>
    </row>
    <row r="13" spans="1:2" x14ac:dyDescent="0.2">
      <c r="A13" t="s">
        <v>45</v>
      </c>
      <c r="B13" s="7">
        <v>198</v>
      </c>
    </row>
    <row r="14" spans="1:2" x14ac:dyDescent="0.2">
      <c r="A14" t="s">
        <v>60</v>
      </c>
      <c r="B14" s="7">
        <v>5</v>
      </c>
    </row>
    <row r="15" spans="1:2" x14ac:dyDescent="0.2">
      <c r="A15" t="s">
        <v>133</v>
      </c>
      <c r="B15" s="7">
        <v>3</v>
      </c>
    </row>
    <row r="16" spans="1:2" x14ac:dyDescent="0.2">
      <c r="A16" t="s">
        <v>191</v>
      </c>
      <c r="B16" s="7">
        <v>4</v>
      </c>
    </row>
    <row r="17" spans="1:2" x14ac:dyDescent="0.2">
      <c r="A17" t="s">
        <v>103</v>
      </c>
      <c r="B17" s="7">
        <v>1</v>
      </c>
    </row>
    <row r="18" spans="1:2" x14ac:dyDescent="0.2">
      <c r="A18" t="s">
        <v>30</v>
      </c>
      <c r="B18" s="7">
        <v>24</v>
      </c>
    </row>
    <row r="19" spans="1:2" x14ac:dyDescent="0.2">
      <c r="A19" t="s">
        <v>123</v>
      </c>
      <c r="B19" s="7">
        <v>11</v>
      </c>
    </row>
    <row r="20" spans="1:2" x14ac:dyDescent="0.2">
      <c r="A20" t="s">
        <v>87</v>
      </c>
      <c r="B20" s="7">
        <v>2</v>
      </c>
    </row>
    <row r="21" spans="1:2" x14ac:dyDescent="0.2">
      <c r="A21" t="s">
        <v>157</v>
      </c>
      <c r="B21" s="7">
        <v>4</v>
      </c>
    </row>
    <row r="22" spans="1:2" x14ac:dyDescent="0.2">
      <c r="A22" t="s">
        <v>95</v>
      </c>
      <c r="B22" s="7">
        <v>5</v>
      </c>
    </row>
    <row r="23" spans="1:2" x14ac:dyDescent="0.2">
      <c r="A23" t="s">
        <v>160</v>
      </c>
      <c r="B23" s="7">
        <v>1</v>
      </c>
    </row>
    <row r="24" spans="1:2" x14ac:dyDescent="0.2">
      <c r="A24" t="s">
        <v>38</v>
      </c>
      <c r="B24" s="7">
        <v>51</v>
      </c>
    </row>
    <row r="25" spans="1:2" x14ac:dyDescent="0.2">
      <c r="A25" t="s">
        <v>174</v>
      </c>
      <c r="B25" s="7">
        <v>3</v>
      </c>
    </row>
    <row r="26" spans="1:2" x14ac:dyDescent="0.2">
      <c r="A26" t="s">
        <v>165</v>
      </c>
      <c r="B26" s="7">
        <v>1</v>
      </c>
    </row>
    <row r="27" spans="1:2" x14ac:dyDescent="0.2">
      <c r="A27" t="s">
        <v>194</v>
      </c>
      <c r="B27" s="7">
        <v>1</v>
      </c>
    </row>
    <row r="28" spans="1:2" x14ac:dyDescent="0.2">
      <c r="A28" t="s">
        <v>53</v>
      </c>
      <c r="B28" s="7">
        <v>2</v>
      </c>
    </row>
    <row r="29" spans="1:2" x14ac:dyDescent="0.2">
      <c r="A29" t="s">
        <v>162</v>
      </c>
      <c r="B29" s="7">
        <v>2</v>
      </c>
    </row>
    <row r="30" spans="1:2" x14ac:dyDescent="0.2">
      <c r="A30" t="s">
        <v>151</v>
      </c>
      <c r="B30" s="7">
        <v>2</v>
      </c>
    </row>
    <row r="31" spans="1:2" x14ac:dyDescent="0.2">
      <c r="A31" t="s">
        <v>116</v>
      </c>
      <c r="B31" s="7">
        <v>43</v>
      </c>
    </row>
    <row r="32" spans="1:2" x14ac:dyDescent="0.2">
      <c r="A32" t="s">
        <v>84</v>
      </c>
      <c r="B32" s="7">
        <v>1</v>
      </c>
    </row>
    <row r="33" spans="1:2" x14ac:dyDescent="0.2">
      <c r="A33" t="s">
        <v>129</v>
      </c>
      <c r="B33" s="7">
        <v>2</v>
      </c>
    </row>
    <row r="34" spans="1:2" x14ac:dyDescent="0.2">
      <c r="A34" t="s">
        <v>78</v>
      </c>
      <c r="B34" s="7">
        <v>3</v>
      </c>
    </row>
    <row r="35" spans="1:2" x14ac:dyDescent="0.2">
      <c r="A35" t="s">
        <v>100</v>
      </c>
      <c r="B35" s="7">
        <v>2</v>
      </c>
    </row>
    <row r="36" spans="1:2" x14ac:dyDescent="0.2">
      <c r="A36" t="s">
        <v>63</v>
      </c>
      <c r="B36" s="7">
        <v>15</v>
      </c>
    </row>
    <row r="37" spans="1:2" x14ac:dyDescent="0.2">
      <c r="A37" t="s">
        <v>167</v>
      </c>
      <c r="B37" s="7">
        <v>1</v>
      </c>
    </row>
    <row r="38" spans="1:2" x14ac:dyDescent="0.2">
      <c r="A38" t="s">
        <v>47</v>
      </c>
      <c r="B38" s="7">
        <v>3</v>
      </c>
    </row>
    <row r="39" spans="1:2" x14ac:dyDescent="0.2">
      <c r="A39" t="s">
        <v>89</v>
      </c>
      <c r="B39" s="7">
        <v>3</v>
      </c>
    </row>
    <row r="40" spans="1:2" x14ac:dyDescent="0.2">
      <c r="A40" t="s">
        <v>143</v>
      </c>
      <c r="B40" s="7">
        <v>2</v>
      </c>
    </row>
    <row r="41" spans="1:2" x14ac:dyDescent="0.2">
      <c r="A41" t="s">
        <v>147</v>
      </c>
      <c r="B41" s="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NCOS_Bird_Survey_Data_2020_0624</vt:lpstr>
      <vt:lpstr>PTable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2020-06-24T19:10:34Z</dcterms:created>
  <dcterms:modified xsi:type="dcterms:W3CDTF">2021-03-18T18:00:03Z</dcterms:modified>
</cp:coreProperties>
</file>