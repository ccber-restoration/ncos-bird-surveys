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B6E279FC-B1B5-4FD0-A7AD-D3A4BE6519B8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COS_Bird_Survey_Data_2020_0422" sheetId="1" r:id="rId1"/>
    <sheet name="Ptable" sheetId="2" r:id="rId2"/>
    <sheet name="Final_Totals" sheetId="3" r:id="rId3"/>
  </sheets>
  <definedNames>
    <definedName name="_xlnm._FilterDatabase" localSheetId="0" hidden="1">NCOS_Bird_Survey_Data_2020_0422!$A$1:$AH$184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2" i="1"/>
  <c r="G179" i="1"/>
  <c r="G27" i="1"/>
  <c r="G150" i="1"/>
  <c r="G100" i="1"/>
  <c r="G157" i="1"/>
  <c r="G57" i="1"/>
  <c r="G107" i="1"/>
  <c r="G34" i="1"/>
  <c r="G13" i="1"/>
  <c r="G49" i="1"/>
  <c r="G71" i="1"/>
  <c r="G21" i="1"/>
  <c r="G79" i="1"/>
  <c r="G184" i="1"/>
  <c r="G38" i="1"/>
  <c r="G7" i="1"/>
  <c r="G72" i="1"/>
  <c r="G59" i="1"/>
  <c r="G102" i="1"/>
  <c r="G51" i="1"/>
  <c r="G113" i="1"/>
  <c r="G103" i="1"/>
  <c r="G39" i="1"/>
  <c r="G114" i="1"/>
  <c r="G104" i="1"/>
  <c r="G108" i="1"/>
  <c r="G177" i="1"/>
  <c r="G40" i="1"/>
  <c r="G37" i="1"/>
  <c r="G15" i="1"/>
  <c r="G163" i="1"/>
  <c r="G61" i="1"/>
  <c r="G142" i="1"/>
  <c r="G10" i="1"/>
  <c r="G91" i="1"/>
  <c r="G54" i="1"/>
  <c r="G73" i="1"/>
  <c r="G105" i="1"/>
  <c r="G41" i="1"/>
  <c r="G98" i="1"/>
  <c r="G136" i="1"/>
  <c r="G166" i="1"/>
  <c r="G172" i="1"/>
  <c r="G74" i="1"/>
  <c r="G18" i="1"/>
  <c r="G62" i="1"/>
  <c r="G181" i="1"/>
  <c r="G93" i="1"/>
  <c r="G85" i="1"/>
  <c r="G94" i="1"/>
  <c r="G63" i="1"/>
  <c r="G47" i="1"/>
  <c r="G44" i="1"/>
  <c r="G55" i="1"/>
  <c r="G64" i="1"/>
  <c r="G168" i="1"/>
  <c r="G96" i="1"/>
  <c r="G65" i="1"/>
  <c r="G19" i="1"/>
  <c r="G132" i="1"/>
  <c r="G69" i="1"/>
  <c r="G126" i="1"/>
  <c r="G118" i="1"/>
  <c r="G146" i="1"/>
  <c r="G75" i="1"/>
  <c r="G123" i="1"/>
  <c r="G140" i="1"/>
  <c r="G5" i="1"/>
  <c r="G178" i="1"/>
  <c r="G133" i="1"/>
  <c r="G182" i="1"/>
  <c r="G183" i="1"/>
  <c r="G137" i="1"/>
  <c r="G46" i="1"/>
  <c r="G127" i="1"/>
  <c r="G149" i="1"/>
  <c r="G110" i="1"/>
  <c r="G180" i="1"/>
  <c r="G28" i="1"/>
  <c r="G111" i="1"/>
  <c r="G77" i="1"/>
  <c r="G148" i="1"/>
  <c r="G78" i="1"/>
  <c r="G66" i="1"/>
  <c r="G81" i="1"/>
  <c r="G48" i="1"/>
  <c r="G151" i="1"/>
  <c r="G58" i="1"/>
  <c r="G134" i="1"/>
  <c r="G173" i="1"/>
  <c r="G158" i="1"/>
  <c r="G6" i="1"/>
  <c r="G101" i="1"/>
  <c r="G174" i="1"/>
  <c r="G119" i="1"/>
  <c r="G138" i="1"/>
  <c r="G50" i="1"/>
  <c r="G154" i="1"/>
  <c r="G112" i="1"/>
  <c r="G135" i="1"/>
  <c r="G159" i="1"/>
  <c r="G141" i="1"/>
  <c r="G42" i="1"/>
  <c r="G2" i="1"/>
  <c r="G129" i="1"/>
  <c r="G139" i="1"/>
  <c r="G83" i="1"/>
  <c r="G176" i="1"/>
  <c r="G3" i="1"/>
  <c r="G88" i="1"/>
  <c r="G128" i="1"/>
  <c r="G4" i="1"/>
  <c r="G30" i="1"/>
  <c r="G43" i="1"/>
  <c r="G120" i="1"/>
  <c r="G22" i="1"/>
  <c r="G87" i="1"/>
  <c r="G70" i="1"/>
  <c r="G32" i="1"/>
  <c r="G14" i="1"/>
  <c r="G89" i="1"/>
  <c r="G52" i="1"/>
  <c r="G143" i="1"/>
  <c r="G8" i="1"/>
  <c r="G86" i="1"/>
  <c r="G60" i="1"/>
  <c r="G160" i="1"/>
  <c r="G144" i="1"/>
  <c r="G97" i="1"/>
  <c r="G161" i="1"/>
  <c r="G90" i="1"/>
  <c r="G162" i="1"/>
  <c r="G26" i="1"/>
  <c r="G67" i="1"/>
  <c r="G124" i="1"/>
  <c r="G53" i="1"/>
  <c r="G84" i="1"/>
  <c r="G145" i="1"/>
  <c r="G155" i="1"/>
  <c r="G121" i="1"/>
  <c r="G125" i="1"/>
  <c r="G16" i="1"/>
  <c r="G9" i="1"/>
  <c r="G170" i="1"/>
  <c r="G175" i="1"/>
  <c r="G122" i="1"/>
  <c r="G35" i="1"/>
  <c r="G130" i="1"/>
  <c r="G17" i="1"/>
  <c r="G23" i="1"/>
  <c r="G131" i="1"/>
  <c r="G164" i="1"/>
  <c r="G29" i="1"/>
  <c r="G106" i="1"/>
  <c r="G11" i="1"/>
  <c r="G92" i="1"/>
  <c r="G171" i="1"/>
  <c r="G165" i="1"/>
  <c r="G152" i="1"/>
  <c r="G115" i="1"/>
  <c r="G36" i="1"/>
  <c r="G167" i="1"/>
  <c r="G12" i="1"/>
  <c r="G95" i="1"/>
  <c r="G116" i="1"/>
  <c r="G45" i="1"/>
  <c r="G31" i="1"/>
  <c r="G33" i="1"/>
  <c r="G153" i="1"/>
  <c r="G117" i="1"/>
  <c r="G156" i="1"/>
  <c r="G147" i="1"/>
  <c r="G99" i="1"/>
  <c r="G76" i="1"/>
  <c r="G68" i="1"/>
  <c r="G56" i="1"/>
  <c r="G169" i="1"/>
  <c r="G80" i="1"/>
  <c r="G24" i="1"/>
  <c r="G25" i="1"/>
  <c r="G82" i="1"/>
  <c r="G20" i="1"/>
  <c r="G109" i="1"/>
</calcChain>
</file>

<file path=xl/sharedStrings.xml><?xml version="1.0" encoding="utf-8"?>
<sst xmlns="http://schemas.openxmlformats.org/spreadsheetml/2006/main" count="1644" uniqueCount="319">
  <si>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</si>
  <si>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</si>
  <si>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</si>
  <si>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</si>
  <si>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</si>
  <si>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</si>
  <si>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</si>
  <si>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</si>
  <si>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</si>
  <si>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</si>
  <si>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</si>
  <si>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</si>
  <si>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</si>
  <si>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</si>
  <si>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</si>
  <si>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</si>
  <si>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</si>
  <si>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</si>
  <si>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</si>
  <si>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</si>
  <si>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</si>
  <si>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</si>
  <si>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</si>
  <si>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</si>
  <si>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</si>
  <si>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</si>
  <si>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</si>
  <si>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</si>
  <si>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</si>
  <si>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</si>
  <si>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Least Sandpiper</t>
  </si>
  <si>
    <t>No</t>
  </si>
  <si>
    <t>Bare ground</t>
  </si>
  <si>
    <t>{803f9b9f-3f14-41ff-920c-494e427e4231}</t>
  </si>
  <si>
    <t>ccber_user</t>
  </si>
  <si>
    <t>Western Sandpiper</t>
  </si>
  <si>
    <t>{67e829df-8c79-4ff6-a2e1-800a10172dd9}</t>
  </si>
  <si>
    <t>Black-necked Stilt</t>
  </si>
  <si>
    <t>{5732804a-8602-4ffa-afde-b98e23af6457}</t>
  </si>
  <si>
    <t>Semipalmated Plover</t>
  </si>
  <si>
    <t>{8e2ac7e4-db16-4d7b-8ab6-0fc6b48aa572}</t>
  </si>
  <si>
    <t>Killdeer</t>
  </si>
  <si>
    <t>{2d7b6070-d023-4534-a125-e443e568b7e5}</t>
  </si>
  <si>
    <t>Song Sparrow</t>
  </si>
  <si>
    <t>Fence</t>
  </si>
  <si>
    <t>{a35fec4b-4d87-491c-9b62-5fcc5fbf8ad4}</t>
  </si>
  <si>
    <t>Common Yellowthroat</t>
  </si>
  <si>
    <t>Vegetation - Shrub</t>
  </si>
  <si>
    <t>{c2e92bde-5ca2-4919-ace4-f21909d6c653}</t>
  </si>
  <si>
    <t>Lark Sparrow</t>
  </si>
  <si>
    <t>Vegetation - Tree</t>
  </si>
  <si>
    <t>{084d2085-8b67-404d-a18d-2b276296e54e}</t>
  </si>
  <si>
    <t>Bushtit</t>
  </si>
  <si>
    <t>{4a1961c1-eeb4-4ae8-baf0-2754b94efb17}</t>
  </si>
  <si>
    <t>Anna's Hummingbird</t>
  </si>
  <si>
    <t>{92ec7b15-8683-4abb-990d-8338decabdf6}</t>
  </si>
  <si>
    <t>Cliff Swallow</t>
  </si>
  <si>
    <t>Air</t>
  </si>
  <si>
    <t>{d7d5c85e-f492-46d0-9220-5656a6017a4c}</t>
  </si>
  <si>
    <t>European Starling</t>
  </si>
  <si>
    <t>Flyover</t>
  </si>
  <si>
    <t>{92eb46ae-7b03-41b4-9842-3f49759610e0}</t>
  </si>
  <si>
    <t>Bewick's Wren</t>
  </si>
  <si>
    <t>{7ea2766a-8f41-4d8e-84b9-b5c49db89ae8}</t>
  </si>
  <si>
    <t>Gadwall</t>
  </si>
  <si>
    <t>Water - Floating</t>
  </si>
  <si>
    <t>{c51a4e8a-9fd3-4c2a-a5cc-736d28686b93}</t>
  </si>
  <si>
    <t>Yellow-headed Blackbird</t>
  </si>
  <si>
    <t>{192e7f78-b02d-4143-bed9-c4bf86c5fa98}</t>
  </si>
  <si>
    <t>Cassin's Kingbird</t>
  </si>
  <si>
    <t>{70a66368-6557-4c84-a186-2047361dbe12}</t>
  </si>
  <si>
    <t>American Crow</t>
  </si>
  <si>
    <t>Habitat Feature - Snag</t>
  </si>
  <si>
    <t>{7f900311-9f83-466a-8e5b-5ae96627605c}</t>
  </si>
  <si>
    <t>Vegetation - Herbaceous</t>
  </si>
  <si>
    <t>{0ee8af09-8c63-40a9-9ff7-657a4fdadae4}</t>
  </si>
  <si>
    <t>{ef3f29e9-4877-499c-a89a-e7d3343641c3}</t>
  </si>
  <si>
    <t>{b6866eb9-0476-4ab9-9b63-0aaa76e926b1}</t>
  </si>
  <si>
    <t>{04541df0-9774-4701-ac17-9288ed749e5e}</t>
  </si>
  <si>
    <t>Water - Wading</t>
  </si>
  <si>
    <t>{272cfdff-8e98-4306-a6fb-b88a4206dc32}</t>
  </si>
  <si>
    <t>Other</t>
  </si>
  <si>
    <t>baby with adult</t>
  </si>
  <si>
    <t>{18f941e0-2dfc-4622-82bf-ff47e48d9a50}</t>
  </si>
  <si>
    <t>{0c1e3750-c691-42f2-998d-821e6b9996b1}</t>
  </si>
  <si>
    <t>{6b6a645e-b412-42f9-9c08-ea953fc72901}</t>
  </si>
  <si>
    <t>{6ad96e9a-6b83-4512-90bc-be874ae21b0e}</t>
  </si>
  <si>
    <t>Copulation</t>
  </si>
  <si>
    <t>{ea7f28ad-94f6-4b6e-96b4-d70cf9476d80}</t>
  </si>
  <si>
    <t>Western Kingbird</t>
  </si>
  <si>
    <t>{70ecfd90-9bb3-4dc6-abd1-c770fe06de9e}</t>
  </si>
  <si>
    <t>{f01d9197-bcfa-4daa-ac9d-ba84a0b7e804}</t>
  </si>
  <si>
    <t>Canada Goose</t>
  </si>
  <si>
    <t>{715e7e12-1cb8-4cc3-984f-da3fef3050bb}</t>
  </si>
  <si>
    <t>{524de0fd-f3a2-44b1-b913-3843e2a856fe}</t>
  </si>
  <si>
    <t>{03ee5aee-300e-4b43-b777-ae6e6c123bec}</t>
  </si>
  <si>
    <t>{ee9787d0-5bfb-43c1-80fd-38e57630cd9f}</t>
  </si>
  <si>
    <t>Savannah Sparrow</t>
  </si>
  <si>
    <t>{836dc99b-8c35-49c1-b772-a99a75b53cd0}</t>
  </si>
  <si>
    <t>{1b310ee1-5874-4448-8524-42eaf7fd30d0}</t>
  </si>
  <si>
    <t>House Finch</t>
  </si>
  <si>
    <t>{34157967-6dde-4ab3-87d1-4e9a417b6af4}</t>
  </si>
  <si>
    <t>Yes</t>
  </si>
  <si>
    <t>{bf72005a-3e38-4bc5-94cb-b49a35eaceb2}</t>
  </si>
  <si>
    <t>{1c7658d9-d754-4036-9d65-e8132e3419e6}</t>
  </si>
  <si>
    <t>{8977e15d-7e6f-4003-acaf-7950cdf114d7}</t>
  </si>
  <si>
    <t>{7c4dbe2d-af59-4448-93f6-89eb261a801c}</t>
  </si>
  <si>
    <t>House Sparrow</t>
  </si>
  <si>
    <t>{aa5eb297-5621-49da-99d2-cedb32d922d9}</t>
  </si>
  <si>
    <t>Rock Pigeon (Feral Pigeon)</t>
  </si>
  <si>
    <t>{575e41b9-347c-4f1a-be8c-fba0327422a7}</t>
  </si>
  <si>
    <t>{7f1232e5-4f13-4bd8-9df5-8297273a000a}</t>
  </si>
  <si>
    <t>Turkey Vulture</t>
  </si>
  <si>
    <t>{0b4ef2db-0abd-44eb-acca-437d4a9d82e3}</t>
  </si>
  <si>
    <t>{5b54219a-d79e-4390-ae9b-0956b4acf1f3}</t>
  </si>
  <si>
    <t>{cc87ae6f-67f4-449b-910c-5c5036312efa}</t>
  </si>
  <si>
    <t>{ddca9846-95e4-4913-89d8-b9fea21eecaf}</t>
  </si>
  <si>
    <t>White-crowned Sparrow</t>
  </si>
  <si>
    <t>{cf72056c-1f3d-4068-8d10-e4b8d46aff78}</t>
  </si>
  <si>
    <t>{d234ce23-1947-4ac4-bec7-93727272d116}</t>
  </si>
  <si>
    <t>Great Egret</t>
  </si>
  <si>
    <t>{2b2e1c25-7722-4a99-b391-9f0272570705}</t>
  </si>
  <si>
    <t>{26d8808d-9fc5-4ece-9a1e-45cf0d017f8f}</t>
  </si>
  <si>
    <t>{3e2ea669-f0a4-4a28-93e2-0e5660463053}</t>
  </si>
  <si>
    <t>Clark's Grebe</t>
  </si>
  <si>
    <t>{a6771031-c136-44bf-a7d0-a450bfb309a8}</t>
  </si>
  <si>
    <t>Cinnamon Teal</t>
  </si>
  <si>
    <t>{c6f608aa-e87d-46e5-8f53-0f57f6fd9d75}</t>
  </si>
  <si>
    <t>{2a789448-0d2d-4dda-893d-e9e72e88b3a3}</t>
  </si>
  <si>
    <t>{f7453b3a-53dd-4f46-921d-01f8e217d658}</t>
  </si>
  <si>
    <t>{0fbe4fa8-fd52-45fb-bcec-c814772c3922}</t>
  </si>
  <si>
    <t>{cc076f05-ba83-4901-a9cd-d179b8ba5593}</t>
  </si>
  <si>
    <t>{f2c3c9fc-bf96-4e0c-bcb5-a4871df9640f}</t>
  </si>
  <si>
    <t>{896433f0-82f6-4649-847a-a7999145b801}</t>
  </si>
  <si>
    <t>Red-tailed Hawk</t>
  </si>
  <si>
    <t>{4305c96e-c0b0-481b-a973-a2886c27af78}</t>
  </si>
  <si>
    <t>Downy Woodpecker</t>
  </si>
  <si>
    <t>{7877f4ca-a091-4a28-b574-52ca474669bd}</t>
  </si>
  <si>
    <t>Mourning Dove</t>
  </si>
  <si>
    <t>{560b3055-3b4d-4336-a43a-cb6d1f9cb6ec}</t>
  </si>
  <si>
    <t>Lesser Goldfinch</t>
  </si>
  <si>
    <t>{ab977c03-91db-4162-8b78-54c1f3ecfb5e}</t>
  </si>
  <si>
    <t>Say's Phoebe</t>
  </si>
  <si>
    <t>{f9e21096-f161-4ac5-9eab-282c4e3de9b1}</t>
  </si>
  <si>
    <t>{d10cd6df-9300-43cc-a321-dae38649d560}</t>
  </si>
  <si>
    <t>{8069ebf5-6928-4872-a2e1-c498d2de4a40}</t>
  </si>
  <si>
    <t>Ruddy Duck</t>
  </si>
  <si>
    <t>{86ca7f43-ce7b-4fad-8fcb-e480960679c8}</t>
  </si>
  <si>
    <t>American Coot</t>
  </si>
  <si>
    <t>{2ce0cae9-a7c5-4eb2-9d14-ad66feba01d7}</t>
  </si>
  <si>
    <t>{3efb63bc-05ec-4c9a-b37d-127aa60a995e}</t>
  </si>
  <si>
    <t>Red-winged Blackbird</t>
  </si>
  <si>
    <t>{1728fd8b-8d27-4ad5-903e-e54469911f5d}</t>
  </si>
  <si>
    <t>White-tailed Kite</t>
  </si>
  <si>
    <t>{8ac07c2b-1098-4357-9e7d-b81d320e3c3c}</t>
  </si>
  <si>
    <t>{664c890c-0faa-448c-ac6c-a191f45a134b}</t>
  </si>
  <si>
    <t>715</t>
  </si>
  <si>
    <t>{ed0412cb-8d7b-437e-9a66-78f34ebce6ca}</t>
  </si>
  <si>
    <t>clark@ccber.ucsb.edu_ucsb</t>
  </si>
  <si>
    <t>{bda1bd70-1bf9-4c43-9af6-6fdd306fe521}</t>
  </si>
  <si>
    <t>Northern Rough-winged Swallow</t>
  </si>
  <si>
    <t>{f3b0b355-f298-48a5-97b8-be32368d9950}</t>
  </si>
  <si>
    <t>Mud</t>
  </si>
  <si>
    <t>{838715b8-7ac1-4686-b0e8-d63bb19936ed}</t>
  </si>
  <si>
    <t>{b0585880-d32b-4180-acd2-5a6762d5cb9e}</t>
  </si>
  <si>
    <t>{5d03b164-5dce-4bae-8950-efc8bd6d61bc}</t>
  </si>
  <si>
    <t>{c8a18646-081e-422a-ba2e-52676c8616c7}</t>
  </si>
  <si>
    <t>{d339d160-3da0-4efa-add9-fa77356160de}</t>
  </si>
  <si>
    <t>{89c98c49-7835-4320-b405-d856e08f986c}</t>
  </si>
  <si>
    <t>Selasphorus sp.</t>
  </si>
  <si>
    <t>{cf8c1c98-5d2b-4ea3-bd30-f15080aa6dde}</t>
  </si>
  <si>
    <t>{635d533e-132d-4891-914b-e7a564a65bbd}</t>
  </si>
  <si>
    <t>Cooper's Hawk</t>
  </si>
  <si>
    <t>{c1100063-65fe-416b-a8ee-41865fb1be8d}</t>
  </si>
  <si>
    <t>Great Blue Heron</t>
  </si>
  <si>
    <t>{8a48dfc1-b958-4616-b02f-90f635d5094f}</t>
  </si>
  <si>
    <t>getting mud</t>
  </si>
  <si>
    <t>{71487f98-e7cb-49f0-bf8c-4ca6ad21f34d}</t>
  </si>
  <si>
    <t>{663608d6-5a57-4286-880a-d98d7e297724}</t>
  </si>
  <si>
    <t>{35aff5c5-0775-4b42-8bd3-989d8f5cf6cc}</t>
  </si>
  <si>
    <t>{4a7b1e29-9e6c-4b9e-9402-5a637522bbf0}</t>
  </si>
  <si>
    <t>Western Gull</t>
  </si>
  <si>
    <t>{f590cd00-4cf6-42a3-abb7-88bf4661251e}</t>
  </si>
  <si>
    <t>{c55d7ff5-ab89-410f-8aa7-bb011ada6860}</t>
  </si>
  <si>
    <t>{77f9546d-fbf9-4026-9ec9-9cdfcf50111a}</t>
  </si>
  <si>
    <t>{26b86bbd-73dc-4269-8a07-a62396173123}</t>
  </si>
  <si>
    <t>{83ac552b-6253-4c87-922b-ab4e9c96d6bd}</t>
  </si>
  <si>
    <t>Mallard</t>
  </si>
  <si>
    <t>{612f2ec3-c0c2-44a3-b7f5-bf6754062a0b}</t>
  </si>
  <si>
    <t>{abb963e3-5eab-481b-aeba-3c77a454488f}</t>
  </si>
  <si>
    <t>{69c32a2f-6059-40d2-87e4-c27e0db9383d}</t>
  </si>
  <si>
    <t>Snowy Egret</t>
  </si>
  <si>
    <t>{06550ecf-5139-45aa-af25-1d9e8204a9e2}</t>
  </si>
  <si>
    <t>{f16a0807-3f6f-481b-abaf-7e260f3b3e8b}</t>
  </si>
  <si>
    <t>Bridge</t>
  </si>
  <si>
    <t>{ee4fe4dc-7bdb-469e-8a10-cc24cb2f8c95}</t>
  </si>
  <si>
    <t>{ca7cc1bd-6ac6-48d4-b8f0-9cdafb483d24}</t>
  </si>
  <si>
    <t>{33bfc7ff-7dfa-4572-aa4f-e8dceaad2fda}</t>
  </si>
  <si>
    <t>{b8cfc7f9-d4cc-47f1-99a4-843ecbcbea2f}</t>
  </si>
  <si>
    <t>{07067c35-7b9b-4ee5-88f9-7cdd5aa90985}</t>
  </si>
  <si>
    <t>Pied-billed Grebe</t>
  </si>
  <si>
    <t>{2e73cf25-6888-480a-8e69-3bfb19fb153c}</t>
  </si>
  <si>
    <t>{b8757122-4105-40bc-9772-12a5dd234134}</t>
  </si>
  <si>
    <t>{21586409-044a-4453-b8bc-087f127ba109}</t>
  </si>
  <si>
    <t>{5a593946-0f7b-43c9-b7c6-9511500f7ad5}</t>
  </si>
  <si>
    <t>{35e4ce8b-1abb-4367-8090-20e57a525743}</t>
  </si>
  <si>
    <t>{9cbdda93-cbdb-4a38-8eea-ceacf1f789cc}</t>
  </si>
  <si>
    <t>Orange-crowned Warbler</t>
  </si>
  <si>
    <t>{3f4c5be4-4284-482f-8370-f6a99fcb5638}</t>
  </si>
  <si>
    <t>{57681419-d741-408e-9d7c-9d149fd6d004}</t>
  </si>
  <si>
    <t>Blue-winged Teal</t>
  </si>
  <si>
    <t>{8eab204c-c4ac-4be9-af1e-c570abec7f9b}</t>
  </si>
  <si>
    <t>{713e13ce-4e0b-4985-b235-54f4d61a6f59}</t>
  </si>
  <si>
    <t>{1d4bde60-dd35-427e-8a76-e15ffbeadd85}</t>
  </si>
  <si>
    <t>Black Phoebe</t>
  </si>
  <si>
    <t>{acb144ba-3c20-4317-a74e-c10298a5334a}</t>
  </si>
  <si>
    <t>Hooded Oriole</t>
  </si>
  <si>
    <t>{2698e217-cdeb-409b-b371-04cd31c5884a}</t>
  </si>
  <si>
    <t>Eurasian Collared-Dove</t>
  </si>
  <si>
    <t>{3d691c9b-174e-4474-94f5-ba85e07cc33b}</t>
  </si>
  <si>
    <t>Brown-headed Cowbird</t>
  </si>
  <si>
    <t>{be8f68ac-ed11-4532-b35c-40c9e5119740}</t>
  </si>
  <si>
    <t>{8d0140ce-9e79-4e24-ab4b-aa2a241aaf79}</t>
  </si>
  <si>
    <t>{e18316b2-2848-482a-81b4-7f0082d3777b}</t>
  </si>
  <si>
    <t>Building</t>
  </si>
  <si>
    <t>Carrying Nest Material</t>
  </si>
  <si>
    <t>building nests</t>
  </si>
  <si>
    <t>{25a5d49f-c92a-4271-b768-142c61a2dc2a}</t>
  </si>
  <si>
    <t>{9f08ccf0-297a-46dc-8357-c18ade604404}</t>
  </si>
  <si>
    <t>{8b78623b-37d8-449c-9fee-314392243815}</t>
  </si>
  <si>
    <t>Great-tailed Grackle</t>
  </si>
  <si>
    <t>{059c5134-55d3-4294-b6ae-30e19f1d8f86}</t>
  </si>
  <si>
    <t>{2b07e33b-b0ab-4def-9c83-61b02adbe662}</t>
  </si>
  <si>
    <t>{41719939-2ead-4edc-822b-c908d6bb1cea}</t>
  </si>
  <si>
    <t>{e4708427-4591-43f0-a8d9-af84ba6fe2ba}</t>
  </si>
  <si>
    <t>{35635901-63c6-45b9-8d25-8d6baf557789}</t>
  </si>
  <si>
    <t>{5f0e919f-d13b-4099-9379-08e8afdb2cd4}</t>
  </si>
  <si>
    <t>{c217cf9f-31c1-4d1b-9bb9-e022c67ae24d}</t>
  </si>
  <si>
    <t>{8ca87981-1426-4a73-a348-a28ab0f99923}</t>
  </si>
  <si>
    <t>Black-crowned Night-Heron</t>
  </si>
  <si>
    <t>{14cb605e-71b3-4cc6-be41-0e9e24c93d0b}</t>
  </si>
  <si>
    <t>copulation</t>
  </si>
  <si>
    <t>{b7d87132-9f0f-45e5-86aa-03d1e4710671}</t>
  </si>
  <si>
    <t>{6450ba50-4a0d-45e0-8648-3044b9427cd5}</t>
  </si>
  <si>
    <t>{895d5ce8-4615-4aac-82d8-12075a0966db}</t>
  </si>
  <si>
    <t>{d97d07cf-3c97-482f-a543-7a8787ae7e4b}</t>
  </si>
  <si>
    <t>{37c8c66a-9a5f-454c-98e2-cda7b63bad2f}</t>
  </si>
  <si>
    <t>{3649a74b-97ea-46d3-ac7c-8bef7994bbc8}</t>
  </si>
  <si>
    <t>{9fa1cfc9-fc54-4f73-898c-8c91eaea690f}</t>
  </si>
  <si>
    <t>{ec4eb207-6186-48e4-ac06-f963dc939dc8}</t>
  </si>
  <si>
    <t>{ef0e91b4-cacb-4975-b044-6806cc72b893}</t>
  </si>
  <si>
    <t>{5d7765ec-b4ba-4099-a8aa-a6782c9610c0}</t>
  </si>
  <si>
    <t>Spotted Sandpiper</t>
  </si>
  <si>
    <t>{8878739e-b7c5-49b2-b456-9669eb9032a1}</t>
  </si>
  <si>
    <t>{8d7d1922-2fda-4be3-b834-8652680b07bc}</t>
  </si>
  <si>
    <t>{75919482-a1fb-4273-b4ad-d7291d281f0c}</t>
  </si>
  <si>
    <t>California Towhee</t>
  </si>
  <si>
    <t>{14bbe6d8-384e-45bd-bf4e-78bbc69a9bb9}</t>
  </si>
  <si>
    <t>Red-breasted Nuthatch</t>
  </si>
  <si>
    <t>{4dca1d24-447e-41c9-a63a-53069cad5420}</t>
  </si>
  <si>
    <t>{7710a470-caba-41ed-be21-eb780bb1ff65}</t>
  </si>
  <si>
    <t>{489efeb1-fe4d-483f-9b81-4eb1adaed4b9}</t>
  </si>
  <si>
    <t>{c4aab278-2e09-410e-8643-f4d08aa26c63}</t>
  </si>
  <si>
    <t>{3474ea09-7911-454f-b0da-d0d13c46da86}</t>
  </si>
  <si>
    <t>{b37a2521-7798-43ae-89fb-92167288c4f8}</t>
  </si>
  <si>
    <t>{80016b0c-ad47-4302-ad8f-1ee1d9046174}</t>
  </si>
  <si>
    <t>{8ae96cb5-cf3f-46f2-8a56-7acff16d96eb}</t>
  </si>
  <si>
    <t>{7b8605a8-42d2-4b3b-af1c-98abe6511fa5}</t>
  </si>
  <si>
    <t>{db742b1e-55fc-4d7c-be21-1faadd866d20}</t>
  </si>
  <si>
    <t>{3cbe977c-f4fd-4b89-96e8-aa02d9153bd0}</t>
  </si>
  <si>
    <t>{c27206ab-ebc5-43b0-9ef5-287d4c89986a}</t>
  </si>
  <si>
    <t>{21721188-7fc4-42e3-97f6-181a3de39a93}</t>
  </si>
  <si>
    <t>{09b66dcd-cca8-4630-ae0e-13eab3fccd34}</t>
  </si>
  <si>
    <t>{d174a5d1-1a41-4f83-bf79-688fddc25c83}</t>
  </si>
  <si>
    <t>{6fad8137-4db0-454e-8b4b-7970fa384153}</t>
  </si>
  <si>
    <t>{5252ce6b-2f8d-45e0-a24c-5c5b6239ffb8}</t>
  </si>
  <si>
    <t>on rock</t>
  </si>
  <si>
    <t>{e16e4220-32bb-4fe1-b642-405ac2ad5b96}</t>
  </si>
  <si>
    <t>{03011825-3bbf-4aed-a6de-02e9e55a2b63}</t>
  </si>
  <si>
    <t>{3b80e398-fe5e-428c-ad87-bfa98d6d095d}</t>
  </si>
  <si>
    <t>Bullock's Oriole</t>
  </si>
  <si>
    <t>F</t>
  </si>
  <si>
    <t>{af7d8315-dd4e-4afd-a60f-389fd831fe4b}</t>
  </si>
  <si>
    <t>{e83a8d10-b104-4d09-8350-b301dd8632ce}</t>
  </si>
  <si>
    <t>{4eeb2428-c53d-4651-a02e-621b88d7841a}</t>
  </si>
  <si>
    <t>{f9b78b7b-44b8-44da-bbe2-2c994868cc5f}</t>
  </si>
  <si>
    <t>Scaly-breasted Munia</t>
  </si>
  <si>
    <t>{8a36bd96-6ca3-429a-b36c-cc06e1801c41}</t>
  </si>
  <si>
    <t>{2d9f3427-8e91-4777-96c1-19eb3c6d2234}</t>
  </si>
  <si>
    <t>{59e82c30-de97-403f-a20d-825d4e5c5e9b}</t>
  </si>
  <si>
    <t>{5ad85ade-eb1c-4065-9a5a-1297451eec37}</t>
  </si>
  <si>
    <t>{c2f309df-d26f-416d-95c9-6f86b2e60f9b}</t>
  </si>
  <si>
    <t>{ab0897f5-038a-4535-b3a1-437a3dfc47be}</t>
  </si>
  <si>
    <t>{13ca9f47-f39b-42f9-8f77-07b689eec4ec}</t>
  </si>
  <si>
    <t>{e6d77cf1-c21f-4ce8-bcff-3a237af7e157}</t>
  </si>
  <si>
    <t>{bf97415a-5f06-4e60-9171-e6e3a519cbb3}</t>
  </si>
  <si>
    <t>{c4bc7669-20dc-42b7-824a-c50184c023e3}</t>
  </si>
  <si>
    <t>10</t>
  </si>
  <si>
    <t>{f52ad210-d082-4ae1-9c38-fbf7fe33f650}</t>
  </si>
  <si>
    <t>Lisa, Mark, Beau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</si>
  <si>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</si>
  <si>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</si>
  <si>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</si>
  <si>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</si>
  <si>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</si>
  <si>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</si>
  <si>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</si>
  <si>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</si>
  <si>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</si>
  <si>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4/22/2020</t>
  </si>
  <si>
    <t>Time</t>
  </si>
  <si>
    <t>Conor, Steven, Darwin</t>
  </si>
  <si>
    <t>Changed Repeat Observation from No to Yes following post-survey review.</t>
  </si>
  <si>
    <t>Changed Count from 1 to 2 following post-survey review.</t>
  </si>
  <si>
    <t>Count corrected from blank to 1 following post-survey review.</t>
  </si>
  <si>
    <t>Species corrected from blank to Mallard after post-survey review.</t>
  </si>
  <si>
    <t>SPECIES</t>
  </si>
  <si>
    <t>TOTAL COUNT</t>
  </si>
  <si>
    <t>Revised Count down from 31 to 30 after post-survey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</si>
</sst>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1" fillId="2" borderId="1" xfId="1" applyAlignment="1">
      <alignment horizontal="center"/>
    </xf>
    <xf numFmtId="0" fontId="3" fillId="2" borderId="1" xfId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3" borderId="0" xfId="0" applyFill="1" applyAlignment="1">
      <alignment horizontal="center"/>
    </xf>
    <xf numFmtId="0" fontId="0" fillId="0" borderId="4" xfId="0" applyNumberFormat="1" applyBorder="1"/>
    <xf numFmtId="0" fontId="0" fillId="0" borderId="7" xfId="0" applyNumberFormat="1" applyBorder="1"/>
    <xf numFmtId="0" fontId="0" fillId="0" borderId="10" xfId="0" applyNumberFormat="1" applyBorder="1"/>
    <xf numFmtId="0" fontId="2" fillId="0" borderId="2" xfId="0" applyFont="1" applyBorder="1"/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15">
    <dxf>
      <border>
        <vertical style="thin">
          <color auto="1"/>
        </vertical>
        <horizontal style="hair">
          <color auto="1"/>
        </horizontal>
      </border>
    </dxf>
    <dxf>
      <font>
        <b/>
      </font>
    </dxf>
    <dxf>
      <alignment horizontal="center"/>
    </dxf>
    <dxf>
      <alignment horizontal="center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44.497222800928" createdVersion="6" refreshedVersion="6" minRefreshableVersion="3" recordCount="183" xr:uid="{2C8CFC6F-90F5-4015-A4F1-DF1232C4F916}">
  <cacheSource type="worksheet">
    <worksheetSource ref="A1:AH184" sheet="NCOS_Bird_Survey_Data_2020_0422"/>
  </cacheSource>
  <cacheFields count="32">
    <cacheField name="OBJECTID" numFmtId="0">
      <sharedItems containsSemiMixedTypes="0" containsString="0" containsNumber="1" containsInteger="1" minValue="1" maxValue="184"/>
    </cacheField>
    <cacheField name="Species" numFmtId="0">
      <sharedItems containsBlank="1" count="59">
        <s v="American Coot"/>
        <s v="American Crow"/>
        <s v="Anna's Hummingbird"/>
        <s v="Bewick's Wren"/>
        <s v="Black Phoebe"/>
        <s v="Black-crowned Night-Heron"/>
        <s v="Black-necked Stilt"/>
        <s v="Blue-winged Teal"/>
        <s v="Brown-headed Cowbird"/>
        <s v="Bullock's Oriole"/>
        <s v="Bushtit"/>
        <s v="California Towhee"/>
        <s v="Canada Goose"/>
        <s v="Cassin's Kingbird"/>
        <s v="Cinnamon Teal"/>
        <s v="Clark's Grebe"/>
        <s v="Cliff Swallow"/>
        <s v="Common Yellowthroat"/>
        <s v="Cooper's Hawk"/>
        <s v="Downy Woodpecker"/>
        <s v="Eurasian Collared-Dove"/>
        <s v="European Starling"/>
        <s v="Gadwall"/>
        <s v="Great Blue Heron"/>
        <s v="Great Egret"/>
        <s v="Great-tailed Grackle"/>
        <s v="Hooded Oriole"/>
        <s v="House Finch"/>
        <s v="House Sparrow"/>
        <s v="Killdeer"/>
        <s v="Lark Sparrow"/>
        <s v="Least Sandpiper"/>
        <s v="Lesser Goldfinch"/>
        <s v="Mallard"/>
        <s v="Mourning Dove"/>
        <s v="Northern Rough-winged Swallow"/>
        <s v="Orange-crowned Warbler"/>
        <s v="Pied-billed Grebe"/>
        <s v="Red-breasted Nuthatch"/>
        <s v="Red-tailed Hawk"/>
        <s v="Red-winged Blackbird"/>
        <s v="Rock Pigeon (Feral Pigeon)"/>
        <s v="Ruddy Duck"/>
        <s v="Savannah Sparrow"/>
        <s v="Say's Phoebe"/>
        <s v="Scaly-breasted Munia"/>
        <s v="Selasphorus sp."/>
        <s v="Semipalmated Plover"/>
        <s v="Snowy Egret"/>
        <s v="Song Sparrow"/>
        <s v="Spotted Sandpiper"/>
        <s v="Turkey Vulture"/>
        <s v="Western Gull"/>
        <s v="Western Kingbird"/>
        <s v="Western Sandpiper"/>
        <s v="White-crowned Sparrow"/>
        <s v="White-tailed Kite"/>
        <s v="Yellow-headed Blackbird"/>
        <m u="1"/>
      </sharedItems>
    </cacheField>
    <cacheField name="Count" numFmtId="0">
      <sharedItems containsSemiMixedTypes="0" containsString="0" containsNumber="1" containsInteger="1" minValue="1" maxValue="100"/>
    </cacheField>
    <cacheField name="Date" numFmtId="0">
      <sharedItems/>
    </cacheField>
    <cacheField name="Time" numFmtId="165">
      <sharedItems containsSemiMixedTypes="0" containsNonDate="0" containsDate="1" containsString="0" minDate="2020-04-22T07:23:16" maxDate="2020-04-22T10:19:48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3">
        <s v="Lisa, Mark, Beau"/>
        <s v="Conor, Steven, Darwin"/>
        <s v="Connor, Steven, Darwin" u="1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3" maxValue="63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4-22T14:23:16" maxDate="2020-04-22T17:19:48"/>
    </cacheField>
    <cacheField name="Creator" numFmtId="0">
      <sharedItems/>
    </cacheField>
    <cacheField name="EditDate" numFmtId="164">
      <sharedItems containsSemiMixedTypes="0" containsNonDate="0" containsDate="1" containsString="0" minDate="2020-04-22T14:23:32" maxDate="2020-04-22T17:19:48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05"/>
    <x v="0"/>
    <n v="3"/>
    <s v="4/22/2020"/>
    <d v="2020-04-22T08:06:16"/>
    <x v="0"/>
    <s v="Water - Floating"/>
    <m/>
    <m/>
    <m/>
    <m/>
    <x v="0"/>
    <m/>
    <m/>
    <m/>
    <m/>
    <m/>
    <m/>
    <m/>
    <m/>
    <m/>
    <m/>
    <m/>
    <m/>
    <m/>
    <m/>
    <m/>
    <s v="{07067c35-7b9b-4ee5-88f9-7cdd5aa90985}"/>
    <d v="2020-04-22T15:06:16"/>
    <s v="clark@ccber.ucsb.edu_ucsb"/>
    <d v="2020-04-22T15:06:16"/>
    <s v="clark@ccber.ucsb.edu_ucsb"/>
  </r>
  <r>
    <n v="110"/>
    <x v="0"/>
    <n v="4"/>
    <s v="4/22/2020"/>
    <d v="2020-04-22T08:09:55"/>
    <x v="0"/>
    <s v="Water - Wading"/>
    <m/>
    <m/>
    <m/>
    <m/>
    <x v="0"/>
    <m/>
    <m/>
    <m/>
    <m/>
    <m/>
    <m/>
    <m/>
    <m/>
    <m/>
    <m/>
    <m/>
    <m/>
    <m/>
    <m/>
    <m/>
    <s v="{35e4ce8b-1abb-4367-8090-20e57a525743}"/>
    <d v="2020-04-22T15:09:55"/>
    <s v="clark@ccber.ucsb.edu_ucsb"/>
    <d v="2020-04-22T15:09:55"/>
    <s v="clark@ccber.ucsb.edu_ucsb"/>
  </r>
  <r>
    <n v="113"/>
    <x v="0"/>
    <n v="4"/>
    <s v="4/22/2020"/>
    <d v="2020-04-22T08:12:41"/>
    <x v="0"/>
    <s v="Water - Floating"/>
    <m/>
    <m/>
    <m/>
    <m/>
    <x v="0"/>
    <m/>
    <m/>
    <m/>
    <m/>
    <m/>
    <m/>
    <m/>
    <m/>
    <m/>
    <m/>
    <m/>
    <m/>
    <m/>
    <m/>
    <m/>
    <s v="{57681419-d741-408e-9d7c-9d149fd6d004}"/>
    <d v="2020-04-22T15:12:41"/>
    <s v="clark@ccber.ucsb.edu_ucsb"/>
    <d v="2020-04-22T15:12:41"/>
    <s v="clark@ccber.ucsb.edu_ucsb"/>
  </r>
  <r>
    <n v="69"/>
    <x v="0"/>
    <n v="7"/>
    <s v="4/22/2020"/>
    <d v="2020-04-22T09:38:01"/>
    <x v="0"/>
    <s v="Water - Floating"/>
    <m/>
    <m/>
    <m/>
    <m/>
    <x v="1"/>
    <m/>
    <m/>
    <m/>
    <m/>
    <m/>
    <m/>
    <m/>
    <m/>
    <m/>
    <m/>
    <m/>
    <m/>
    <m/>
    <m/>
    <m/>
    <s v="{2ce0cae9-a7c5-4eb2-9d14-ad66feba01d7}"/>
    <d v="2020-04-22T16:38:01"/>
    <s v="ccber_user"/>
    <d v="2020-04-22T16:38:01"/>
    <s v="ccber_user"/>
  </r>
  <r>
    <n v="93"/>
    <x v="1"/>
    <n v="3"/>
    <s v="4/22/2020"/>
    <d v="2020-04-22T07:49:53"/>
    <x v="0"/>
    <s v="Fence"/>
    <m/>
    <m/>
    <m/>
    <m/>
    <x v="0"/>
    <m/>
    <m/>
    <m/>
    <m/>
    <m/>
    <m/>
    <m/>
    <m/>
    <m/>
    <m/>
    <m/>
    <m/>
    <m/>
    <m/>
    <m/>
    <s v="{77f9546d-fbf9-4026-9ec9-9cdfcf50111a}"/>
    <d v="2020-04-22T14:49:53"/>
    <s v="clark@ccber.ucsb.edu_ucsb"/>
    <d v="2020-04-22T14:49:53"/>
    <s v="clark@ccber.ucsb.edu_ucsb"/>
  </r>
  <r>
    <n v="17"/>
    <x v="1"/>
    <n v="1"/>
    <s v="4/22/2020"/>
    <d v="2020-04-22T08:13:09"/>
    <x v="0"/>
    <s v="Habitat Feature - Snag"/>
    <m/>
    <m/>
    <m/>
    <m/>
    <x v="1"/>
    <m/>
    <m/>
    <m/>
    <m/>
    <m/>
    <m/>
    <m/>
    <m/>
    <m/>
    <m/>
    <m/>
    <m/>
    <m/>
    <m/>
    <m/>
    <s v="{7f900311-9f83-466a-8e5b-5ae96627605c}"/>
    <d v="2020-04-22T15:13:09"/>
    <s v="ccber_user"/>
    <d v="2020-04-22T15:13:09"/>
    <s v="ccber_user"/>
  </r>
  <r>
    <n v="125"/>
    <x v="1"/>
    <n v="1"/>
    <s v="4/22/2020"/>
    <d v="2020-04-22T08:27:39"/>
    <x v="0"/>
    <s v="Air"/>
    <m/>
    <m/>
    <m/>
    <m/>
    <x v="0"/>
    <m/>
    <m/>
    <m/>
    <m/>
    <m/>
    <m/>
    <m/>
    <m/>
    <m/>
    <m/>
    <m/>
    <m/>
    <m/>
    <m/>
    <m/>
    <s v="{8b78623b-37d8-449c-9fee-314392243815}"/>
    <d v="2020-04-22T15:27:39"/>
    <s v="clark@ccber.ucsb.edu_ucsb"/>
    <d v="2020-04-22T15:27:39"/>
    <s v="clark@ccber.ucsb.edu_ucsb"/>
  </r>
  <r>
    <n v="144"/>
    <x v="1"/>
    <n v="2"/>
    <s v="4/22/2020"/>
    <d v="2020-04-22T08:49:41"/>
    <x v="0"/>
    <s v="Bare ground"/>
    <m/>
    <m/>
    <m/>
    <m/>
    <x v="0"/>
    <m/>
    <m/>
    <m/>
    <m/>
    <m/>
    <m/>
    <m/>
    <m/>
    <m/>
    <m/>
    <m/>
    <m/>
    <m/>
    <m/>
    <m/>
    <s v="{5d7765ec-b4ba-4099-a8aa-a6782c9610c0}"/>
    <d v="2020-04-22T15:49:41"/>
    <s v="clark@ccber.ucsb.edu_ucsb"/>
    <d v="2020-04-22T15:49:41"/>
    <s v="clark@ccber.ucsb.edu_ucsb"/>
  </r>
  <r>
    <n v="35"/>
    <x v="1"/>
    <n v="1"/>
    <s v="4/22/2020"/>
    <d v="2020-04-22T08:57:54"/>
    <x v="0"/>
    <m/>
    <m/>
    <m/>
    <m/>
    <m/>
    <x v="1"/>
    <m/>
    <m/>
    <m/>
    <m/>
    <m/>
    <m/>
    <m/>
    <m/>
    <m/>
    <m/>
    <m/>
    <m/>
    <m/>
    <m/>
    <m/>
    <s v="{1b310ee1-5874-4448-8524-42eaf7fd30d0}"/>
    <d v="2020-04-22T15:57:54"/>
    <s v="ccber_user"/>
    <d v="2020-04-22T15:57:54"/>
    <s v="ccber_user"/>
  </r>
  <r>
    <n v="156"/>
    <x v="1"/>
    <n v="1"/>
    <s v="4/22/2020"/>
    <d v="2020-04-22T09:05:40"/>
    <x v="0"/>
    <s v="Air"/>
    <m/>
    <m/>
    <m/>
    <m/>
    <x v="0"/>
    <m/>
    <m/>
    <m/>
    <m/>
    <m/>
    <m/>
    <m/>
    <m/>
    <m/>
    <m/>
    <m/>
    <m/>
    <m/>
    <m/>
    <m/>
    <s v="{8ae96cb5-cf3f-46f2-8a56-7acff16d96eb}"/>
    <d v="2020-04-22T16:05:40"/>
    <s v="clark@ccber.ucsb.edu_ucsb"/>
    <d v="2020-04-22T16:05:40"/>
    <s v="clark@ccber.ucsb.edu_ucsb"/>
  </r>
  <r>
    <n v="164"/>
    <x v="1"/>
    <n v="1"/>
    <s v="4/22/2020"/>
    <d v="2020-04-22T09:15:13"/>
    <x v="0"/>
    <s v="Fence"/>
    <m/>
    <m/>
    <m/>
    <m/>
    <x v="0"/>
    <m/>
    <m/>
    <m/>
    <m/>
    <m/>
    <m/>
    <m/>
    <m/>
    <m/>
    <m/>
    <m/>
    <m/>
    <m/>
    <m/>
    <m/>
    <s v="{6fad8137-4db0-454e-8b4b-7970fa384153}"/>
    <d v="2020-04-22T16:15:13"/>
    <s v="clark@ccber.ucsb.edu_ucsb"/>
    <d v="2020-04-22T16:15:13"/>
    <s v="clark@ccber.ucsb.edu_ucsb"/>
  </r>
  <r>
    <n v="10"/>
    <x v="2"/>
    <n v="1"/>
    <s v="4/22/2020"/>
    <d v="2020-04-22T07:46:36"/>
    <x v="0"/>
    <s v="Vegetation - Tree"/>
    <m/>
    <m/>
    <m/>
    <m/>
    <x v="1"/>
    <m/>
    <m/>
    <m/>
    <m/>
    <m/>
    <m/>
    <m/>
    <m/>
    <m/>
    <m/>
    <m/>
    <m/>
    <m/>
    <m/>
    <m/>
    <s v="{92ec7b15-8683-4abb-990d-8338decabdf6}"/>
    <d v="2020-04-22T14:46:36"/>
    <s v="ccber_user"/>
    <d v="2020-04-22T14:46:36"/>
    <s v="ccber_user"/>
  </r>
  <r>
    <n v="121"/>
    <x v="2"/>
    <n v="1"/>
    <s v="4/22/2020"/>
    <d v="2020-04-22T08:20:47"/>
    <x v="0"/>
    <s v="Vegetation - Tree"/>
    <m/>
    <m/>
    <m/>
    <m/>
    <x v="0"/>
    <m/>
    <m/>
    <m/>
    <m/>
    <m/>
    <m/>
    <m/>
    <m/>
    <m/>
    <m/>
    <m/>
    <m/>
    <m/>
    <m/>
    <m/>
    <s v="{8d0140ce-9e79-4e24-ab4b-aa2a241aaf79}"/>
    <d v="2020-04-22T15:20:47"/>
    <s v="clark@ccber.ucsb.edu_ucsb"/>
    <d v="2020-04-22T15:20:47"/>
    <s v="clark@ccber.ucsb.edu_ucsb"/>
  </r>
  <r>
    <n v="31"/>
    <x v="2"/>
    <n v="1"/>
    <s v="4/22/2020"/>
    <d v="2020-04-22T08:44:13"/>
    <x v="0"/>
    <s v="Vegetation - Tree"/>
    <m/>
    <m/>
    <m/>
    <m/>
    <x v="1"/>
    <m/>
    <m/>
    <m/>
    <m/>
    <m/>
    <m/>
    <m/>
    <m/>
    <m/>
    <m/>
    <m/>
    <m/>
    <m/>
    <m/>
    <m/>
    <s v="{524de0fd-f3a2-44b1-b913-3843e2a856fe}"/>
    <d v="2020-04-22T15:44:13"/>
    <s v="ccber_user"/>
    <d v="2020-04-22T15:44:13"/>
    <s v="ccber_user"/>
  </r>
  <r>
    <n v="143"/>
    <x v="2"/>
    <n v="1"/>
    <s v="4/22/2020"/>
    <d v="2020-04-22T08:47:58"/>
    <x v="0"/>
    <s v="Air"/>
    <m/>
    <m/>
    <m/>
    <m/>
    <x v="0"/>
    <m/>
    <m/>
    <m/>
    <m/>
    <m/>
    <m/>
    <m/>
    <m/>
    <m/>
    <m/>
    <m/>
    <m/>
    <m/>
    <m/>
    <m/>
    <s v="{ef0e91b4-cacb-4975-b044-6806cc72b893}"/>
    <d v="2020-04-22T15:47:58"/>
    <s v="clark@ccber.ucsb.edu_ucsb"/>
    <d v="2020-04-22T15:47:58"/>
    <s v="clark@ccber.ucsb.edu_ucsb"/>
  </r>
  <r>
    <n v="150"/>
    <x v="2"/>
    <n v="1"/>
    <s v="4/22/2020"/>
    <d v="2020-04-22T09:00:44"/>
    <x v="0"/>
    <s v="Vegetation - Tree"/>
    <m/>
    <m/>
    <m/>
    <m/>
    <x v="0"/>
    <m/>
    <m/>
    <m/>
    <m/>
    <m/>
    <m/>
    <m/>
    <m/>
    <m/>
    <m/>
    <m/>
    <m/>
    <m/>
    <m/>
    <m/>
    <s v="{7710a470-caba-41ed-be21-eb780bb1ff65}"/>
    <d v="2020-04-22T16:00:44"/>
    <s v="clark@ccber.ucsb.edu_ucsb"/>
    <d v="2020-04-22T16:00:44"/>
    <s v="clark@ccber.ucsb.edu_ucsb"/>
  </r>
  <r>
    <n v="46"/>
    <x v="2"/>
    <n v="1"/>
    <s v="4/22/2020"/>
    <d v="2020-04-22T09:10:16"/>
    <x v="0"/>
    <s v="Vegetation - Tree"/>
    <m/>
    <m/>
    <m/>
    <m/>
    <x v="1"/>
    <m/>
    <m/>
    <m/>
    <m/>
    <m/>
    <m/>
    <m/>
    <m/>
    <m/>
    <m/>
    <m/>
    <m/>
    <m/>
    <m/>
    <m/>
    <s v="{cc87ae6f-67f4-449b-910c-5c5036312efa}"/>
    <d v="2020-04-22T16:10:16"/>
    <s v="ccber_user"/>
    <d v="2020-04-22T16:10:16"/>
    <s v="ccber_user"/>
  </r>
  <r>
    <n v="60"/>
    <x v="2"/>
    <n v="2"/>
    <s v="4/22/2020"/>
    <d v="2020-04-22T09:22:54"/>
    <x v="0"/>
    <s v="Vegetation - Shrub"/>
    <m/>
    <m/>
    <m/>
    <m/>
    <x v="1"/>
    <m/>
    <m/>
    <m/>
    <m/>
    <m/>
    <m/>
    <m/>
    <m/>
    <m/>
    <m/>
    <m/>
    <m/>
    <m/>
    <m/>
    <m/>
    <s v="{896433f0-82f6-4649-847a-a7999145b801}"/>
    <d v="2020-04-22T16:22:54"/>
    <s v="ccber_user"/>
    <d v="2020-04-22T16:22:54"/>
    <s v="ccber_user"/>
  </r>
  <r>
    <n v="184"/>
    <x v="2"/>
    <n v="1"/>
    <s v="4/22/2020"/>
    <d v="2020-04-22T10:19:48"/>
    <x v="0"/>
    <s v="Air"/>
    <m/>
    <m/>
    <m/>
    <m/>
    <x v="0"/>
    <m/>
    <s v="10"/>
    <m/>
    <m/>
    <m/>
    <m/>
    <m/>
    <m/>
    <m/>
    <m/>
    <m/>
    <m/>
    <m/>
    <m/>
    <m/>
    <s v="{f52ad210-d082-4ae1-9c38-fbf7fe33f650}"/>
    <d v="2020-04-22T17:19:48"/>
    <s v="clark@ccber.ucsb.edu_ucsb"/>
    <d v="2020-04-22T17:19:48"/>
    <s v="clark@ccber.ucsb.edu_ucsb"/>
  </r>
  <r>
    <n v="13"/>
    <x v="3"/>
    <n v="1"/>
    <s v="4/22/2020"/>
    <d v="2020-04-22T08:02:25"/>
    <x v="0"/>
    <s v="Vegetation - Tree"/>
    <m/>
    <m/>
    <m/>
    <m/>
    <x v="1"/>
    <m/>
    <m/>
    <m/>
    <m/>
    <m/>
    <m/>
    <m/>
    <m/>
    <m/>
    <m/>
    <m/>
    <m/>
    <m/>
    <m/>
    <m/>
    <s v="{7ea2766a-8f41-4d8e-84b9-b5c49db89ae8}"/>
    <d v="2020-04-22T15:02:25"/>
    <s v="ccber_user"/>
    <d v="2020-04-22T15:02:25"/>
    <s v="ccber_user"/>
  </r>
  <r>
    <n v="117"/>
    <x v="4"/>
    <n v="1"/>
    <s v="4/22/2020"/>
    <d v="2020-04-22T08:16:42"/>
    <x v="0"/>
    <s v="Bare ground"/>
    <m/>
    <m/>
    <m/>
    <m/>
    <x v="0"/>
    <m/>
    <m/>
    <m/>
    <m/>
    <m/>
    <m/>
    <m/>
    <m/>
    <m/>
    <m/>
    <m/>
    <m/>
    <m/>
    <m/>
    <m/>
    <s v="{acb144ba-3c20-4317-a74e-c10298a5334a}"/>
    <d v="2020-04-22T15:16:42"/>
    <s v="clark@ccber.ucsb.edu_ucsb"/>
    <d v="2020-04-22T15:16:42"/>
    <s v="clark@ccber.ucsb.edu_ucsb"/>
  </r>
  <r>
    <n v="151"/>
    <x v="4"/>
    <n v="1"/>
    <s v="4/22/2020"/>
    <d v="2020-04-22T09:02:13"/>
    <x v="0"/>
    <s v="Vegetation - Shrub"/>
    <m/>
    <m/>
    <m/>
    <m/>
    <x v="0"/>
    <m/>
    <m/>
    <m/>
    <m/>
    <m/>
    <m/>
    <m/>
    <m/>
    <m/>
    <m/>
    <m/>
    <m/>
    <m/>
    <m/>
    <m/>
    <s v="{489efeb1-fe4d-483f-9b81-4eb1adaed4b9}"/>
    <d v="2020-04-22T16:02:13"/>
    <s v="clark@ccber.ucsb.edu_ucsb"/>
    <d v="2020-04-22T16:02:13"/>
    <s v="clark@ccber.ucsb.edu_ucsb"/>
  </r>
  <r>
    <n v="180"/>
    <x v="4"/>
    <n v="1"/>
    <s v="4/22/2020"/>
    <d v="2020-04-22T09:37:30"/>
    <x v="0"/>
    <s v="Fence"/>
    <m/>
    <m/>
    <m/>
    <m/>
    <x v="0"/>
    <m/>
    <m/>
    <m/>
    <m/>
    <m/>
    <m/>
    <m/>
    <m/>
    <m/>
    <m/>
    <m/>
    <m/>
    <m/>
    <m/>
    <m/>
    <s v="{e6d77cf1-c21f-4ce8-bcff-3a237af7e157}"/>
    <d v="2020-04-22T16:37:30"/>
    <s v="clark@ccber.ucsb.edu_ucsb"/>
    <d v="2020-04-22T16:37:30"/>
    <s v="clark@ccber.ucsb.edu_ucsb"/>
  </r>
  <r>
    <n v="181"/>
    <x v="4"/>
    <n v="1"/>
    <s v="4/22/2020"/>
    <d v="2020-04-22T09:39:33"/>
    <x v="0"/>
    <s v="Vegetation - Shrub"/>
    <m/>
    <m/>
    <m/>
    <m/>
    <x v="0"/>
    <m/>
    <m/>
    <m/>
    <m/>
    <m/>
    <m/>
    <m/>
    <m/>
    <m/>
    <m/>
    <m/>
    <m/>
    <m/>
    <m/>
    <m/>
    <s v="{bf97415a-5f06-4e60-9171-e6e3a519cbb3}"/>
    <d v="2020-04-22T16:39:33"/>
    <s v="clark@ccber.ucsb.edu_ucsb"/>
    <d v="2020-04-22T16:39:33"/>
    <s v="clark@ccber.ucsb.edu_ucsb"/>
  </r>
  <r>
    <n v="134"/>
    <x v="5"/>
    <n v="2"/>
    <s v="4/22/2020"/>
    <d v="2020-04-22T08:42:34"/>
    <x v="0"/>
    <s v="Vegetation - Herbaceous"/>
    <m/>
    <m/>
    <m/>
    <m/>
    <x v="0"/>
    <m/>
    <m/>
    <m/>
    <m/>
    <m/>
    <m/>
    <m/>
    <m/>
    <m/>
    <m/>
    <m/>
    <m/>
    <m/>
    <m/>
    <m/>
    <s v="{14cb605e-71b3-4cc6-be41-0e9e24c93d0b}"/>
    <d v="2020-04-22T15:42:34"/>
    <s v="clark@ccber.ucsb.edu_ucsb"/>
    <d v="2020-04-22T15:42:34"/>
    <s v="clark@ccber.ucsb.edu_ucsb"/>
  </r>
  <r>
    <n v="3"/>
    <x v="6"/>
    <n v="1"/>
    <s v="4/22/2020"/>
    <d v="2020-04-22T07:27:28"/>
    <x v="0"/>
    <s v="Bare ground"/>
    <m/>
    <m/>
    <m/>
    <m/>
    <x v="1"/>
    <m/>
    <m/>
    <m/>
    <m/>
    <m/>
    <m/>
    <m/>
    <m/>
    <m/>
    <m/>
    <m/>
    <m/>
    <m/>
    <m/>
    <m/>
    <s v="{5732804a-8602-4ffa-afde-b98e23af6457}"/>
    <d v="2020-04-22T14:27:28"/>
    <s v="ccber_user"/>
    <d v="2020-04-22T14:27:28"/>
    <s v="ccber_user"/>
  </r>
  <r>
    <n v="80"/>
    <x v="6"/>
    <n v="1"/>
    <s v="4/22/2020"/>
    <d v="2020-04-22T07:30:44"/>
    <x v="0"/>
    <s v="Water - Wading"/>
    <m/>
    <m/>
    <m/>
    <m/>
    <x v="0"/>
    <m/>
    <m/>
    <m/>
    <m/>
    <m/>
    <m/>
    <m/>
    <m/>
    <m/>
    <m/>
    <m/>
    <m/>
    <m/>
    <m/>
    <m/>
    <s v="{c8a18646-081e-422a-ba2e-52676c8616c7}"/>
    <d v="2020-04-22T14:30:44"/>
    <s v="clark@ccber.ucsb.edu_ucsb"/>
    <d v="2020-04-22T14:30:44"/>
    <s v="clark@ccber.ucsb.edu_ucsb"/>
  </r>
  <r>
    <n v="154"/>
    <x v="6"/>
    <n v="1"/>
    <s v="4/22/2020"/>
    <d v="2020-04-22T09:03:51"/>
    <x v="1"/>
    <s v="Mud"/>
    <m/>
    <m/>
    <s v="Changed Repeat Observation from No to Yes following post-survey review."/>
    <m/>
    <x v="0"/>
    <m/>
    <m/>
    <m/>
    <m/>
    <m/>
    <m/>
    <m/>
    <m/>
    <m/>
    <m/>
    <m/>
    <m/>
    <m/>
    <m/>
    <m/>
    <s v="{b37a2521-7798-43ae-89fb-92167288c4f8}"/>
    <d v="2020-04-22T16:03:51"/>
    <s v="clark@ccber.ucsb.edu_ucsb"/>
    <d v="2020-04-22T16:03:51"/>
    <s v="clark@ccber.ucsb.edu_ucsb"/>
  </r>
  <r>
    <n v="114"/>
    <x v="7"/>
    <n v="1"/>
    <s v="4/22/2020"/>
    <d v="2020-04-22T08:13:42"/>
    <x v="0"/>
    <s v="Water - Floating"/>
    <m/>
    <m/>
    <m/>
    <m/>
    <x v="0"/>
    <m/>
    <m/>
    <m/>
    <m/>
    <m/>
    <m/>
    <m/>
    <m/>
    <m/>
    <m/>
    <m/>
    <m/>
    <m/>
    <m/>
    <m/>
    <s v="{8eab204c-c4ac-4be9-af1e-c570abec7f9b}"/>
    <d v="2020-04-22T15:13:42"/>
    <s v="clark@ccber.ucsb.edu_ucsb"/>
    <d v="2020-04-22T15:13:42"/>
    <s v="clark@ccber.ucsb.edu_ucsb"/>
  </r>
  <r>
    <n v="168"/>
    <x v="7"/>
    <n v="2"/>
    <s v="4/22/2020"/>
    <d v="2020-04-22T09:19:19"/>
    <x v="0"/>
    <m/>
    <m/>
    <m/>
    <m/>
    <m/>
    <x v="0"/>
    <m/>
    <m/>
    <m/>
    <m/>
    <m/>
    <m/>
    <m/>
    <m/>
    <m/>
    <m/>
    <m/>
    <m/>
    <m/>
    <m/>
    <m/>
    <s v="{3b80e398-fe5e-428c-ad87-bfa98d6d095d}"/>
    <d v="2020-04-22T16:19:19"/>
    <s v="clark@ccber.ucsb.edu_ucsb"/>
    <d v="2020-04-22T16:22:25"/>
    <s v="clark@ccber.ucsb.edu_ucsb"/>
  </r>
  <r>
    <n v="120"/>
    <x v="8"/>
    <n v="2"/>
    <s v="4/22/2020"/>
    <d v="2020-04-22T08:20:04"/>
    <x v="0"/>
    <s v="Air"/>
    <m/>
    <m/>
    <m/>
    <m/>
    <x v="0"/>
    <m/>
    <m/>
    <m/>
    <m/>
    <m/>
    <m/>
    <m/>
    <m/>
    <m/>
    <m/>
    <m/>
    <m/>
    <m/>
    <m/>
    <m/>
    <s v="{be8f68ac-ed11-4532-b35c-40c9e5119740}"/>
    <d v="2020-04-22T15:20:04"/>
    <s v="clark@ccber.ucsb.edu_ucsb"/>
    <d v="2020-04-22T15:20:04"/>
    <s v="clark@ccber.ucsb.edu_ucsb"/>
  </r>
  <r>
    <n v="169"/>
    <x v="9"/>
    <n v="1"/>
    <s v="4/22/2020"/>
    <d v="2020-04-22T09:22:42"/>
    <x v="0"/>
    <m/>
    <s v="F"/>
    <m/>
    <m/>
    <m/>
    <x v="0"/>
    <m/>
    <m/>
    <m/>
    <m/>
    <m/>
    <m/>
    <m/>
    <m/>
    <m/>
    <m/>
    <m/>
    <m/>
    <m/>
    <m/>
    <m/>
    <s v="{af7d8315-dd4e-4afd-a60f-389fd831fe4b}"/>
    <d v="2020-04-22T16:22:42"/>
    <s v="clark@ccber.ucsb.edu_ucsb"/>
    <d v="2020-04-22T16:22:42"/>
    <s v="clark@ccber.ucsb.edu_ucsb"/>
  </r>
  <r>
    <n v="9"/>
    <x v="10"/>
    <n v="8"/>
    <s v="4/22/2020"/>
    <d v="2020-04-22T07:45:03"/>
    <x v="0"/>
    <s v="Vegetation - Tree"/>
    <m/>
    <m/>
    <m/>
    <m/>
    <x v="1"/>
    <m/>
    <m/>
    <m/>
    <m/>
    <m/>
    <m/>
    <m/>
    <m/>
    <m/>
    <m/>
    <m/>
    <m/>
    <m/>
    <m/>
    <m/>
    <s v="{4a1961c1-eeb4-4ae8-baf0-2754b94efb17}"/>
    <d v="2020-04-22T14:45:03"/>
    <s v="ccber_user"/>
    <d v="2020-04-22T14:45:03"/>
    <s v="ccber_user"/>
  </r>
  <r>
    <n v="148"/>
    <x v="11"/>
    <n v="2"/>
    <s v="4/22/2020"/>
    <d v="2020-04-22T08:57:48"/>
    <x v="0"/>
    <s v="Vegetation - Shrub"/>
    <m/>
    <m/>
    <m/>
    <m/>
    <x v="0"/>
    <m/>
    <m/>
    <m/>
    <m/>
    <m/>
    <m/>
    <m/>
    <m/>
    <m/>
    <m/>
    <m/>
    <m/>
    <m/>
    <m/>
    <m/>
    <s v="{14bbe6d8-384e-45bd-bf4e-78bbc69a9bb9}"/>
    <d v="2020-04-22T15:57:48"/>
    <s v="clark@ccber.ucsb.edu_ucsb"/>
    <d v="2020-04-22T15:57:48"/>
    <s v="clark@ccber.ucsb.edu_ucsb"/>
  </r>
  <r>
    <n v="162"/>
    <x v="11"/>
    <n v="1"/>
    <s v="4/22/2020"/>
    <d v="2020-04-22T09:12:54"/>
    <x v="0"/>
    <m/>
    <m/>
    <m/>
    <m/>
    <m/>
    <x v="0"/>
    <m/>
    <m/>
    <m/>
    <m/>
    <m/>
    <m/>
    <m/>
    <m/>
    <m/>
    <m/>
    <m/>
    <m/>
    <m/>
    <m/>
    <m/>
    <s v="{09b66dcd-cca8-4630-ae0e-13eab3fccd34}"/>
    <d v="2020-04-22T16:12:54"/>
    <s v="clark@ccber.ucsb.edu_ucsb"/>
    <d v="2020-04-22T16:12:54"/>
    <s v="clark@ccber.ucsb.edu_ucsb"/>
  </r>
  <r>
    <n v="30"/>
    <x v="12"/>
    <n v="2"/>
    <s v="4/22/2020"/>
    <d v="2020-04-22T08:39:48"/>
    <x v="0"/>
    <s v="Vegetation - Herbaceous"/>
    <m/>
    <m/>
    <m/>
    <m/>
    <x v="1"/>
    <m/>
    <m/>
    <m/>
    <m/>
    <m/>
    <m/>
    <m/>
    <m/>
    <m/>
    <m/>
    <m/>
    <m/>
    <m/>
    <m/>
    <m/>
    <s v="{715e7e12-1cb8-4cc3-984f-da3fef3050bb}"/>
    <d v="2020-04-22T15:39:48"/>
    <s v="ccber_user"/>
    <d v="2020-04-22T15:39:48"/>
    <s v="ccber_user"/>
  </r>
  <r>
    <n v="16"/>
    <x v="13"/>
    <n v="2"/>
    <s v="4/22/2020"/>
    <d v="2020-04-22T08:12:23"/>
    <x v="0"/>
    <s v="Vegetation - Tree"/>
    <m/>
    <m/>
    <m/>
    <m/>
    <x v="1"/>
    <m/>
    <m/>
    <m/>
    <m/>
    <m/>
    <m/>
    <m/>
    <m/>
    <m/>
    <m/>
    <m/>
    <m/>
    <m/>
    <m/>
    <m/>
    <s v="{70a66368-6557-4c84-a186-2047361dbe12}"/>
    <d v="2020-04-22T15:12:23"/>
    <s v="ccber_user"/>
    <d v="2020-04-22T15:12:23"/>
    <s v="ccber_user"/>
  </r>
  <r>
    <n v="24"/>
    <x v="13"/>
    <n v="1"/>
    <s v="4/22/2020"/>
    <d v="2020-04-22T08:21:47"/>
    <x v="0"/>
    <s v="Vegetation - Tree"/>
    <m/>
    <m/>
    <m/>
    <m/>
    <x v="1"/>
    <m/>
    <m/>
    <m/>
    <m/>
    <m/>
    <m/>
    <m/>
    <m/>
    <m/>
    <m/>
    <m/>
    <m/>
    <m/>
    <m/>
    <m/>
    <s v="{0c1e3750-c691-42f2-998d-821e6b9996b1}"/>
    <d v="2020-04-22T15:21:47"/>
    <s v="ccber_user"/>
    <d v="2020-04-22T15:21:47"/>
    <s v="ccber_user"/>
  </r>
  <r>
    <n v="29"/>
    <x v="13"/>
    <n v="1"/>
    <s v="4/22/2020"/>
    <d v="2020-04-22T08:35:26"/>
    <x v="0"/>
    <s v="Vegetation - Tree"/>
    <m/>
    <m/>
    <m/>
    <m/>
    <x v="1"/>
    <m/>
    <m/>
    <m/>
    <m/>
    <m/>
    <m/>
    <m/>
    <m/>
    <m/>
    <m/>
    <m/>
    <m/>
    <m/>
    <m/>
    <m/>
    <s v="{f01d9197-bcfa-4daa-ac9d-ba84a0b7e804}"/>
    <d v="2020-04-22T15:35:26"/>
    <s v="ccber_user"/>
    <d v="2020-04-22T15:35:26"/>
    <s v="ccber_user"/>
  </r>
  <r>
    <n v="40"/>
    <x v="13"/>
    <n v="1"/>
    <s v="4/22/2020"/>
    <d v="2020-04-22T09:03:52"/>
    <x v="0"/>
    <s v="Air"/>
    <m/>
    <m/>
    <m/>
    <m/>
    <x v="1"/>
    <m/>
    <m/>
    <m/>
    <m/>
    <m/>
    <m/>
    <m/>
    <m/>
    <m/>
    <m/>
    <m/>
    <m/>
    <m/>
    <m/>
    <m/>
    <s v="{7c4dbe2d-af59-4448-93f6-89eb261a801c}"/>
    <d v="2020-04-22T16:03:52"/>
    <s v="ccber_user"/>
    <d v="2020-04-22T16:03:52"/>
    <s v="ccber_user"/>
  </r>
  <r>
    <n v="104"/>
    <x v="14"/>
    <n v="3"/>
    <s v="4/22/2020"/>
    <d v="2020-04-22T08:05:54"/>
    <x v="0"/>
    <s v="Water - Floating"/>
    <m/>
    <m/>
    <m/>
    <m/>
    <x v="0"/>
    <m/>
    <m/>
    <m/>
    <m/>
    <m/>
    <m/>
    <m/>
    <m/>
    <m/>
    <m/>
    <m/>
    <m/>
    <m/>
    <m/>
    <m/>
    <s v="{b8cfc7f9-d4cc-47f1-99a4-843ecbcbea2f}"/>
    <d v="2020-04-22T15:05:54"/>
    <s v="clark@ccber.ucsb.edu_ucsb"/>
    <d v="2020-04-22T15:05:54"/>
    <s v="clark@ccber.ucsb.edu_ucsb"/>
  </r>
  <r>
    <n v="115"/>
    <x v="14"/>
    <n v="2"/>
    <s v="4/22/2020"/>
    <d v="2020-04-22T08:13:54"/>
    <x v="0"/>
    <s v="Water - Floating"/>
    <m/>
    <m/>
    <m/>
    <m/>
    <x v="0"/>
    <m/>
    <m/>
    <m/>
    <m/>
    <m/>
    <m/>
    <m/>
    <m/>
    <m/>
    <m/>
    <m/>
    <m/>
    <m/>
    <m/>
    <m/>
    <s v="{713e13ce-4e0b-4985-b235-54f4d61a6f59}"/>
    <d v="2020-04-22T15:13:54"/>
    <s v="clark@ccber.ucsb.edu_ucsb"/>
    <d v="2020-04-22T15:13:54"/>
    <s v="clark@ccber.ucsb.edu_ucsb"/>
  </r>
  <r>
    <n v="54"/>
    <x v="14"/>
    <n v="2"/>
    <s v="4/22/2020"/>
    <d v="2020-04-22T09:17:29"/>
    <x v="0"/>
    <s v="Water - Floating"/>
    <m/>
    <m/>
    <m/>
    <m/>
    <x v="1"/>
    <m/>
    <m/>
    <m/>
    <m/>
    <m/>
    <m/>
    <m/>
    <m/>
    <m/>
    <m/>
    <m/>
    <m/>
    <m/>
    <m/>
    <m/>
    <s v="{c6f608aa-e87d-46e5-8f53-0f57f6fd9d75}"/>
    <d v="2020-04-22T16:17:29"/>
    <s v="ccber_user"/>
    <d v="2020-04-22T16:17:29"/>
    <s v="ccber_user"/>
  </r>
  <r>
    <n v="167"/>
    <x v="14"/>
    <n v="1"/>
    <s v="4/22/2020"/>
    <d v="2020-04-22T09:19:07"/>
    <x v="0"/>
    <m/>
    <m/>
    <m/>
    <m/>
    <m/>
    <x v="0"/>
    <m/>
    <m/>
    <m/>
    <m/>
    <m/>
    <m/>
    <m/>
    <m/>
    <m/>
    <m/>
    <m/>
    <m/>
    <m/>
    <m/>
    <m/>
    <s v="{03011825-3bbf-4aed-a6de-02e9e55a2b63}"/>
    <d v="2020-04-22T16:19:07"/>
    <s v="clark@ccber.ucsb.edu_ucsb"/>
    <d v="2020-04-22T16:19:07"/>
    <s v="clark@ccber.ucsb.edu_ucsb"/>
  </r>
  <r>
    <n v="75"/>
    <x v="15"/>
    <n v="1"/>
    <s v="4/22/2020"/>
    <d v="2020-04-22T07:23:32"/>
    <x v="0"/>
    <s v="Water - Floating"/>
    <m/>
    <m/>
    <m/>
    <m/>
    <x v="0"/>
    <m/>
    <m/>
    <m/>
    <m/>
    <m/>
    <m/>
    <m/>
    <m/>
    <m/>
    <m/>
    <m/>
    <m/>
    <m/>
    <m/>
    <m/>
    <s v="{bda1bd70-1bf9-4c43-9af6-6fdd306fe521}"/>
    <d v="2020-04-22T14:23:32"/>
    <s v="clark@ccber.ucsb.edu_ucsb"/>
    <d v="2020-04-22T14:23:32"/>
    <s v="clark@ccber.ucsb.edu_ucsb"/>
  </r>
  <r>
    <n v="53"/>
    <x v="15"/>
    <n v="1"/>
    <s v="4/22/2020"/>
    <d v="2020-04-22T09:17:13"/>
    <x v="0"/>
    <s v="Water - Floating"/>
    <m/>
    <m/>
    <s v="Count corrected from blank to 1 following post-survey review."/>
    <m/>
    <x v="1"/>
    <m/>
    <m/>
    <m/>
    <m/>
    <m/>
    <m/>
    <m/>
    <m/>
    <m/>
    <m/>
    <m/>
    <m/>
    <m/>
    <m/>
    <m/>
    <s v="{a6771031-c136-44bf-a7d0-a450bfb309a8}"/>
    <d v="2020-04-22T16:17:13"/>
    <s v="ccber_user"/>
    <d v="2020-04-22T16:17:13"/>
    <s v="ccber_user"/>
  </r>
  <r>
    <n v="87"/>
    <x v="16"/>
    <n v="40"/>
    <s v="4/22/2020"/>
    <d v="2020-04-22T07:42:50"/>
    <x v="0"/>
    <s v="Air"/>
    <m/>
    <m/>
    <s v="getting mud"/>
    <m/>
    <x v="0"/>
    <m/>
    <m/>
    <m/>
    <m/>
    <m/>
    <m/>
    <m/>
    <m/>
    <m/>
    <m/>
    <m/>
    <m/>
    <m/>
    <m/>
    <m/>
    <s v="{71487f98-e7cb-49f0-bf8c-4ca6ad21f34d}"/>
    <d v="2020-04-22T14:42:50"/>
    <s v="clark@ccber.ucsb.edu_ucsb"/>
    <d v="2020-04-22T14:42:50"/>
    <s v="clark@ccber.ucsb.edu_ucsb"/>
  </r>
  <r>
    <n v="11"/>
    <x v="16"/>
    <n v="15"/>
    <s v="4/22/2020"/>
    <d v="2020-04-22T07:48:53"/>
    <x v="0"/>
    <s v="Air"/>
    <m/>
    <m/>
    <m/>
    <m/>
    <x v="1"/>
    <m/>
    <m/>
    <m/>
    <m/>
    <m/>
    <m/>
    <m/>
    <m/>
    <m/>
    <m/>
    <m/>
    <m/>
    <m/>
    <m/>
    <m/>
    <s v="{d7d5c85e-f492-46d0-9220-5656a6017a4c}"/>
    <d v="2020-04-22T14:48:53"/>
    <s v="ccber_user"/>
    <d v="2020-04-22T14:54:16"/>
    <s v="ccber_user"/>
  </r>
  <r>
    <n v="98"/>
    <x v="16"/>
    <n v="1"/>
    <s v="4/22/2020"/>
    <d v="2020-04-22T07:54:41"/>
    <x v="1"/>
    <s v="Air"/>
    <m/>
    <m/>
    <s v="Changed Repeat Observation from No to Yes following post-survey review."/>
    <m/>
    <x v="0"/>
    <m/>
    <m/>
    <m/>
    <m/>
    <m/>
    <m/>
    <m/>
    <m/>
    <m/>
    <m/>
    <m/>
    <m/>
    <m/>
    <m/>
    <m/>
    <s v="{69c32a2f-6059-40d2-87e4-c27e0db9383d}"/>
    <d v="2020-04-22T14:54:41"/>
    <s v="clark@ccber.ucsb.edu_ucsb"/>
    <d v="2020-04-22T14:54:41"/>
    <s v="clark@ccber.ucsb.edu_ucsb"/>
  </r>
  <r>
    <n v="21"/>
    <x v="16"/>
    <n v="100"/>
    <s v="4/22/2020"/>
    <d v="2020-04-22T08:15:44"/>
    <x v="0"/>
    <s v="Air"/>
    <m/>
    <m/>
    <m/>
    <m/>
    <x v="1"/>
    <m/>
    <m/>
    <m/>
    <m/>
    <m/>
    <m/>
    <m/>
    <m/>
    <m/>
    <m/>
    <m/>
    <m/>
    <m/>
    <m/>
    <m/>
    <s v="{04541df0-9774-4701-ac17-9288ed749e5e}"/>
    <d v="2020-04-22T15:15:44"/>
    <s v="ccber_user"/>
    <d v="2020-04-22T15:15:44"/>
    <s v="ccber_user"/>
  </r>
  <r>
    <n v="123"/>
    <x v="16"/>
    <n v="40"/>
    <s v="4/22/2020"/>
    <d v="2020-04-22T08:22:10"/>
    <x v="0"/>
    <s v="Building"/>
    <m/>
    <s v="Carrying Nest Material"/>
    <s v="building nests"/>
    <m/>
    <x v="0"/>
    <m/>
    <m/>
    <m/>
    <m/>
    <m/>
    <m/>
    <m/>
    <m/>
    <m/>
    <m/>
    <m/>
    <m/>
    <m/>
    <m/>
    <m/>
    <s v="{25a5d49f-c92a-4271-b768-142c61a2dc2a}"/>
    <d v="2020-04-22T15:22:10"/>
    <s v="clark@ccber.ucsb.edu_ucsb"/>
    <d v="2020-04-22T15:24:17"/>
    <s v="clark@ccber.ucsb.edu_ucsb"/>
  </r>
  <r>
    <n v="137"/>
    <x v="16"/>
    <n v="44"/>
    <s v="4/22/2020"/>
    <d v="2020-04-22T08:45:44"/>
    <x v="1"/>
    <s v="Mud"/>
    <m/>
    <m/>
    <m/>
    <m/>
    <x v="0"/>
    <m/>
    <m/>
    <m/>
    <m/>
    <m/>
    <m/>
    <m/>
    <m/>
    <m/>
    <m/>
    <m/>
    <m/>
    <m/>
    <m/>
    <m/>
    <s v="{895d5ce8-4615-4aac-82d8-12075a0966db}"/>
    <d v="2020-04-22T15:45:44"/>
    <s v="clark@ccber.ucsb.edu_ucsb"/>
    <d v="2020-04-22T15:45:44"/>
    <s v="clark@ccber.ucsb.edu_ucsb"/>
  </r>
  <r>
    <n v="37"/>
    <x v="16"/>
    <n v="25"/>
    <s v="4/22/2020"/>
    <d v="2020-04-22T08:58:44"/>
    <x v="1"/>
    <s v="Air"/>
    <m/>
    <m/>
    <m/>
    <m/>
    <x v="1"/>
    <m/>
    <m/>
    <m/>
    <m/>
    <m/>
    <m/>
    <m/>
    <m/>
    <m/>
    <m/>
    <m/>
    <m/>
    <m/>
    <m/>
    <m/>
    <s v="{bf72005a-3e38-4bc5-94cb-b49a35eaceb2}"/>
    <d v="2020-04-22T15:58:44"/>
    <s v="ccber_user"/>
    <d v="2020-04-22T15:58:44"/>
    <s v="ccber_user"/>
  </r>
  <r>
    <n v="55"/>
    <x v="16"/>
    <n v="100"/>
    <s v="4/22/2020"/>
    <d v="2020-04-22T09:18:01"/>
    <x v="0"/>
    <s v="Air"/>
    <m/>
    <m/>
    <m/>
    <m/>
    <x v="1"/>
    <m/>
    <m/>
    <m/>
    <m/>
    <m/>
    <m/>
    <m/>
    <m/>
    <m/>
    <m/>
    <m/>
    <m/>
    <m/>
    <m/>
    <m/>
    <s v="{2a789448-0d2d-4dda-893d-e9e72e88b3a3}"/>
    <d v="2020-04-22T16:18:01"/>
    <s v="ccber_user"/>
    <d v="2020-04-22T16:18:01"/>
    <s v="ccber_user"/>
  </r>
  <r>
    <n v="177"/>
    <x v="16"/>
    <n v="90"/>
    <s v="4/22/2020"/>
    <d v="2020-04-22T09:35:48"/>
    <x v="1"/>
    <s v="Mud"/>
    <m/>
    <m/>
    <m/>
    <m/>
    <x v="0"/>
    <m/>
    <m/>
    <m/>
    <m/>
    <m/>
    <m/>
    <m/>
    <m/>
    <m/>
    <m/>
    <m/>
    <m/>
    <m/>
    <m/>
    <m/>
    <s v="{c2f309df-d26f-416d-95c9-6f86b2e60f9b}"/>
    <d v="2020-04-22T16:35:48"/>
    <s v="clark@ccber.ucsb.edu_ucsb"/>
    <d v="2020-04-22T16:46:26"/>
    <s v="clark@ccber.ucsb.edu_ucsb"/>
  </r>
  <r>
    <n v="7"/>
    <x v="17"/>
    <n v="1"/>
    <s v="4/22/2020"/>
    <d v="2020-04-22T07:41:10"/>
    <x v="0"/>
    <s v="Vegetation - Shrub"/>
    <m/>
    <m/>
    <m/>
    <m/>
    <x v="1"/>
    <m/>
    <m/>
    <m/>
    <m/>
    <m/>
    <m/>
    <m/>
    <m/>
    <m/>
    <m/>
    <m/>
    <m/>
    <m/>
    <m/>
    <m/>
    <s v="{c2e92bde-5ca2-4919-ace4-f21909d6c653}"/>
    <d v="2020-04-22T14:41:10"/>
    <s v="ccber_user"/>
    <d v="2020-04-22T14:41:10"/>
    <s v="ccber_user"/>
  </r>
  <r>
    <n v="89"/>
    <x v="17"/>
    <n v="1"/>
    <s v="4/22/2020"/>
    <d v="2020-04-22T07:43:22"/>
    <x v="0"/>
    <s v="Vegetation - Shrub"/>
    <m/>
    <m/>
    <m/>
    <m/>
    <x v="0"/>
    <m/>
    <m/>
    <m/>
    <m/>
    <m/>
    <m/>
    <m/>
    <m/>
    <m/>
    <m/>
    <m/>
    <m/>
    <m/>
    <m/>
    <m/>
    <s v="{35aff5c5-0775-4b42-8bd3-989d8f5cf6cc}"/>
    <d v="2020-04-22T14:43:22"/>
    <s v="clark@ccber.ucsb.edu_ucsb"/>
    <d v="2020-04-22T14:43:22"/>
    <s v="clark@ccber.ucsb.edu_ucsb"/>
  </r>
  <r>
    <n v="19"/>
    <x v="17"/>
    <n v="1"/>
    <s v="4/22/2020"/>
    <d v="2020-04-22T08:14:08"/>
    <x v="0"/>
    <s v="Vegetation - Herbaceous"/>
    <m/>
    <m/>
    <m/>
    <m/>
    <x v="1"/>
    <m/>
    <m/>
    <m/>
    <m/>
    <m/>
    <m/>
    <m/>
    <m/>
    <m/>
    <m/>
    <m/>
    <m/>
    <m/>
    <m/>
    <m/>
    <s v="{ef3f29e9-4877-499c-a89a-e7d3343641c3}"/>
    <d v="2020-04-22T15:14:08"/>
    <s v="ccber_user"/>
    <d v="2020-04-22T15:14:08"/>
    <s v="ccber_user"/>
  </r>
  <r>
    <n v="127"/>
    <x v="17"/>
    <n v="1"/>
    <s v="4/22/2020"/>
    <d v="2020-04-22T08:28:44"/>
    <x v="0"/>
    <s v="Vegetation - Shrub"/>
    <m/>
    <m/>
    <m/>
    <m/>
    <x v="0"/>
    <m/>
    <m/>
    <m/>
    <m/>
    <m/>
    <m/>
    <m/>
    <m/>
    <m/>
    <m/>
    <m/>
    <m/>
    <m/>
    <m/>
    <m/>
    <s v="{2b07e33b-b0ab-4def-9c83-61b02adbe662}"/>
    <d v="2020-04-22T15:28:44"/>
    <s v="clark@ccber.ucsb.edu_ucsb"/>
    <d v="2020-04-22T15:28:44"/>
    <s v="clark@ccber.ucsb.edu_ucsb"/>
  </r>
  <r>
    <n v="33"/>
    <x v="17"/>
    <n v="1"/>
    <s v="4/22/2020"/>
    <d v="2020-04-22T08:44:45"/>
    <x v="0"/>
    <s v="Vegetation - Tree"/>
    <m/>
    <m/>
    <m/>
    <m/>
    <x v="1"/>
    <m/>
    <m/>
    <m/>
    <m/>
    <m/>
    <m/>
    <m/>
    <m/>
    <m/>
    <m/>
    <m/>
    <m/>
    <m/>
    <m/>
    <m/>
    <s v="{ee9787d0-5bfb-43c1-80fd-38e57630cd9f}"/>
    <d v="2020-04-22T15:44:45"/>
    <s v="ccber_user"/>
    <d v="2020-04-22T15:44:45"/>
    <s v="ccber_user"/>
  </r>
  <r>
    <n v="47"/>
    <x v="17"/>
    <n v="1"/>
    <s v="4/22/2020"/>
    <d v="2020-04-22T09:10:36"/>
    <x v="0"/>
    <s v="Vegetation - Herbaceous"/>
    <m/>
    <m/>
    <m/>
    <m/>
    <x v="1"/>
    <m/>
    <m/>
    <m/>
    <m/>
    <m/>
    <m/>
    <m/>
    <m/>
    <m/>
    <m/>
    <m/>
    <m/>
    <m/>
    <m/>
    <m/>
    <s v="{ddca9846-95e4-4913-89d8-b9fea21eecaf}"/>
    <d v="2020-04-22T16:10:36"/>
    <s v="ccber_user"/>
    <d v="2020-04-22T16:10:36"/>
    <s v="ccber_user"/>
  </r>
  <r>
    <n v="52"/>
    <x v="17"/>
    <n v="1"/>
    <s v="4/22/2020"/>
    <d v="2020-04-22T09:15:46"/>
    <x v="0"/>
    <s v="Vegetation - Herbaceous"/>
    <m/>
    <m/>
    <m/>
    <m/>
    <x v="1"/>
    <m/>
    <m/>
    <m/>
    <m/>
    <m/>
    <m/>
    <m/>
    <m/>
    <m/>
    <m/>
    <m/>
    <m/>
    <m/>
    <m/>
    <m/>
    <s v="{3e2ea669-f0a4-4a28-93e2-0e5660463053}"/>
    <d v="2020-04-22T16:15:46"/>
    <s v="ccber_user"/>
    <d v="2020-04-22T16:15:46"/>
    <s v="ccber_user"/>
  </r>
  <r>
    <n v="56"/>
    <x v="17"/>
    <n v="1"/>
    <s v="4/22/2020"/>
    <d v="2020-04-22T09:20:15"/>
    <x v="0"/>
    <s v="Vegetation - Herbaceous"/>
    <m/>
    <m/>
    <m/>
    <m/>
    <x v="1"/>
    <m/>
    <m/>
    <m/>
    <m/>
    <m/>
    <m/>
    <m/>
    <m/>
    <m/>
    <m/>
    <m/>
    <m/>
    <m/>
    <m/>
    <m/>
    <s v="{f7453b3a-53dd-4f46-921d-01f8e217d658}"/>
    <d v="2020-04-22T16:20:15"/>
    <s v="ccber_user"/>
    <d v="2020-04-22T16:20:15"/>
    <s v="ccber_user"/>
  </r>
  <r>
    <n v="59"/>
    <x v="17"/>
    <n v="2"/>
    <s v="4/22/2020"/>
    <d v="2020-04-22T09:22:42"/>
    <x v="0"/>
    <s v="Vegetation - Herbaceous"/>
    <m/>
    <m/>
    <m/>
    <m/>
    <x v="1"/>
    <m/>
    <m/>
    <m/>
    <m/>
    <m/>
    <m/>
    <m/>
    <m/>
    <m/>
    <m/>
    <m/>
    <m/>
    <m/>
    <m/>
    <m/>
    <s v="{f2c3c9fc-bf96-4e0c-bcb5-a4871df9640f}"/>
    <d v="2020-04-22T16:22:42"/>
    <s v="ccber_user"/>
    <d v="2020-04-22T16:22:42"/>
    <s v="ccber_user"/>
  </r>
  <r>
    <n v="85"/>
    <x v="18"/>
    <n v="1"/>
    <s v="4/22/2020"/>
    <d v="2020-04-22T07:42:04"/>
    <x v="1"/>
    <s v="Air"/>
    <m/>
    <m/>
    <s v="Changed Repeat Observation from No to Yes following post-survey review."/>
    <m/>
    <x v="0"/>
    <m/>
    <m/>
    <m/>
    <m/>
    <m/>
    <m/>
    <m/>
    <m/>
    <m/>
    <m/>
    <m/>
    <m/>
    <m/>
    <m/>
    <m/>
    <s v="{c1100063-65fe-416b-a8ee-41865fb1be8d}"/>
    <d v="2020-04-22T14:42:04"/>
    <s v="clark@ccber.ucsb.edu_ucsb"/>
    <d v="2020-04-22T14:42:04"/>
    <s v="clark@ccber.ucsb.edu_ucsb"/>
  </r>
  <r>
    <n v="135"/>
    <x v="18"/>
    <n v="2"/>
    <s v="4/22/2020"/>
    <d v="2020-04-22T08:42:48"/>
    <x v="0"/>
    <s v="Vegetation - Tree"/>
    <m/>
    <s v="Other"/>
    <s v="copulation"/>
    <m/>
    <x v="0"/>
    <m/>
    <m/>
    <m/>
    <m/>
    <m/>
    <m/>
    <m/>
    <m/>
    <m/>
    <m/>
    <m/>
    <m/>
    <m/>
    <m/>
    <m/>
    <s v="{b7d87132-9f0f-45e5-86aa-03d1e4710671}"/>
    <d v="2020-04-22T15:42:48"/>
    <s v="clark@ccber.ucsb.edu_ucsb"/>
    <d v="2020-04-22T15:55:51"/>
    <s v="clark@ccber.ucsb.edu_ucsb"/>
  </r>
  <r>
    <n v="176"/>
    <x v="18"/>
    <n v="1"/>
    <s v="4/22/2020"/>
    <d v="2020-04-22T09:34:57"/>
    <x v="1"/>
    <s v="Air"/>
    <m/>
    <m/>
    <s v="Changed Repeat Observation from No to Yes following post-survey review."/>
    <m/>
    <x v="0"/>
    <m/>
    <m/>
    <m/>
    <m/>
    <m/>
    <m/>
    <m/>
    <m/>
    <m/>
    <m/>
    <m/>
    <m/>
    <m/>
    <m/>
    <m/>
    <s v="{5ad85ade-eb1c-4065-9a5a-1297451eec37}"/>
    <d v="2020-04-22T16:34:57"/>
    <s v="clark@ccber.ucsb.edu_ucsb"/>
    <d v="2020-04-22T16:34:57"/>
    <s v="clark@ccber.ucsb.edu_ucsb"/>
  </r>
  <r>
    <n v="62"/>
    <x v="19"/>
    <n v="1"/>
    <s v="4/22/2020"/>
    <d v="2020-04-22T09:23:58"/>
    <x v="0"/>
    <s v="Vegetation - Tree"/>
    <m/>
    <m/>
    <m/>
    <m/>
    <x v="1"/>
    <m/>
    <m/>
    <m/>
    <m/>
    <m/>
    <m/>
    <m/>
    <m/>
    <m/>
    <m/>
    <m/>
    <m/>
    <m/>
    <m/>
    <m/>
    <s v="{7877f4ca-a091-4a28-b574-52ca474669bd}"/>
    <d v="2020-04-22T16:23:58"/>
    <s v="ccber_user"/>
    <d v="2020-04-22T16:23:58"/>
    <s v="ccber_user"/>
  </r>
  <r>
    <n v="119"/>
    <x v="20"/>
    <n v="2"/>
    <s v="4/22/2020"/>
    <d v="2020-04-22T08:18:01"/>
    <x v="0"/>
    <s v="Air"/>
    <m/>
    <m/>
    <m/>
    <m/>
    <x v="0"/>
    <m/>
    <m/>
    <m/>
    <m/>
    <m/>
    <m/>
    <m/>
    <m/>
    <m/>
    <m/>
    <m/>
    <m/>
    <m/>
    <m/>
    <m/>
    <s v="{3d691c9b-174e-4474-94f5-ba85e07cc33b}"/>
    <d v="2020-04-22T15:18:01"/>
    <s v="clark@ccber.ucsb.edu_ucsb"/>
    <d v="2020-04-22T15:18:01"/>
    <s v="clark@ccber.ucsb.edu_ucsb"/>
  </r>
  <r>
    <n v="12"/>
    <x v="21"/>
    <n v="10"/>
    <s v="4/22/2020"/>
    <d v="2020-04-22T08:02:13"/>
    <x v="0"/>
    <s v="Flyover"/>
    <m/>
    <m/>
    <m/>
    <m/>
    <x v="1"/>
    <m/>
    <m/>
    <m/>
    <m/>
    <m/>
    <m/>
    <m/>
    <m/>
    <m/>
    <m/>
    <m/>
    <m/>
    <m/>
    <m/>
    <m/>
    <s v="{92eb46ae-7b03-41b4-9842-3f49759610e0}"/>
    <d v="2020-04-22T15:02:13"/>
    <s v="ccber_user"/>
    <d v="2020-04-22T15:08:16"/>
    <s v="ccber_user"/>
  </r>
  <r>
    <n v="18"/>
    <x v="21"/>
    <n v="5"/>
    <s v="4/22/2020"/>
    <d v="2020-04-22T08:13:53"/>
    <x v="0"/>
    <s v="Vegetation - Herbaceous"/>
    <m/>
    <m/>
    <m/>
    <m/>
    <x v="1"/>
    <m/>
    <m/>
    <m/>
    <m/>
    <m/>
    <m/>
    <m/>
    <m/>
    <m/>
    <m/>
    <m/>
    <m/>
    <m/>
    <m/>
    <m/>
    <s v="{0ee8af09-8c63-40a9-9ff7-657a4fdadae4}"/>
    <d v="2020-04-22T15:13:53"/>
    <s v="ccber_user"/>
    <d v="2020-04-22T15:13:53"/>
    <s v="ccber_user"/>
  </r>
  <r>
    <n v="38"/>
    <x v="21"/>
    <n v="1"/>
    <s v="4/22/2020"/>
    <d v="2020-04-22T09:02:01"/>
    <x v="0"/>
    <s v="Vegetation - Tree"/>
    <m/>
    <m/>
    <m/>
    <m/>
    <x v="1"/>
    <m/>
    <m/>
    <m/>
    <m/>
    <m/>
    <m/>
    <m/>
    <m/>
    <m/>
    <m/>
    <m/>
    <m/>
    <m/>
    <m/>
    <m/>
    <s v="{1c7658d9-d754-4036-9d65-e8132e3419e6}"/>
    <d v="2020-04-22T16:02:01"/>
    <s v="ccber_user"/>
    <d v="2020-04-22T16:02:01"/>
    <s v="ccber_user"/>
  </r>
  <r>
    <n v="45"/>
    <x v="21"/>
    <n v="2"/>
    <s v="4/22/2020"/>
    <d v="2020-04-22T09:07:43"/>
    <x v="0"/>
    <s v="Flyover"/>
    <m/>
    <m/>
    <m/>
    <m/>
    <x v="1"/>
    <m/>
    <m/>
    <m/>
    <m/>
    <m/>
    <m/>
    <m/>
    <m/>
    <m/>
    <m/>
    <m/>
    <m/>
    <m/>
    <m/>
    <m/>
    <s v="{5b54219a-d79e-4390-ae9b-0956b4acf1f3}"/>
    <d v="2020-04-22T16:07:43"/>
    <s v="ccber_user"/>
    <d v="2020-04-22T16:07:43"/>
    <s v="ccber_user"/>
  </r>
  <r>
    <n v="66"/>
    <x v="21"/>
    <n v="10"/>
    <s v="4/22/2020"/>
    <d v="2020-04-22T09:33:39"/>
    <x v="0"/>
    <s v="Vegetation - Tree"/>
    <m/>
    <m/>
    <m/>
    <m/>
    <x v="1"/>
    <m/>
    <m/>
    <m/>
    <m/>
    <m/>
    <m/>
    <m/>
    <m/>
    <m/>
    <m/>
    <m/>
    <m/>
    <m/>
    <m/>
    <m/>
    <s v="{d10cd6df-9300-43cc-a321-dae38649d560}"/>
    <d v="2020-04-22T16:33:39"/>
    <s v="ccber_user"/>
    <d v="2020-04-22T16:33:39"/>
    <s v="ccber_user"/>
  </r>
  <r>
    <n v="175"/>
    <x v="21"/>
    <n v="11"/>
    <s v="4/22/2020"/>
    <d v="2020-04-22T09:33:49"/>
    <x v="1"/>
    <s v="Air"/>
    <m/>
    <m/>
    <m/>
    <m/>
    <x v="0"/>
    <m/>
    <m/>
    <m/>
    <m/>
    <m/>
    <m/>
    <m/>
    <m/>
    <m/>
    <m/>
    <m/>
    <m/>
    <m/>
    <m/>
    <m/>
    <s v="{59e82c30-de97-403f-a20d-825d4e5c5e9b}"/>
    <d v="2020-04-22T16:33:49"/>
    <s v="clark@ccber.ucsb.edu_ucsb"/>
    <d v="2020-04-22T16:33:49"/>
    <s v="clark@ccber.ucsb.edu_ucsb"/>
  </r>
  <r>
    <n v="82"/>
    <x v="22"/>
    <n v="4"/>
    <s v="4/22/2020"/>
    <d v="2020-04-22T07:36:03"/>
    <x v="0"/>
    <s v="Water - Floating"/>
    <m/>
    <m/>
    <m/>
    <m/>
    <x v="0"/>
    <m/>
    <m/>
    <m/>
    <m/>
    <m/>
    <m/>
    <m/>
    <m/>
    <m/>
    <m/>
    <m/>
    <m/>
    <m/>
    <m/>
    <m/>
    <s v="{89c98c49-7835-4320-b405-d856e08f986c}"/>
    <d v="2020-04-22T14:36:03"/>
    <s v="clark@ccber.ucsb.edu_ucsb"/>
    <d v="2020-04-22T14:36:03"/>
    <s v="clark@ccber.ucsb.edu_ucsb"/>
  </r>
  <r>
    <n v="84"/>
    <x v="22"/>
    <n v="2"/>
    <s v="4/22/2020"/>
    <d v="2020-04-22T07:39:50"/>
    <x v="0"/>
    <s v="Water - Floating"/>
    <m/>
    <m/>
    <m/>
    <m/>
    <x v="0"/>
    <m/>
    <m/>
    <m/>
    <m/>
    <m/>
    <m/>
    <m/>
    <m/>
    <m/>
    <m/>
    <m/>
    <m/>
    <m/>
    <m/>
    <m/>
    <s v="{635d533e-132d-4891-914b-e7a564a65bbd}"/>
    <d v="2020-04-22T14:39:50"/>
    <s v="clark@ccber.ucsb.edu_ucsb"/>
    <d v="2020-04-22T14:39:50"/>
    <s v="clark@ccber.ucsb.edu_ucsb"/>
  </r>
  <r>
    <n v="14"/>
    <x v="22"/>
    <n v="3"/>
    <s v="4/22/2020"/>
    <d v="2020-04-22T08:07:57"/>
    <x v="0"/>
    <s v="Water - Floating"/>
    <m/>
    <m/>
    <m/>
    <m/>
    <x v="1"/>
    <m/>
    <m/>
    <m/>
    <m/>
    <m/>
    <m/>
    <m/>
    <m/>
    <m/>
    <m/>
    <m/>
    <m/>
    <m/>
    <m/>
    <m/>
    <s v="{c51a4e8a-9fd3-4c2a-a5cc-736d28686b93}"/>
    <d v="2020-04-22T15:07:57"/>
    <s v="ccber_user"/>
    <d v="2020-04-22T15:07:57"/>
    <s v="ccber_user"/>
  </r>
  <r>
    <n v="179"/>
    <x v="22"/>
    <n v="2"/>
    <s v="4/22/2020"/>
    <d v="2020-04-22T09:37:16"/>
    <x v="0"/>
    <s v="Water - Floating"/>
    <m/>
    <m/>
    <m/>
    <m/>
    <x v="0"/>
    <m/>
    <m/>
    <m/>
    <m/>
    <m/>
    <m/>
    <m/>
    <m/>
    <m/>
    <m/>
    <m/>
    <m/>
    <m/>
    <m/>
    <m/>
    <s v="{13ca9f47-f39b-42f9-8f77-07b689eec4ec}"/>
    <d v="2020-04-22T16:37:16"/>
    <s v="clark@ccber.ucsb.edu_ucsb"/>
    <d v="2020-04-22T16:37:16"/>
    <s v="clark@ccber.ucsb.edu_ucsb"/>
  </r>
  <r>
    <n v="86"/>
    <x v="23"/>
    <n v="1"/>
    <s v="4/22/2020"/>
    <d v="2020-04-22T07:42:19"/>
    <x v="0"/>
    <s v="Air"/>
    <m/>
    <m/>
    <m/>
    <m/>
    <x v="0"/>
    <m/>
    <m/>
    <m/>
    <m/>
    <m/>
    <m/>
    <m/>
    <m/>
    <m/>
    <m/>
    <m/>
    <m/>
    <m/>
    <m/>
    <m/>
    <s v="{8a48dfc1-b958-4616-b02f-90f635d5094f}"/>
    <d v="2020-04-22T14:42:19"/>
    <s v="clark@ccber.ucsb.edu_ucsb"/>
    <d v="2020-04-22T14:42:19"/>
    <s v="clark@ccber.ucsb.edu_ucsb"/>
  </r>
  <r>
    <n v="182"/>
    <x v="23"/>
    <n v="1"/>
    <s v="4/22/2020"/>
    <d v="2020-04-22T09:40:56"/>
    <x v="0"/>
    <s v="Air"/>
    <m/>
    <m/>
    <m/>
    <m/>
    <x v="0"/>
    <m/>
    <m/>
    <m/>
    <m/>
    <m/>
    <m/>
    <m/>
    <m/>
    <m/>
    <m/>
    <m/>
    <m/>
    <m/>
    <m/>
    <m/>
    <s v="{c4bc7669-20dc-42b7-824a-c50184c023e3}"/>
    <d v="2020-04-22T16:40:56"/>
    <s v="clark@ccber.ucsb.edu_ucsb"/>
    <d v="2020-04-22T16:40:56"/>
    <s v="clark@ccber.ucsb.edu_ucsb"/>
  </r>
  <r>
    <n v="108"/>
    <x v="24"/>
    <n v="1"/>
    <s v="4/22/2020"/>
    <d v="2020-04-22T08:09:02"/>
    <x v="0"/>
    <s v="Vegetation - Herbaceous"/>
    <m/>
    <m/>
    <m/>
    <m/>
    <x v="0"/>
    <m/>
    <m/>
    <m/>
    <m/>
    <m/>
    <m/>
    <m/>
    <m/>
    <m/>
    <m/>
    <m/>
    <m/>
    <m/>
    <m/>
    <m/>
    <s v="{21586409-044a-4453-b8bc-087f127ba109}"/>
    <d v="2020-04-22T15:09:02"/>
    <s v="clark@ccber.ucsb.edu_ucsb"/>
    <d v="2020-04-22T15:09:02"/>
    <s v="clark@ccber.ucsb.edu_ucsb"/>
  </r>
  <r>
    <n v="138"/>
    <x v="24"/>
    <n v="3"/>
    <s v="4/22/2020"/>
    <d v="2020-04-22T08:46:02"/>
    <x v="0"/>
    <s v="Air"/>
    <m/>
    <m/>
    <m/>
    <m/>
    <x v="0"/>
    <m/>
    <m/>
    <m/>
    <m/>
    <m/>
    <m/>
    <m/>
    <m/>
    <m/>
    <m/>
    <m/>
    <m/>
    <m/>
    <m/>
    <m/>
    <s v="{d97d07cf-3c97-482f-a543-7a8787ae7e4b}"/>
    <d v="2020-04-22T15:46:02"/>
    <s v="clark@ccber.ucsb.edu_ucsb"/>
    <d v="2020-04-22T15:46:02"/>
    <s v="clark@ccber.ucsb.edu_ucsb"/>
  </r>
  <r>
    <n v="50"/>
    <x v="24"/>
    <n v="1"/>
    <s v="4/22/2020"/>
    <d v="2020-04-22T09:14:39"/>
    <x v="0"/>
    <s v="Water - Wading"/>
    <m/>
    <m/>
    <m/>
    <m/>
    <x v="1"/>
    <m/>
    <m/>
    <m/>
    <m/>
    <m/>
    <m/>
    <m/>
    <m/>
    <m/>
    <m/>
    <m/>
    <m/>
    <m/>
    <m/>
    <m/>
    <s v="{2b2e1c25-7722-4a99-b391-9f0272570705}"/>
    <d v="2020-04-22T16:14:39"/>
    <s v="ccber_user"/>
    <d v="2020-04-22T16:14:39"/>
    <s v="ccber_user"/>
  </r>
  <r>
    <n v="126"/>
    <x v="25"/>
    <n v="1"/>
    <s v="4/22/2020"/>
    <d v="2020-04-22T08:28:28"/>
    <x v="0"/>
    <s v="Air"/>
    <m/>
    <m/>
    <m/>
    <m/>
    <x v="0"/>
    <m/>
    <m/>
    <m/>
    <m/>
    <m/>
    <m/>
    <m/>
    <m/>
    <m/>
    <m/>
    <m/>
    <m/>
    <m/>
    <m/>
    <m/>
    <s v="{059c5134-55d3-4294-b6ae-30e19f1d8f86}"/>
    <d v="2020-04-22T15:28:28"/>
    <s v="clark@ccber.ucsb.edu_ucsb"/>
    <d v="2020-04-22T15:28:28"/>
    <s v="clark@ccber.ucsb.edu_ucsb"/>
  </r>
  <r>
    <n v="118"/>
    <x v="26"/>
    <n v="1"/>
    <s v="4/22/2020"/>
    <d v="2020-04-22T08:17:47"/>
    <x v="0"/>
    <s v="Vegetation - Tree"/>
    <m/>
    <m/>
    <m/>
    <m/>
    <x v="0"/>
    <m/>
    <m/>
    <m/>
    <m/>
    <m/>
    <m/>
    <m/>
    <m/>
    <m/>
    <m/>
    <m/>
    <m/>
    <m/>
    <m/>
    <m/>
    <s v="{2698e217-cdeb-409b-b371-04cd31c5884a}"/>
    <d v="2020-04-22T15:17:47"/>
    <s v="clark@ccber.ucsb.edu_ucsb"/>
    <d v="2020-04-22T15:17:47"/>
    <s v="clark@ccber.ucsb.edu_ucsb"/>
  </r>
  <r>
    <n v="111"/>
    <x v="27"/>
    <n v="3"/>
    <s v="4/22/2020"/>
    <d v="2020-04-22T08:10:47"/>
    <x v="0"/>
    <s v="Vegetation - Tree"/>
    <m/>
    <m/>
    <m/>
    <m/>
    <x v="0"/>
    <m/>
    <m/>
    <m/>
    <m/>
    <m/>
    <m/>
    <m/>
    <m/>
    <m/>
    <m/>
    <m/>
    <m/>
    <m/>
    <m/>
    <m/>
    <s v="{9cbdda93-cbdb-4a38-8eea-ceacf1f789cc}"/>
    <d v="2020-04-22T15:10:47"/>
    <s v="clark@ccber.ucsb.edu_ucsb"/>
    <d v="2020-04-22T15:10:47"/>
    <s v="clark@ccber.ucsb.edu_ucsb"/>
  </r>
  <r>
    <n v="122"/>
    <x v="27"/>
    <n v="1"/>
    <s v="4/22/2020"/>
    <d v="2020-04-22T08:20:59"/>
    <x v="0"/>
    <s v="Vegetation - Tree"/>
    <m/>
    <m/>
    <m/>
    <m/>
    <x v="0"/>
    <m/>
    <m/>
    <m/>
    <m/>
    <m/>
    <m/>
    <m/>
    <m/>
    <m/>
    <m/>
    <m/>
    <m/>
    <m/>
    <m/>
    <m/>
    <s v="{e18316b2-2848-482a-81b4-7f0082d3777b}"/>
    <d v="2020-04-22T15:20:59"/>
    <s v="clark@ccber.ucsb.edu_ucsb"/>
    <d v="2020-04-22T15:20:59"/>
    <s v="clark@ccber.ucsb.edu_ucsb"/>
  </r>
  <r>
    <n v="132"/>
    <x v="27"/>
    <n v="1"/>
    <s v="4/22/2020"/>
    <d v="2020-04-22T08:36:34"/>
    <x v="0"/>
    <s v="Vegetation - Shrub"/>
    <m/>
    <m/>
    <m/>
    <m/>
    <x v="0"/>
    <m/>
    <m/>
    <m/>
    <m/>
    <m/>
    <m/>
    <m/>
    <m/>
    <m/>
    <m/>
    <m/>
    <m/>
    <m/>
    <m/>
    <m/>
    <s v="{c217cf9f-31c1-4d1b-9bb9-e022c67ae24d}"/>
    <d v="2020-04-22T15:36:34"/>
    <s v="clark@ccber.ucsb.edu_ucsb"/>
    <d v="2020-04-22T15:36:34"/>
    <s v="clark@ccber.ucsb.edu_ucsb"/>
  </r>
  <r>
    <n v="36"/>
    <x v="27"/>
    <n v="2"/>
    <s v="4/22/2020"/>
    <d v="2020-04-22T08:58:17"/>
    <x v="0"/>
    <s v="Habitat Feature - Snag"/>
    <m/>
    <m/>
    <m/>
    <m/>
    <x v="1"/>
    <m/>
    <m/>
    <m/>
    <m/>
    <m/>
    <m/>
    <m/>
    <m/>
    <m/>
    <m/>
    <m/>
    <m/>
    <m/>
    <m/>
    <m/>
    <s v="{34157967-6dde-4ab3-87d1-4e9a417b6af4}"/>
    <d v="2020-04-22T15:58:17"/>
    <s v="ccber_user"/>
    <d v="2020-04-22T15:58:17"/>
    <s v="ccber_user"/>
  </r>
  <r>
    <n v="157"/>
    <x v="27"/>
    <n v="2"/>
    <s v="4/22/2020"/>
    <d v="2020-04-22T09:05:54"/>
    <x v="0"/>
    <s v="Air"/>
    <m/>
    <m/>
    <m/>
    <m/>
    <x v="0"/>
    <m/>
    <m/>
    <m/>
    <m/>
    <m/>
    <m/>
    <m/>
    <m/>
    <m/>
    <m/>
    <m/>
    <m/>
    <m/>
    <m/>
    <m/>
    <s v="{7b8605a8-42d2-4b3b-af1c-98abe6511fa5}"/>
    <d v="2020-04-22T16:05:54"/>
    <s v="clark@ccber.ucsb.edu_ucsb"/>
    <d v="2020-04-22T16:05:54"/>
    <s v="clark@ccber.ucsb.edu_ucsb"/>
  </r>
  <r>
    <n v="49"/>
    <x v="27"/>
    <n v="2"/>
    <s v="4/22/2020"/>
    <d v="2020-04-22T09:13:58"/>
    <x v="0"/>
    <s v="Vegetation - Shrub"/>
    <m/>
    <m/>
    <m/>
    <m/>
    <x v="1"/>
    <m/>
    <m/>
    <m/>
    <m/>
    <m/>
    <m/>
    <m/>
    <m/>
    <m/>
    <m/>
    <m/>
    <m/>
    <m/>
    <m/>
    <m/>
    <s v="{d234ce23-1947-4ac4-bec7-93727272d116}"/>
    <d v="2020-04-22T16:13:58"/>
    <s v="ccber_user"/>
    <d v="2020-04-22T16:13:58"/>
    <s v="ccber_user"/>
  </r>
  <r>
    <n v="51"/>
    <x v="27"/>
    <n v="2"/>
    <s v="4/22/2020"/>
    <d v="2020-04-22T09:15:30"/>
    <x v="0"/>
    <s v="Vegetation - Shrub"/>
    <m/>
    <m/>
    <m/>
    <m/>
    <x v="1"/>
    <m/>
    <m/>
    <m/>
    <m/>
    <m/>
    <m/>
    <m/>
    <m/>
    <m/>
    <m/>
    <m/>
    <m/>
    <m/>
    <m/>
    <m/>
    <s v="{26d8808d-9fc5-4ece-9a1e-45cf0d017f8f}"/>
    <d v="2020-04-22T16:15:30"/>
    <s v="ccber_user"/>
    <d v="2020-04-22T16:15:30"/>
    <s v="ccber_user"/>
  </r>
  <r>
    <n v="165"/>
    <x v="27"/>
    <n v="5"/>
    <s v="4/22/2020"/>
    <d v="2020-04-22T09:15:57"/>
    <x v="0"/>
    <s v="Vegetation - Shrub"/>
    <m/>
    <m/>
    <m/>
    <m/>
    <x v="0"/>
    <m/>
    <m/>
    <m/>
    <m/>
    <m/>
    <m/>
    <m/>
    <m/>
    <m/>
    <m/>
    <m/>
    <m/>
    <m/>
    <m/>
    <m/>
    <s v="{5252ce6b-2f8d-45e0-a24c-5c5b6239ffb8}"/>
    <d v="2020-04-22T16:15:57"/>
    <s v="clark@ccber.ucsb.edu_ucsb"/>
    <d v="2020-04-22T16:15:57"/>
    <s v="clark@ccber.ucsb.edu_ucsb"/>
  </r>
  <r>
    <n v="58"/>
    <x v="27"/>
    <n v="2"/>
    <s v="4/22/2020"/>
    <d v="2020-04-22T09:22:04"/>
    <x v="0"/>
    <s v="Vegetation - Herbaceous"/>
    <m/>
    <m/>
    <m/>
    <m/>
    <x v="1"/>
    <m/>
    <m/>
    <m/>
    <m/>
    <m/>
    <m/>
    <m/>
    <m/>
    <m/>
    <m/>
    <m/>
    <m/>
    <m/>
    <m/>
    <m/>
    <s v="{cc076f05-ba83-4901-a9cd-d179b8ba5593}"/>
    <d v="2020-04-22T16:22:04"/>
    <s v="ccber_user"/>
    <d v="2020-04-22T16:22:04"/>
    <s v="ccber_user"/>
  </r>
  <r>
    <n v="130"/>
    <x v="28"/>
    <n v="2"/>
    <s v="4/22/2020"/>
    <d v="2020-04-22T08:35:57"/>
    <x v="0"/>
    <s v="Fence"/>
    <m/>
    <m/>
    <m/>
    <m/>
    <x v="0"/>
    <m/>
    <m/>
    <m/>
    <m/>
    <m/>
    <m/>
    <m/>
    <m/>
    <m/>
    <m/>
    <m/>
    <m/>
    <m/>
    <m/>
    <m/>
    <s v="{35635901-63c6-45b9-8d25-8d6baf557789}"/>
    <d v="2020-04-22T15:35:57"/>
    <s v="clark@ccber.ucsb.edu_ucsb"/>
    <d v="2020-04-22T15:36:45"/>
    <s v="clark@ccber.ucsb.edu_ucsb"/>
  </r>
  <r>
    <n v="41"/>
    <x v="28"/>
    <n v="2"/>
    <s v="4/22/2020"/>
    <d v="2020-04-22T09:05:52"/>
    <x v="0"/>
    <s v="Vegetation - Herbaceous"/>
    <m/>
    <m/>
    <m/>
    <m/>
    <x v="1"/>
    <m/>
    <m/>
    <m/>
    <m/>
    <m/>
    <m/>
    <m/>
    <m/>
    <m/>
    <m/>
    <m/>
    <m/>
    <m/>
    <m/>
    <m/>
    <s v="{aa5eb297-5621-49da-99d2-cedb32d922d9}"/>
    <d v="2020-04-22T16:05:52"/>
    <s v="ccber_user"/>
    <d v="2020-04-22T16:05:52"/>
    <s v="ccber_user"/>
  </r>
  <r>
    <n v="174"/>
    <x v="28"/>
    <n v="4"/>
    <s v="4/22/2020"/>
    <d v="2020-04-22T09:28:44"/>
    <x v="0"/>
    <s v="Vegetation - Shrub"/>
    <m/>
    <m/>
    <m/>
    <m/>
    <x v="0"/>
    <m/>
    <m/>
    <m/>
    <m/>
    <m/>
    <m/>
    <m/>
    <m/>
    <m/>
    <m/>
    <m/>
    <m/>
    <m/>
    <m/>
    <m/>
    <s v="{2d9f3427-8e91-4777-96c1-19eb3c6d2234}"/>
    <d v="2020-04-22T16:28:44"/>
    <s v="clark@ccber.ucsb.edu_ucsb"/>
    <d v="2020-04-22T16:32:21"/>
    <s v="clark@ccber.ucsb.edu_ucsb"/>
  </r>
  <r>
    <n v="5"/>
    <x v="29"/>
    <n v="8"/>
    <s v="4/22/2020"/>
    <d v="2020-04-22T07:28:51"/>
    <x v="0"/>
    <s v="Bare ground"/>
    <m/>
    <m/>
    <m/>
    <m/>
    <x v="1"/>
    <m/>
    <m/>
    <m/>
    <m/>
    <m/>
    <m/>
    <m/>
    <m/>
    <m/>
    <m/>
    <m/>
    <m/>
    <m/>
    <m/>
    <m/>
    <s v="{2d7b6070-d023-4534-a125-e443e568b7e5}"/>
    <d v="2020-04-22T14:28:51"/>
    <s v="ccber_user"/>
    <d v="2020-04-22T14:28:51"/>
    <s v="ccber_user"/>
  </r>
  <r>
    <n v="94"/>
    <x v="29"/>
    <n v="1"/>
    <s v="4/22/2020"/>
    <d v="2020-04-22T07:51:59"/>
    <x v="0"/>
    <s v="Mud"/>
    <m/>
    <m/>
    <m/>
    <m/>
    <x v="0"/>
    <m/>
    <m/>
    <m/>
    <m/>
    <m/>
    <m/>
    <m/>
    <m/>
    <m/>
    <m/>
    <m/>
    <m/>
    <m/>
    <m/>
    <m/>
    <s v="{26b86bbd-73dc-4269-8a07-a62396173123}"/>
    <d v="2020-04-22T14:51:59"/>
    <s v="clark@ccber.ucsb.edu_ucsb"/>
    <d v="2020-04-22T14:51:59"/>
    <s v="clark@ccber.ucsb.edu_ucsb"/>
  </r>
  <r>
    <n v="20"/>
    <x v="29"/>
    <n v="2"/>
    <s v="4/22/2020"/>
    <d v="2020-04-22T08:15:05"/>
    <x v="0"/>
    <s v="Bare ground"/>
    <m/>
    <m/>
    <m/>
    <m/>
    <x v="1"/>
    <m/>
    <m/>
    <m/>
    <m/>
    <m/>
    <m/>
    <m/>
    <m/>
    <m/>
    <m/>
    <m/>
    <m/>
    <m/>
    <m/>
    <m/>
    <s v="{b6866eb9-0476-4ab9-9b63-0aaa76e926b1}"/>
    <d v="2020-04-22T15:15:05"/>
    <s v="ccber_user"/>
    <d v="2020-04-22T15:15:05"/>
    <s v="ccber_user"/>
  </r>
  <r>
    <n v="23"/>
    <x v="29"/>
    <n v="2"/>
    <s v="4/22/2020"/>
    <d v="2020-04-22T08:19:42"/>
    <x v="0"/>
    <s v="Vegetation - Herbaceous"/>
    <m/>
    <s v="Other"/>
    <s v="baby with adult"/>
    <m/>
    <x v="1"/>
    <m/>
    <m/>
    <m/>
    <m/>
    <m/>
    <m/>
    <m/>
    <m/>
    <m/>
    <m/>
    <m/>
    <m/>
    <m/>
    <m/>
    <m/>
    <s v="{18f941e0-2dfc-4622-82bf-ff47e48d9a50}"/>
    <d v="2020-04-22T15:19:42"/>
    <s v="ccber_user"/>
    <d v="2020-04-22T15:19:42"/>
    <s v="ccber_user"/>
  </r>
  <r>
    <n v="26"/>
    <x v="29"/>
    <n v="2"/>
    <s v="4/22/2020"/>
    <d v="2020-04-22T08:25:39"/>
    <x v="0"/>
    <s v="Water - Wading"/>
    <m/>
    <m/>
    <m/>
    <m/>
    <x v="1"/>
    <m/>
    <m/>
    <m/>
    <m/>
    <m/>
    <m/>
    <m/>
    <m/>
    <m/>
    <m/>
    <m/>
    <m/>
    <m/>
    <m/>
    <m/>
    <s v="{6ad96e9a-6b83-4512-90bc-be874ae21b0e}"/>
    <d v="2020-04-22T15:25:39"/>
    <s v="ccber_user"/>
    <d v="2020-04-22T15:25:39"/>
    <s v="ccber_user"/>
  </r>
  <r>
    <n v="39"/>
    <x v="29"/>
    <n v="2"/>
    <s v="4/22/2020"/>
    <d v="2020-04-22T09:03:21"/>
    <x v="0"/>
    <s v="Bare ground"/>
    <m/>
    <m/>
    <m/>
    <m/>
    <x v="1"/>
    <m/>
    <m/>
    <m/>
    <m/>
    <m/>
    <m/>
    <m/>
    <m/>
    <m/>
    <m/>
    <m/>
    <m/>
    <m/>
    <m/>
    <m/>
    <s v="{8977e15d-7e6f-4003-acaf-7950cdf114d7}"/>
    <d v="2020-04-22T16:03:21"/>
    <s v="ccber_user"/>
    <d v="2020-04-22T16:03:21"/>
    <s v="ccber_user"/>
  </r>
  <r>
    <n v="155"/>
    <x v="29"/>
    <n v="2"/>
    <s v="4/22/2020"/>
    <d v="2020-04-22T09:04:07"/>
    <x v="1"/>
    <s v="Mud"/>
    <m/>
    <m/>
    <m/>
    <m/>
    <x v="0"/>
    <m/>
    <m/>
    <m/>
    <m/>
    <m/>
    <m/>
    <m/>
    <m/>
    <m/>
    <m/>
    <m/>
    <m/>
    <m/>
    <m/>
    <m/>
    <s v="{80016b0c-ad47-4302-ad8f-1ee1d9046174}"/>
    <d v="2020-04-22T16:04:07"/>
    <s v="clark@ccber.ucsb.edu_ucsb"/>
    <d v="2020-04-22T16:04:07"/>
    <s v="clark@ccber.ucsb.edu_ucsb"/>
  </r>
  <r>
    <n v="8"/>
    <x v="30"/>
    <n v="1"/>
    <s v="4/22/2020"/>
    <d v="2020-04-22T07:44:11"/>
    <x v="0"/>
    <s v="Vegetation - Tree"/>
    <m/>
    <m/>
    <m/>
    <m/>
    <x v="1"/>
    <m/>
    <m/>
    <m/>
    <m/>
    <m/>
    <m/>
    <m/>
    <m/>
    <m/>
    <m/>
    <m/>
    <m/>
    <m/>
    <m/>
    <m/>
    <s v="{084d2085-8b67-404d-a18d-2b276296e54e}"/>
    <d v="2020-04-22T14:44:11"/>
    <s v="ccber_user"/>
    <d v="2020-04-22T14:44:11"/>
    <s v="ccber_user"/>
  </r>
  <r>
    <n v="27"/>
    <x v="30"/>
    <n v="2"/>
    <s v="4/22/2020"/>
    <d v="2020-04-22T08:34:00"/>
    <x v="0"/>
    <s v="Habitat Feature - Snag"/>
    <m/>
    <s v="Copulation"/>
    <m/>
    <m/>
    <x v="1"/>
    <m/>
    <m/>
    <m/>
    <m/>
    <m/>
    <m/>
    <m/>
    <m/>
    <m/>
    <m/>
    <m/>
    <m/>
    <m/>
    <m/>
    <m/>
    <s v="{ea7f28ad-94f6-4b6e-96b4-d70cf9476d80}"/>
    <d v="2020-04-22T15:34:00"/>
    <s v="ccber_user"/>
    <d v="2020-04-22T15:34:00"/>
    <s v="ccber_user"/>
  </r>
  <r>
    <n v="1"/>
    <x v="31"/>
    <n v="30"/>
    <s v="4/22/2020"/>
    <d v="2020-04-22T07:26:39"/>
    <x v="0"/>
    <s v="Bare ground"/>
    <m/>
    <m/>
    <s v="Revised Count down from 31 to 30 after post-survey review."/>
    <m/>
    <x v="1"/>
    <m/>
    <m/>
    <m/>
    <m/>
    <m/>
    <m/>
    <m/>
    <m/>
    <m/>
    <m/>
    <m/>
    <m/>
    <m/>
    <m/>
    <m/>
    <s v="{803f9b9f-3f14-41ff-920c-494e427e4231}"/>
    <d v="2020-04-22T14:26:39"/>
    <s v="ccber_user"/>
    <d v="2020-04-22T14:26:39"/>
    <s v="ccber_user"/>
  </r>
  <r>
    <n v="78"/>
    <x v="31"/>
    <n v="3"/>
    <s v="4/22/2020"/>
    <d v="2020-04-22T07:28:40"/>
    <x v="0"/>
    <s v="Mud"/>
    <m/>
    <m/>
    <m/>
    <m/>
    <x v="0"/>
    <m/>
    <m/>
    <m/>
    <m/>
    <m/>
    <m/>
    <m/>
    <m/>
    <m/>
    <m/>
    <m/>
    <m/>
    <m/>
    <m/>
    <m/>
    <s v="{b0585880-d32b-4180-acd2-5a6762d5cb9e}"/>
    <d v="2020-04-22T14:28:40"/>
    <s v="clark@ccber.ucsb.edu_ucsb"/>
    <d v="2020-04-22T14:28:40"/>
    <s v="clark@ccber.ucsb.edu_ucsb"/>
  </r>
  <r>
    <n v="81"/>
    <x v="31"/>
    <n v="2"/>
    <s v="4/22/2020"/>
    <d v="2020-04-22T07:31:04"/>
    <x v="0"/>
    <s v="Water - Wading"/>
    <m/>
    <m/>
    <m/>
    <m/>
    <x v="0"/>
    <m/>
    <m/>
    <m/>
    <m/>
    <m/>
    <m/>
    <m/>
    <m/>
    <m/>
    <m/>
    <m/>
    <m/>
    <m/>
    <m/>
    <m/>
    <s v="{d339d160-3da0-4efa-add9-fa77356160de}"/>
    <d v="2020-04-22T14:31:04"/>
    <s v="clark@ccber.ucsb.edu_ucsb"/>
    <d v="2020-04-22T14:31:04"/>
    <s v="clark@ccber.ucsb.edu_ucsb"/>
  </r>
  <r>
    <n v="100"/>
    <x v="31"/>
    <n v="2"/>
    <s v="4/22/2020"/>
    <d v="2020-04-22T08:02:06"/>
    <x v="0"/>
    <s v="Mud"/>
    <m/>
    <m/>
    <m/>
    <m/>
    <x v="0"/>
    <m/>
    <m/>
    <m/>
    <m/>
    <m/>
    <m/>
    <m/>
    <m/>
    <m/>
    <m/>
    <m/>
    <m/>
    <m/>
    <m/>
    <m/>
    <s v="{f16a0807-3f6f-481b-abaf-7e260f3b3e8b}"/>
    <d v="2020-04-22T15:02:06"/>
    <s v="clark@ccber.ucsb.edu_ucsb"/>
    <d v="2020-04-22T15:02:06"/>
    <s v="clark@ccber.ucsb.edu_ucsb"/>
  </r>
  <r>
    <n v="22"/>
    <x v="31"/>
    <n v="1"/>
    <s v="4/22/2020"/>
    <d v="2020-04-22T08:17:33"/>
    <x v="0"/>
    <s v="Water - Wading"/>
    <m/>
    <m/>
    <m/>
    <m/>
    <x v="1"/>
    <m/>
    <m/>
    <m/>
    <m/>
    <m/>
    <m/>
    <m/>
    <m/>
    <m/>
    <m/>
    <m/>
    <m/>
    <m/>
    <m/>
    <m/>
    <s v="{272cfdff-8e98-4306-a6fb-b88a4206dc32}"/>
    <d v="2020-04-22T15:17:33"/>
    <s v="ccber_user"/>
    <d v="2020-04-22T15:17:33"/>
    <s v="ccber_user"/>
  </r>
  <r>
    <n v="25"/>
    <x v="31"/>
    <n v="1"/>
    <s v="4/22/2020"/>
    <d v="2020-04-22T08:25:25"/>
    <x v="0"/>
    <s v="Water - Wading"/>
    <m/>
    <m/>
    <m/>
    <m/>
    <x v="1"/>
    <m/>
    <m/>
    <m/>
    <m/>
    <m/>
    <m/>
    <m/>
    <m/>
    <m/>
    <m/>
    <m/>
    <m/>
    <m/>
    <m/>
    <m/>
    <s v="{6b6a645e-b412-42f9-9c08-ea953fc72901}"/>
    <d v="2020-04-22T15:25:25"/>
    <s v="ccber_user"/>
    <d v="2020-04-22T15:25:25"/>
    <s v="ccber_user"/>
  </r>
  <r>
    <n v="161"/>
    <x v="31"/>
    <n v="2"/>
    <s v="4/22/2020"/>
    <d v="2020-04-22T09:10:12"/>
    <x v="0"/>
    <s v="Mud"/>
    <m/>
    <m/>
    <m/>
    <m/>
    <x v="0"/>
    <m/>
    <m/>
    <m/>
    <m/>
    <m/>
    <m/>
    <m/>
    <m/>
    <m/>
    <m/>
    <m/>
    <m/>
    <m/>
    <m/>
    <m/>
    <s v="{21721188-7fc4-42e3-97f6-181a3de39a93}"/>
    <d v="2020-04-22T16:10:12"/>
    <s v="clark@ccber.ucsb.edu_ucsb"/>
    <d v="2020-04-22T16:10:12"/>
    <s v="clark@ccber.ucsb.edu_ucsb"/>
  </r>
  <r>
    <n v="166"/>
    <x v="31"/>
    <n v="17"/>
    <s v="4/22/2020"/>
    <d v="2020-04-22T09:18:45"/>
    <x v="0"/>
    <s v="Bare ground"/>
    <m/>
    <m/>
    <s v="on rock"/>
    <m/>
    <x v="0"/>
    <m/>
    <m/>
    <m/>
    <m/>
    <m/>
    <m/>
    <m/>
    <m/>
    <m/>
    <m/>
    <m/>
    <m/>
    <m/>
    <m/>
    <m/>
    <s v="{e16e4220-32bb-4fe1-b642-405ac2ad5b96}"/>
    <d v="2020-04-22T16:18:45"/>
    <s v="clark@ccber.ucsb.edu_ucsb"/>
    <d v="2020-04-22T16:20:36"/>
    <s v="clark@ccber.ucsb.edu_ucsb"/>
  </r>
  <r>
    <n v="171"/>
    <x v="31"/>
    <n v="2"/>
    <s v="4/22/2020"/>
    <d v="2020-04-22T09:23:20"/>
    <x v="0"/>
    <s v="Mud"/>
    <m/>
    <m/>
    <m/>
    <m/>
    <x v="0"/>
    <m/>
    <m/>
    <m/>
    <m/>
    <m/>
    <m/>
    <m/>
    <m/>
    <m/>
    <m/>
    <m/>
    <m/>
    <m/>
    <m/>
    <m/>
    <s v="{4eeb2428-c53d-4651-a02e-621b88d7841a}"/>
    <d v="2020-04-22T16:23:20"/>
    <s v="clark@ccber.ucsb.edu_ucsb"/>
    <d v="2020-04-22T16:23:20"/>
    <s v="clark@ccber.ucsb.edu_ucsb"/>
  </r>
  <r>
    <n v="64"/>
    <x v="32"/>
    <n v="1"/>
    <s v="4/22/2020"/>
    <d v="2020-04-22T09:27:53"/>
    <x v="0"/>
    <s v="Vegetation - Tree"/>
    <m/>
    <m/>
    <m/>
    <m/>
    <x v="1"/>
    <m/>
    <m/>
    <m/>
    <m/>
    <m/>
    <m/>
    <m/>
    <m/>
    <m/>
    <m/>
    <m/>
    <m/>
    <m/>
    <m/>
    <m/>
    <s v="{ab977c03-91db-4162-8b78-54c1f3ecfb5e}"/>
    <d v="2020-04-22T16:27:53"/>
    <s v="ccber_user"/>
    <d v="2020-04-22T16:27:53"/>
    <s v="ccber_user"/>
  </r>
  <r>
    <n v="96"/>
    <x v="33"/>
    <n v="1"/>
    <s v="4/22/2020"/>
    <d v="2020-04-22T07:53:18"/>
    <x v="0"/>
    <s v="Air"/>
    <m/>
    <m/>
    <m/>
    <m/>
    <x v="0"/>
    <m/>
    <m/>
    <m/>
    <m/>
    <m/>
    <m/>
    <m/>
    <m/>
    <m/>
    <m/>
    <m/>
    <m/>
    <m/>
    <m/>
    <m/>
    <s v="{612f2ec3-c0c2-44a3-b7f5-bf6754062a0b}"/>
    <d v="2020-04-22T14:53:18"/>
    <s v="clark@ccber.ucsb.edu_ucsb"/>
    <d v="2020-04-22T14:53:18"/>
    <s v="clark@ccber.ucsb.edu_ucsb"/>
  </r>
  <r>
    <n v="116"/>
    <x v="33"/>
    <n v="1"/>
    <s v="4/22/2020"/>
    <d v="2020-04-22T08:15:52"/>
    <x v="0"/>
    <s v="Water - Floating"/>
    <m/>
    <m/>
    <m/>
    <m/>
    <x v="0"/>
    <m/>
    <m/>
    <m/>
    <m/>
    <m/>
    <m/>
    <m/>
    <m/>
    <m/>
    <m/>
    <m/>
    <m/>
    <m/>
    <m/>
    <m/>
    <s v="{1d4bde60-dd35-427e-8a76-e15ffbeadd85}"/>
    <d v="2020-04-22T15:15:52"/>
    <s v="clark@ccber.ucsb.edu_ucsb"/>
    <d v="2020-04-22T15:15:52"/>
    <s v="clark@ccber.ucsb.edu_ucsb"/>
  </r>
  <r>
    <n v="141"/>
    <x v="33"/>
    <n v="2"/>
    <s v="4/22/2020"/>
    <d v="2020-04-22T08:47:09"/>
    <x v="0"/>
    <s v="Water - Wading"/>
    <m/>
    <m/>
    <m/>
    <m/>
    <x v="0"/>
    <m/>
    <m/>
    <m/>
    <m/>
    <m/>
    <m/>
    <m/>
    <m/>
    <m/>
    <m/>
    <m/>
    <m/>
    <m/>
    <m/>
    <m/>
    <s v="{9fa1cfc9-fc54-4f73-898c-8c91eaea690f}"/>
    <d v="2020-04-22T15:47:09"/>
    <s v="clark@ccber.ucsb.edu_ucsb"/>
    <d v="2020-04-22T15:49:07"/>
    <s v="clark@ccber.ucsb.edu_ucsb"/>
  </r>
  <r>
    <n v="147"/>
    <x v="33"/>
    <n v="4"/>
    <s v="4/22/2020"/>
    <d v="2020-04-22T08:56:41"/>
    <x v="0"/>
    <s v="Water - Floating"/>
    <m/>
    <m/>
    <m/>
    <m/>
    <x v="0"/>
    <m/>
    <m/>
    <m/>
    <m/>
    <m/>
    <m/>
    <m/>
    <m/>
    <m/>
    <m/>
    <m/>
    <m/>
    <m/>
    <m/>
    <m/>
    <s v="{75919482-a1fb-4273-b4ad-d7291d281f0c}"/>
    <d v="2020-04-22T15:56:41"/>
    <s v="clark@ccber.ucsb.edu_ucsb"/>
    <d v="2020-04-22T16:00:06"/>
    <s v="clark@ccber.ucsb.edu_ucsb"/>
  </r>
  <r>
    <n v="67"/>
    <x v="33"/>
    <n v="8"/>
    <s v="4/22/2020"/>
    <d v="2020-04-22T09:36:21"/>
    <x v="0"/>
    <s v="Water - Floating"/>
    <m/>
    <m/>
    <s v="Species corrected from blank to Mallard after post-survey review."/>
    <m/>
    <x v="1"/>
    <m/>
    <m/>
    <m/>
    <m/>
    <m/>
    <m/>
    <m/>
    <m/>
    <m/>
    <m/>
    <m/>
    <m/>
    <m/>
    <m/>
    <m/>
    <s v="{8069ebf5-6928-4872-a2e1-c498d2de4a40}"/>
    <d v="2020-04-22T16:36:21"/>
    <s v="ccber_user"/>
    <d v="2020-04-22T16:36:21"/>
    <s v="ccber_user"/>
  </r>
  <r>
    <n v="136"/>
    <x v="34"/>
    <n v="2"/>
    <s v="4/22/2020"/>
    <d v="2020-04-22T08:45:19"/>
    <x v="0"/>
    <s v="Mud"/>
    <m/>
    <m/>
    <m/>
    <m/>
    <x v="0"/>
    <m/>
    <m/>
    <m/>
    <m/>
    <m/>
    <m/>
    <m/>
    <m/>
    <m/>
    <m/>
    <m/>
    <m/>
    <m/>
    <m/>
    <m/>
    <s v="{6450ba50-4a0d-45e0-8648-3044b9427cd5}"/>
    <d v="2020-04-22T15:45:19"/>
    <s v="clark@ccber.ucsb.edu_ucsb"/>
    <d v="2020-04-22T15:45:19"/>
    <s v="clark@ccber.ucsb.edu_ucsb"/>
  </r>
  <r>
    <n v="142"/>
    <x v="34"/>
    <n v="1"/>
    <s v="4/22/2020"/>
    <d v="2020-04-22T08:47:20"/>
    <x v="0"/>
    <s v="Mud"/>
    <m/>
    <m/>
    <m/>
    <m/>
    <x v="0"/>
    <m/>
    <m/>
    <m/>
    <m/>
    <m/>
    <m/>
    <m/>
    <m/>
    <m/>
    <m/>
    <m/>
    <m/>
    <m/>
    <m/>
    <m/>
    <s v="{ec4eb207-6186-48e4-ac06-f963dc939dc8}"/>
    <d v="2020-04-22T15:47:20"/>
    <s v="clark@ccber.ucsb.edu_ucsb"/>
    <d v="2020-04-22T15:47:20"/>
    <s v="clark@ccber.ucsb.edu_ucsb"/>
  </r>
  <r>
    <n v="63"/>
    <x v="34"/>
    <n v="1"/>
    <s v="4/22/2020"/>
    <d v="2020-04-22T09:24:13"/>
    <x v="0"/>
    <s v="Vegetation - Shrub"/>
    <m/>
    <m/>
    <m/>
    <m/>
    <x v="1"/>
    <m/>
    <m/>
    <m/>
    <m/>
    <m/>
    <m/>
    <m/>
    <m/>
    <m/>
    <m/>
    <m/>
    <m/>
    <m/>
    <m/>
    <m/>
    <s v="{560b3055-3b4d-4336-a43a-cb6d1f9cb6ec}"/>
    <d v="2020-04-22T16:24:13"/>
    <s v="ccber_user"/>
    <d v="2020-04-22T16:24:13"/>
    <s v="ccber_user"/>
  </r>
  <r>
    <n v="76"/>
    <x v="35"/>
    <n v="2"/>
    <s v="4/22/2020"/>
    <d v="2020-04-22T07:23:52"/>
    <x v="0"/>
    <s v="Air"/>
    <m/>
    <m/>
    <m/>
    <m/>
    <x v="0"/>
    <m/>
    <m/>
    <m/>
    <m/>
    <m/>
    <m/>
    <m/>
    <m/>
    <m/>
    <m/>
    <m/>
    <m/>
    <m/>
    <m/>
    <m/>
    <s v="{f3b0b355-f298-48a5-97b8-be32368d9950}"/>
    <d v="2020-04-22T14:23:52"/>
    <s v="clark@ccber.ucsb.edu_ucsb"/>
    <d v="2020-04-22T14:23:52"/>
    <s v="clark@ccber.ucsb.edu_ucsb"/>
  </r>
  <r>
    <n v="112"/>
    <x v="36"/>
    <n v="1"/>
    <s v="4/22/2020"/>
    <d v="2020-04-22T08:11:50"/>
    <x v="0"/>
    <s v="Vegetation - Tree"/>
    <m/>
    <m/>
    <m/>
    <m/>
    <x v="0"/>
    <m/>
    <m/>
    <m/>
    <m/>
    <m/>
    <m/>
    <m/>
    <m/>
    <m/>
    <m/>
    <m/>
    <m/>
    <m/>
    <m/>
    <m/>
    <s v="{3f4c5be4-4284-482f-8370-f6a99fcb5638}"/>
    <d v="2020-04-22T15:11:50"/>
    <s v="clark@ccber.ucsb.edu_ucsb"/>
    <d v="2020-04-22T15:11:50"/>
    <s v="clark@ccber.ucsb.edu_ucsb"/>
  </r>
  <r>
    <n v="106"/>
    <x v="37"/>
    <n v="1"/>
    <s v="4/22/2020"/>
    <d v="2020-04-22T08:06:48"/>
    <x v="0"/>
    <s v="Water - Floating"/>
    <m/>
    <m/>
    <m/>
    <m/>
    <x v="0"/>
    <m/>
    <m/>
    <m/>
    <m/>
    <m/>
    <m/>
    <m/>
    <m/>
    <m/>
    <m/>
    <m/>
    <m/>
    <m/>
    <m/>
    <m/>
    <s v="{2e73cf25-6888-480a-8e69-3bfb19fb153c}"/>
    <d v="2020-04-22T15:06:48"/>
    <s v="clark@ccber.ucsb.edu_ucsb"/>
    <d v="2020-04-22T15:06:48"/>
    <s v="clark@ccber.ucsb.edu_ucsb"/>
  </r>
  <r>
    <n v="149"/>
    <x v="38"/>
    <n v="1"/>
    <s v="4/22/2020"/>
    <d v="2020-04-22T08:58:56"/>
    <x v="0"/>
    <s v="Vegetation - Tree"/>
    <m/>
    <m/>
    <m/>
    <m/>
    <x v="0"/>
    <m/>
    <m/>
    <m/>
    <m/>
    <m/>
    <m/>
    <m/>
    <m/>
    <m/>
    <m/>
    <m/>
    <m/>
    <m/>
    <m/>
    <m/>
    <s v="{4dca1d24-447e-41c9-a63a-53069cad5420}"/>
    <d v="2020-04-22T15:58:56"/>
    <s v="clark@ccber.ucsb.edu_ucsb"/>
    <d v="2020-04-22T15:58:56"/>
    <s v="clark@ccber.ucsb.edu_ucsb"/>
  </r>
  <r>
    <n v="152"/>
    <x v="38"/>
    <n v="1"/>
    <s v="4/22/2020"/>
    <d v="2020-04-22T09:02:30"/>
    <x v="0"/>
    <s v="Vegetation - Tree"/>
    <m/>
    <m/>
    <m/>
    <m/>
    <x v="0"/>
    <m/>
    <m/>
    <m/>
    <m/>
    <m/>
    <m/>
    <m/>
    <m/>
    <m/>
    <m/>
    <m/>
    <m/>
    <m/>
    <m/>
    <m/>
    <s v="{c4aab278-2e09-410e-8643-f4d08aa26c63}"/>
    <d v="2020-04-22T16:02:30"/>
    <s v="clark@ccber.ucsb.edu_ucsb"/>
    <d v="2020-04-22T16:02:30"/>
    <s v="clark@ccber.ucsb.edu_ucsb"/>
  </r>
  <r>
    <n v="61"/>
    <x v="39"/>
    <n v="1"/>
    <s v="4/22/2020"/>
    <d v="2020-04-22T09:23:08"/>
    <x v="0"/>
    <s v="Vegetation - Tree"/>
    <m/>
    <m/>
    <m/>
    <m/>
    <x v="1"/>
    <m/>
    <m/>
    <m/>
    <m/>
    <m/>
    <m/>
    <m/>
    <m/>
    <m/>
    <m/>
    <m/>
    <m/>
    <m/>
    <m/>
    <m/>
    <s v="{4305c96e-c0b0-481b-a973-a2886c27af78}"/>
    <d v="2020-04-22T16:23:08"/>
    <s v="ccber_user"/>
    <d v="2020-04-22T16:23:08"/>
    <s v="ccber_user"/>
  </r>
  <r>
    <n v="71"/>
    <x v="40"/>
    <n v="1"/>
    <s v="4/22/2020"/>
    <d v="2020-04-22T09:39:27"/>
    <x v="0"/>
    <s v="Vegetation - Herbaceous"/>
    <m/>
    <m/>
    <m/>
    <m/>
    <x v="1"/>
    <m/>
    <m/>
    <m/>
    <m/>
    <m/>
    <m/>
    <m/>
    <m/>
    <m/>
    <m/>
    <m/>
    <m/>
    <m/>
    <m/>
    <m/>
    <s v="{1728fd8b-8d27-4ad5-903e-e54469911f5d}"/>
    <d v="2020-04-22T16:39:27"/>
    <s v="ccber_user"/>
    <d v="2020-04-22T16:39:27"/>
    <s v="ccber_user"/>
  </r>
  <r>
    <n v="90"/>
    <x v="41"/>
    <n v="2"/>
    <s v="4/22/2020"/>
    <d v="2020-04-22T07:43:58"/>
    <x v="0"/>
    <s v="Air"/>
    <m/>
    <m/>
    <m/>
    <m/>
    <x v="0"/>
    <m/>
    <m/>
    <m/>
    <m/>
    <m/>
    <m/>
    <m/>
    <m/>
    <m/>
    <m/>
    <m/>
    <m/>
    <m/>
    <m/>
    <m/>
    <s v="{4a7b1e29-9e6c-4b9e-9402-5a637522bbf0}"/>
    <d v="2020-04-22T14:43:58"/>
    <s v="clark@ccber.ucsb.edu_ucsb"/>
    <d v="2020-04-22T14:43:58"/>
    <s v="clark@ccber.ucsb.edu_ucsb"/>
  </r>
  <r>
    <n v="101"/>
    <x v="41"/>
    <n v="3"/>
    <s v="4/22/2020"/>
    <d v="2020-04-22T08:02:27"/>
    <x v="0"/>
    <s v="Bridge"/>
    <m/>
    <m/>
    <m/>
    <m/>
    <x v="0"/>
    <m/>
    <m/>
    <m/>
    <m/>
    <m/>
    <m/>
    <m/>
    <m/>
    <m/>
    <m/>
    <m/>
    <m/>
    <m/>
    <m/>
    <m/>
    <s v="{ee4fe4dc-7bdb-469e-8a10-cc24cb2f8c95}"/>
    <d v="2020-04-22T15:02:27"/>
    <s v="clark@ccber.ucsb.edu_ucsb"/>
    <d v="2020-04-22T15:02:27"/>
    <s v="clark@ccber.ucsb.edu_ucsb"/>
  </r>
  <r>
    <n v="42"/>
    <x v="41"/>
    <n v="10"/>
    <s v="4/22/2020"/>
    <d v="2020-04-22T09:06:27"/>
    <x v="0"/>
    <s v="Flyover"/>
    <m/>
    <m/>
    <m/>
    <m/>
    <x v="1"/>
    <m/>
    <m/>
    <m/>
    <m/>
    <m/>
    <m/>
    <m/>
    <m/>
    <m/>
    <m/>
    <m/>
    <m/>
    <m/>
    <m/>
    <m/>
    <s v="{575e41b9-347c-4f1a-be8c-fba0327422a7}"/>
    <d v="2020-04-22T16:06:27"/>
    <s v="ccber_user"/>
    <d v="2020-04-22T16:06:27"/>
    <s v="ccber_user"/>
  </r>
  <r>
    <n v="74"/>
    <x v="42"/>
    <n v="5"/>
    <s v="4/22/2020"/>
    <d v="2020-04-22T07:23:16"/>
    <x v="0"/>
    <s v="Water - Floating"/>
    <m/>
    <m/>
    <m/>
    <m/>
    <x v="0"/>
    <s v="715"/>
    <m/>
    <n v="63"/>
    <n v="0"/>
    <m/>
    <m/>
    <m/>
    <m/>
    <m/>
    <m/>
    <m/>
    <m/>
    <m/>
    <m/>
    <m/>
    <s v="{ed0412cb-8d7b-437e-9a66-78f34ebce6ca}"/>
    <d v="2020-04-22T14:23:16"/>
    <s v="clark@ccber.ucsb.edu_ucsb"/>
    <d v="2020-04-22T14:27:13"/>
    <s v="clark@ccber.ucsb.edu_ucsb"/>
  </r>
  <r>
    <n v="97"/>
    <x v="42"/>
    <n v="2"/>
    <s v="4/22/2020"/>
    <d v="2020-04-22T07:54:00"/>
    <x v="0"/>
    <s v="Water - Floating"/>
    <m/>
    <m/>
    <m/>
    <m/>
    <x v="0"/>
    <m/>
    <m/>
    <m/>
    <m/>
    <m/>
    <m/>
    <m/>
    <m/>
    <m/>
    <m/>
    <m/>
    <m/>
    <m/>
    <m/>
    <m/>
    <s v="{abb963e3-5eab-481b-aeba-3c77a454488f}"/>
    <d v="2020-04-22T14:54:00"/>
    <s v="clark@ccber.ucsb.edu_ucsb"/>
    <d v="2020-04-22T14:54:00"/>
    <s v="clark@ccber.ucsb.edu_ucsb"/>
  </r>
  <r>
    <n v="107"/>
    <x v="42"/>
    <n v="1"/>
    <s v="4/22/2020"/>
    <d v="2020-04-22T08:07:31"/>
    <x v="0"/>
    <s v="Water - Floating"/>
    <m/>
    <m/>
    <m/>
    <m/>
    <x v="0"/>
    <m/>
    <m/>
    <m/>
    <m/>
    <m/>
    <m/>
    <m/>
    <m/>
    <m/>
    <m/>
    <m/>
    <m/>
    <m/>
    <m/>
    <m/>
    <s v="{b8757122-4105-40bc-9772-12a5dd234134}"/>
    <d v="2020-04-22T15:07:31"/>
    <s v="clark@ccber.ucsb.edu_ucsb"/>
    <d v="2020-04-22T15:07:31"/>
    <s v="clark@ccber.ucsb.edu_ucsb"/>
  </r>
  <r>
    <n v="68"/>
    <x v="42"/>
    <n v="1"/>
    <s v="4/22/2020"/>
    <d v="2020-04-22T09:37:47"/>
    <x v="0"/>
    <s v="Water - Floating"/>
    <m/>
    <m/>
    <m/>
    <m/>
    <x v="1"/>
    <m/>
    <m/>
    <m/>
    <m/>
    <m/>
    <m/>
    <m/>
    <m/>
    <m/>
    <m/>
    <m/>
    <m/>
    <m/>
    <m/>
    <m/>
    <s v="{86ca7f43-ce7b-4fad-8fcb-e480960679c8}"/>
    <d v="2020-04-22T16:37:47"/>
    <s v="ccber_user"/>
    <d v="2020-04-22T16:37:47"/>
    <s v="ccber_user"/>
  </r>
  <r>
    <n v="103"/>
    <x v="43"/>
    <n v="1"/>
    <s v="4/22/2020"/>
    <d v="2020-04-22T08:04:51"/>
    <x v="0"/>
    <s v="Vegetation - Shrub"/>
    <m/>
    <m/>
    <m/>
    <m/>
    <x v="0"/>
    <m/>
    <m/>
    <m/>
    <m/>
    <m/>
    <m/>
    <m/>
    <m/>
    <m/>
    <m/>
    <m/>
    <m/>
    <m/>
    <m/>
    <m/>
    <s v="{33bfc7ff-7dfa-4572-aa4f-e8dceaad2fda}"/>
    <d v="2020-04-22T15:04:51"/>
    <s v="clark@ccber.ucsb.edu_ucsb"/>
    <d v="2020-04-22T15:04:51"/>
    <s v="clark@ccber.ucsb.edu_ucsb"/>
  </r>
  <r>
    <n v="34"/>
    <x v="43"/>
    <n v="5"/>
    <s v="4/22/2020"/>
    <d v="2020-04-22T08:48:45"/>
    <x v="0"/>
    <s v="Vegetation - Tree"/>
    <m/>
    <m/>
    <m/>
    <m/>
    <x v="1"/>
    <m/>
    <m/>
    <m/>
    <m/>
    <m/>
    <m/>
    <m/>
    <m/>
    <m/>
    <m/>
    <m/>
    <m/>
    <m/>
    <m/>
    <m/>
    <s v="{836dc99b-8c35-49c1-b772-a99a75b53cd0}"/>
    <d v="2020-04-22T15:48:45"/>
    <s v="ccber_user"/>
    <d v="2020-04-22T15:48:45"/>
    <s v="ccber_user"/>
  </r>
  <r>
    <n v="124"/>
    <x v="44"/>
    <n v="2"/>
    <s v="4/22/2020"/>
    <d v="2020-04-22T08:26:55"/>
    <x v="0"/>
    <s v="Vegetation - Shrub"/>
    <m/>
    <m/>
    <m/>
    <m/>
    <x v="0"/>
    <m/>
    <m/>
    <m/>
    <m/>
    <m/>
    <m/>
    <m/>
    <m/>
    <m/>
    <m/>
    <m/>
    <m/>
    <m/>
    <m/>
    <m/>
    <s v="{9f08ccf0-297a-46dc-8357-c18ade604404}"/>
    <d v="2020-04-22T15:26:55"/>
    <s v="clark@ccber.ucsb.edu_ucsb"/>
    <d v="2020-04-22T15:26:55"/>
    <s v="clark@ccber.ucsb.edu_ucsb"/>
  </r>
  <r>
    <n v="129"/>
    <x v="44"/>
    <n v="1"/>
    <s v="4/22/2020"/>
    <d v="2020-04-22T08:35:39"/>
    <x v="0"/>
    <s v="Fence"/>
    <m/>
    <m/>
    <m/>
    <m/>
    <x v="0"/>
    <m/>
    <m/>
    <m/>
    <m/>
    <m/>
    <m/>
    <m/>
    <m/>
    <m/>
    <m/>
    <m/>
    <m/>
    <m/>
    <m/>
    <m/>
    <s v="{e4708427-4591-43f0-a8d9-af84ba6fe2ba}"/>
    <d v="2020-04-22T15:35:39"/>
    <s v="clark@ccber.ucsb.edu_ucsb"/>
    <d v="2020-04-22T15:35:39"/>
    <s v="clark@ccber.ucsb.edu_ucsb"/>
  </r>
  <r>
    <n v="139"/>
    <x v="44"/>
    <n v="1"/>
    <s v="4/22/2020"/>
    <d v="2020-04-22T08:46:40"/>
    <x v="0"/>
    <s v="Fence"/>
    <m/>
    <m/>
    <m/>
    <m/>
    <x v="0"/>
    <m/>
    <m/>
    <m/>
    <m/>
    <m/>
    <m/>
    <m/>
    <m/>
    <m/>
    <m/>
    <m/>
    <m/>
    <m/>
    <m/>
    <m/>
    <s v="{37c8c66a-9a5f-454c-98e2-cda7b63bad2f}"/>
    <d v="2020-04-22T15:46:40"/>
    <s v="clark@ccber.ucsb.edu_ucsb"/>
    <d v="2020-04-22T15:46:40"/>
    <s v="clark@ccber.ucsb.edu_ucsb"/>
  </r>
  <r>
    <n v="65"/>
    <x v="44"/>
    <n v="1"/>
    <s v="4/22/2020"/>
    <d v="2020-04-22T09:30:43"/>
    <x v="0"/>
    <s v="Vegetation - Herbaceous"/>
    <m/>
    <m/>
    <m/>
    <m/>
    <x v="1"/>
    <m/>
    <m/>
    <m/>
    <m/>
    <m/>
    <m/>
    <m/>
    <m/>
    <m/>
    <m/>
    <m/>
    <m/>
    <m/>
    <m/>
    <m/>
    <s v="{f9e21096-f161-4ac5-9eab-282c4e3de9b1}"/>
    <d v="2020-04-22T16:30:43"/>
    <s v="ccber_user"/>
    <d v="2020-04-22T16:30:43"/>
    <s v="ccber_user"/>
  </r>
  <r>
    <n v="173"/>
    <x v="45"/>
    <n v="2"/>
    <s v="4/22/2020"/>
    <d v="2020-04-22T09:26:43"/>
    <x v="0"/>
    <s v="Vegetation - Shrub"/>
    <m/>
    <m/>
    <s v="Changed Count from 1 to 2 following post-survey review."/>
    <m/>
    <x v="0"/>
    <m/>
    <m/>
    <m/>
    <m/>
    <m/>
    <m/>
    <m/>
    <m/>
    <m/>
    <m/>
    <m/>
    <m/>
    <m/>
    <m/>
    <m/>
    <s v="{8a36bd96-6ca3-429a-b36c-cc06e1801c41}"/>
    <d v="2020-04-22T16:26:43"/>
    <s v="clark@ccber.ucsb.edu_ucsb"/>
    <d v="2020-04-22T16:26:43"/>
    <s v="clark@ccber.ucsb.edu_ucsb"/>
  </r>
  <r>
    <n v="83"/>
    <x v="46"/>
    <n v="1"/>
    <s v="4/22/2020"/>
    <d v="2020-04-22T07:39:03"/>
    <x v="0"/>
    <s v="Air"/>
    <m/>
    <m/>
    <m/>
    <m/>
    <x v="0"/>
    <m/>
    <m/>
    <m/>
    <m/>
    <m/>
    <m/>
    <m/>
    <m/>
    <m/>
    <m/>
    <m/>
    <m/>
    <m/>
    <m/>
    <m/>
    <s v="{cf8c1c98-5d2b-4ea3-bd30-f15080aa6dde}"/>
    <d v="2020-04-22T14:39:03"/>
    <s v="clark@ccber.ucsb.edu_ucsb"/>
    <d v="2020-04-22T14:39:03"/>
    <s v="clark@ccber.ucsb.edu_ucsb"/>
  </r>
  <r>
    <n v="77"/>
    <x v="47"/>
    <n v="2"/>
    <s v="4/22/2020"/>
    <d v="2020-04-22T07:27:38"/>
    <x v="0"/>
    <s v="Mud"/>
    <m/>
    <m/>
    <m/>
    <m/>
    <x v="0"/>
    <m/>
    <m/>
    <m/>
    <m/>
    <m/>
    <m/>
    <m/>
    <m/>
    <m/>
    <m/>
    <m/>
    <m/>
    <m/>
    <m/>
    <m/>
    <s v="{838715b8-7ac1-4686-b0e8-d63bb19936ed}"/>
    <d v="2020-04-22T14:27:38"/>
    <s v="clark@ccber.ucsb.edu_ucsb"/>
    <d v="2020-04-22T14:27:38"/>
    <s v="clark@ccber.ucsb.edu_ucsb"/>
  </r>
  <r>
    <n v="4"/>
    <x v="47"/>
    <n v="2"/>
    <s v="4/22/2020"/>
    <d v="2020-04-22T07:28:22"/>
    <x v="0"/>
    <s v="Bare ground"/>
    <m/>
    <m/>
    <m/>
    <m/>
    <x v="1"/>
    <m/>
    <m/>
    <m/>
    <m/>
    <m/>
    <m/>
    <m/>
    <m/>
    <m/>
    <m/>
    <m/>
    <m/>
    <m/>
    <m/>
    <m/>
    <s v="{8e2ac7e4-db16-4d7b-8ab6-0fc6b48aa572}"/>
    <d v="2020-04-22T14:28:22"/>
    <s v="ccber_user"/>
    <d v="2020-04-22T14:28:22"/>
    <s v="ccber_user"/>
  </r>
  <r>
    <n v="88"/>
    <x v="47"/>
    <n v="5"/>
    <s v="4/22/2020"/>
    <d v="2020-04-22T07:43:06"/>
    <x v="0"/>
    <s v="Mud"/>
    <m/>
    <m/>
    <m/>
    <m/>
    <x v="0"/>
    <m/>
    <m/>
    <m/>
    <m/>
    <m/>
    <m/>
    <m/>
    <m/>
    <m/>
    <m/>
    <m/>
    <m/>
    <m/>
    <m/>
    <m/>
    <s v="{663608d6-5a57-4286-880a-d98d7e297724}"/>
    <d v="2020-04-22T14:43:06"/>
    <s v="clark@ccber.ucsb.edu_ucsb"/>
    <d v="2020-04-22T14:43:06"/>
    <s v="clark@ccber.ucsb.edu_ucsb"/>
  </r>
  <r>
    <n v="160"/>
    <x v="47"/>
    <n v="1"/>
    <s v="4/22/2020"/>
    <d v="2020-04-22T09:09:56"/>
    <x v="0"/>
    <s v="Water - Wading"/>
    <m/>
    <m/>
    <m/>
    <m/>
    <x v="0"/>
    <m/>
    <m/>
    <m/>
    <m/>
    <m/>
    <m/>
    <m/>
    <m/>
    <m/>
    <m/>
    <m/>
    <m/>
    <m/>
    <m/>
    <m/>
    <s v="{c27206ab-ebc5-43b0-9ef5-287d4c89986a}"/>
    <d v="2020-04-22T16:09:56"/>
    <s v="clark@ccber.ucsb.edu_ucsb"/>
    <d v="2020-04-22T16:09:56"/>
    <s v="clark@ccber.ucsb.edu_ucsb"/>
  </r>
  <r>
    <n v="170"/>
    <x v="47"/>
    <n v="1"/>
    <s v="4/22/2020"/>
    <d v="2020-04-22T09:23:03"/>
    <x v="0"/>
    <s v="Mud"/>
    <m/>
    <m/>
    <m/>
    <m/>
    <x v="0"/>
    <m/>
    <m/>
    <m/>
    <m/>
    <m/>
    <m/>
    <m/>
    <m/>
    <m/>
    <m/>
    <m/>
    <m/>
    <m/>
    <m/>
    <m/>
    <s v="{e83a8d10-b104-4d09-8350-b301dd8632ce}"/>
    <d v="2020-04-22T16:23:03"/>
    <s v="clark@ccber.ucsb.edu_ucsb"/>
    <d v="2020-04-22T16:23:03"/>
    <s v="clark@ccber.ucsb.edu_ucsb"/>
  </r>
  <r>
    <n v="99"/>
    <x v="48"/>
    <n v="1"/>
    <s v="4/22/2020"/>
    <d v="2020-04-22T07:55:50"/>
    <x v="0"/>
    <s v="Air"/>
    <m/>
    <m/>
    <m/>
    <m/>
    <x v="0"/>
    <m/>
    <m/>
    <m/>
    <m/>
    <m/>
    <m/>
    <m/>
    <m/>
    <m/>
    <m/>
    <m/>
    <m/>
    <m/>
    <m/>
    <m/>
    <s v="{06550ecf-5139-45aa-af25-1d9e8204a9e2}"/>
    <d v="2020-04-22T14:55:50"/>
    <s v="clark@ccber.ucsb.edu_ucsb"/>
    <d v="2020-04-22T14:55:50"/>
    <s v="clark@ccber.ucsb.edu_ucsb"/>
  </r>
  <r>
    <n v="140"/>
    <x v="48"/>
    <n v="1"/>
    <s v="4/22/2020"/>
    <d v="2020-04-22T08:46:55"/>
    <x v="0"/>
    <s v="Water - Wading"/>
    <m/>
    <m/>
    <m/>
    <m/>
    <x v="0"/>
    <m/>
    <m/>
    <m/>
    <m/>
    <m/>
    <m/>
    <m/>
    <m/>
    <m/>
    <m/>
    <m/>
    <m/>
    <m/>
    <m/>
    <m/>
    <s v="{3649a74b-97ea-46d3-ac7c-8bef7994bbc8}"/>
    <d v="2020-04-22T15:46:55"/>
    <s v="clark@ccber.ucsb.edu_ucsb"/>
    <d v="2020-04-22T15:46:55"/>
    <s v="clark@ccber.ucsb.edu_ucsb"/>
  </r>
  <r>
    <n v="172"/>
    <x v="48"/>
    <n v="1"/>
    <s v="4/22/2020"/>
    <d v="2020-04-22T09:23:36"/>
    <x v="0"/>
    <s v="Mud"/>
    <m/>
    <m/>
    <m/>
    <m/>
    <x v="0"/>
    <m/>
    <m/>
    <m/>
    <m/>
    <m/>
    <m/>
    <m/>
    <m/>
    <m/>
    <m/>
    <m/>
    <m/>
    <m/>
    <m/>
    <m/>
    <s v="{f9b78b7b-44b8-44da-bbe2-2c994868cc5f}"/>
    <d v="2020-04-22T16:23:36"/>
    <s v="clark@ccber.ucsb.edu_ucsb"/>
    <d v="2020-04-22T16:23:36"/>
    <s v="clark@ccber.ucsb.edu_ucsb"/>
  </r>
  <r>
    <n v="6"/>
    <x v="49"/>
    <n v="1"/>
    <s v="4/22/2020"/>
    <d v="2020-04-22T07:32:36"/>
    <x v="0"/>
    <s v="Fence"/>
    <m/>
    <m/>
    <m/>
    <m/>
    <x v="1"/>
    <m/>
    <m/>
    <m/>
    <m/>
    <m/>
    <m/>
    <m/>
    <m/>
    <m/>
    <m/>
    <m/>
    <m/>
    <m/>
    <m/>
    <m/>
    <s v="{a35fec4b-4d87-491c-9b62-5fcc5fbf8ad4}"/>
    <d v="2020-04-22T14:32:36"/>
    <s v="ccber_user"/>
    <d v="2020-04-22T14:32:36"/>
    <s v="ccber_user"/>
  </r>
  <r>
    <n v="92"/>
    <x v="49"/>
    <n v="2"/>
    <s v="4/22/2020"/>
    <d v="2020-04-22T07:48:45"/>
    <x v="0"/>
    <s v="Vegetation - Shrub"/>
    <m/>
    <m/>
    <m/>
    <m/>
    <x v="0"/>
    <m/>
    <m/>
    <m/>
    <m/>
    <m/>
    <m/>
    <m/>
    <m/>
    <m/>
    <m/>
    <m/>
    <m/>
    <m/>
    <m/>
    <m/>
    <s v="{c55d7ff5-ab89-410f-8aa7-bb011ada6860}"/>
    <d v="2020-04-22T14:48:45"/>
    <s v="clark@ccber.ucsb.edu_ucsb"/>
    <d v="2020-04-22T14:48:45"/>
    <s v="clark@ccber.ucsb.edu_ucsb"/>
  </r>
  <r>
    <n v="102"/>
    <x v="49"/>
    <n v="2"/>
    <s v="4/22/2020"/>
    <d v="2020-04-22T08:03:35"/>
    <x v="0"/>
    <s v="Vegetation - Herbaceous"/>
    <m/>
    <m/>
    <m/>
    <m/>
    <x v="0"/>
    <m/>
    <m/>
    <m/>
    <m/>
    <m/>
    <m/>
    <m/>
    <m/>
    <m/>
    <m/>
    <m/>
    <m/>
    <m/>
    <m/>
    <m/>
    <s v="{ca7cc1bd-6ac6-48d4-b8f0-9cdafb483d24}"/>
    <d v="2020-04-22T15:03:35"/>
    <s v="clark@ccber.ucsb.edu_ucsb"/>
    <d v="2020-04-22T15:03:35"/>
    <s v="clark@ccber.ucsb.edu_ucsb"/>
  </r>
  <r>
    <n v="128"/>
    <x v="49"/>
    <n v="1"/>
    <s v="4/22/2020"/>
    <d v="2020-04-22T08:32:31"/>
    <x v="0"/>
    <s v="Vegetation - Herbaceous"/>
    <m/>
    <m/>
    <m/>
    <m/>
    <x v="0"/>
    <m/>
    <m/>
    <m/>
    <m/>
    <m/>
    <m/>
    <m/>
    <m/>
    <m/>
    <m/>
    <m/>
    <m/>
    <m/>
    <m/>
    <m/>
    <s v="{41719939-2ead-4edc-822b-c908d6bb1cea}"/>
    <d v="2020-04-22T15:32:31"/>
    <s v="clark@ccber.ucsb.edu_ucsb"/>
    <d v="2020-04-22T15:32:31"/>
    <s v="clark@ccber.ucsb.edu_ucsb"/>
  </r>
  <r>
    <n v="131"/>
    <x v="49"/>
    <n v="1"/>
    <s v="4/22/2020"/>
    <d v="2020-04-22T08:36:14"/>
    <x v="0"/>
    <s v="Fence"/>
    <m/>
    <m/>
    <m/>
    <m/>
    <x v="0"/>
    <m/>
    <m/>
    <m/>
    <m/>
    <m/>
    <m/>
    <m/>
    <m/>
    <m/>
    <m/>
    <m/>
    <m/>
    <m/>
    <m/>
    <m/>
    <s v="{5f0e919f-d13b-4099-9379-08e8afdb2cd4}"/>
    <d v="2020-04-22T15:36:14"/>
    <s v="clark@ccber.ucsb.edu_ucsb"/>
    <d v="2020-04-22T15:36:14"/>
    <s v="clark@ccber.ucsb.edu_ucsb"/>
  </r>
  <r>
    <n v="133"/>
    <x v="49"/>
    <n v="1"/>
    <s v="4/22/2020"/>
    <d v="2020-04-22T08:39:46"/>
    <x v="0"/>
    <s v="Vegetation - Herbaceous"/>
    <m/>
    <s v="Carrying Nest Material"/>
    <m/>
    <m/>
    <x v="0"/>
    <m/>
    <m/>
    <m/>
    <m/>
    <m/>
    <m/>
    <m/>
    <m/>
    <m/>
    <m/>
    <m/>
    <m/>
    <m/>
    <m/>
    <m/>
    <s v="{8ca87981-1426-4a73-a348-a28ab0f99923}"/>
    <d v="2020-04-22T15:39:46"/>
    <s v="clark@ccber.ucsb.edu_ucsb"/>
    <d v="2020-04-22T15:39:46"/>
    <s v="clark@ccber.ucsb.edu_ucsb"/>
  </r>
  <r>
    <n v="32"/>
    <x v="49"/>
    <n v="1"/>
    <s v="4/22/2020"/>
    <d v="2020-04-22T08:44:33"/>
    <x v="0"/>
    <s v="Vegetation - Tree"/>
    <m/>
    <m/>
    <m/>
    <m/>
    <x v="1"/>
    <m/>
    <m/>
    <m/>
    <m/>
    <m/>
    <m/>
    <m/>
    <m/>
    <m/>
    <m/>
    <m/>
    <m/>
    <m/>
    <m/>
    <m/>
    <s v="{03ee5aee-300e-4b43-b777-ae6e6c123bec}"/>
    <d v="2020-04-22T15:44:33"/>
    <s v="ccber_user"/>
    <d v="2020-04-22T15:44:33"/>
    <s v="ccber_user"/>
  </r>
  <r>
    <n v="153"/>
    <x v="49"/>
    <n v="2"/>
    <s v="4/22/2020"/>
    <d v="2020-04-22T09:02:47"/>
    <x v="0"/>
    <s v="Vegetation - Shrub"/>
    <m/>
    <m/>
    <m/>
    <m/>
    <x v="0"/>
    <m/>
    <m/>
    <m/>
    <m/>
    <m/>
    <m/>
    <m/>
    <m/>
    <m/>
    <m/>
    <m/>
    <m/>
    <m/>
    <m/>
    <m/>
    <s v="{3474ea09-7911-454f-b0da-d0d13c46da86}"/>
    <d v="2020-04-22T16:02:47"/>
    <s v="clark@ccber.ucsb.edu_ucsb"/>
    <d v="2020-04-22T16:02:47"/>
    <s v="clark@ccber.ucsb.edu_ucsb"/>
  </r>
  <r>
    <n v="159"/>
    <x v="49"/>
    <n v="1"/>
    <s v="4/22/2020"/>
    <d v="2020-04-22T09:06:21"/>
    <x v="0"/>
    <s v="Vegetation - Shrub"/>
    <m/>
    <m/>
    <m/>
    <m/>
    <x v="0"/>
    <m/>
    <m/>
    <m/>
    <m/>
    <m/>
    <m/>
    <m/>
    <m/>
    <m/>
    <m/>
    <m/>
    <m/>
    <m/>
    <m/>
    <m/>
    <s v="{3cbe977c-f4fd-4b89-96e8-aa02d9153bd0}"/>
    <d v="2020-04-22T16:06:21"/>
    <s v="clark@ccber.ucsb.edu_ucsb"/>
    <d v="2020-04-22T16:06:21"/>
    <s v="clark@ccber.ucsb.edu_ucsb"/>
  </r>
  <r>
    <n v="43"/>
    <x v="49"/>
    <n v="2"/>
    <s v="4/22/2020"/>
    <d v="2020-04-22T09:06:48"/>
    <x v="0"/>
    <m/>
    <m/>
    <m/>
    <m/>
    <m/>
    <x v="1"/>
    <m/>
    <m/>
    <m/>
    <m/>
    <m/>
    <m/>
    <m/>
    <m/>
    <m/>
    <m/>
    <m/>
    <m/>
    <m/>
    <m/>
    <m/>
    <s v="{7f1232e5-4f13-4bd8-9df5-8297273a000a}"/>
    <d v="2020-04-22T16:06:48"/>
    <s v="ccber_user"/>
    <d v="2020-04-22T16:06:48"/>
    <s v="ccber_user"/>
  </r>
  <r>
    <n v="163"/>
    <x v="49"/>
    <n v="1"/>
    <s v="4/22/2020"/>
    <d v="2020-04-22T09:14:41"/>
    <x v="0"/>
    <s v="Vegetation - Shrub"/>
    <m/>
    <m/>
    <m/>
    <m/>
    <x v="0"/>
    <m/>
    <m/>
    <m/>
    <m/>
    <m/>
    <m/>
    <m/>
    <m/>
    <m/>
    <m/>
    <m/>
    <m/>
    <m/>
    <m/>
    <m/>
    <s v="{d174a5d1-1a41-4f83-bf79-688fddc25c83}"/>
    <d v="2020-04-22T16:14:41"/>
    <s v="clark@ccber.ucsb.edu_ucsb"/>
    <d v="2020-04-22T16:14:41"/>
    <s v="clark@ccber.ucsb.edu_ucsb"/>
  </r>
  <r>
    <n v="57"/>
    <x v="49"/>
    <n v="1"/>
    <s v="4/22/2020"/>
    <d v="2020-04-22T09:21:45"/>
    <x v="0"/>
    <s v="Vegetation - Herbaceous"/>
    <m/>
    <m/>
    <m/>
    <m/>
    <x v="1"/>
    <m/>
    <m/>
    <m/>
    <m/>
    <m/>
    <m/>
    <m/>
    <m/>
    <m/>
    <m/>
    <m/>
    <m/>
    <m/>
    <m/>
    <m/>
    <s v="{0fbe4fa8-fd52-45fb-bcec-c814772c3922}"/>
    <d v="2020-04-22T16:21:45"/>
    <s v="ccber_user"/>
    <d v="2020-04-22T16:21:45"/>
    <s v="ccber_user"/>
  </r>
  <r>
    <n v="178"/>
    <x v="49"/>
    <n v="1"/>
    <s v="4/22/2020"/>
    <d v="2020-04-22T09:36:08"/>
    <x v="0"/>
    <s v="Vegetation - Shrub"/>
    <m/>
    <m/>
    <m/>
    <m/>
    <x v="0"/>
    <m/>
    <m/>
    <m/>
    <m/>
    <m/>
    <m/>
    <m/>
    <m/>
    <m/>
    <m/>
    <m/>
    <m/>
    <m/>
    <m/>
    <m/>
    <s v="{ab0897f5-038a-4535-b3a1-437a3dfc47be}"/>
    <d v="2020-04-22T16:36:08"/>
    <s v="clark@ccber.ucsb.edu_ucsb"/>
    <d v="2020-04-22T16:36:08"/>
    <s v="clark@ccber.ucsb.edu_ucsb"/>
  </r>
  <r>
    <n v="145"/>
    <x v="50"/>
    <n v="1"/>
    <s v="4/22/2020"/>
    <d v="2020-04-22T08:52:37"/>
    <x v="0"/>
    <s v="Mud"/>
    <m/>
    <m/>
    <m/>
    <m/>
    <x v="0"/>
    <m/>
    <m/>
    <m/>
    <m/>
    <m/>
    <m/>
    <m/>
    <m/>
    <m/>
    <m/>
    <m/>
    <m/>
    <m/>
    <m/>
    <m/>
    <s v="{8878739e-b7c5-49b2-b456-9669eb9032a1}"/>
    <d v="2020-04-22T15:52:37"/>
    <s v="clark@ccber.ucsb.edu_ucsb"/>
    <d v="2020-04-22T15:52:37"/>
    <s v="clark@ccber.ucsb.edu_ucsb"/>
  </r>
  <r>
    <n v="158"/>
    <x v="51"/>
    <n v="1"/>
    <s v="4/22/2020"/>
    <d v="2020-04-22T09:06:09"/>
    <x v="0"/>
    <s v="Air"/>
    <m/>
    <m/>
    <m/>
    <m/>
    <x v="0"/>
    <m/>
    <m/>
    <m/>
    <m/>
    <m/>
    <m/>
    <m/>
    <m/>
    <m/>
    <m/>
    <m/>
    <m/>
    <m/>
    <m/>
    <m/>
    <s v="{db742b1e-55fc-4d7c-be21-1faadd866d20}"/>
    <d v="2020-04-22T16:06:09"/>
    <s v="clark@ccber.ucsb.edu_ucsb"/>
    <d v="2020-04-22T16:06:09"/>
    <s v="clark@ccber.ucsb.edu_ucsb"/>
  </r>
  <r>
    <n v="44"/>
    <x v="51"/>
    <n v="1"/>
    <s v="4/22/2020"/>
    <d v="2020-04-22T09:07:04"/>
    <x v="0"/>
    <m/>
    <m/>
    <m/>
    <m/>
    <m/>
    <x v="1"/>
    <m/>
    <m/>
    <m/>
    <m/>
    <m/>
    <m/>
    <m/>
    <m/>
    <m/>
    <m/>
    <m/>
    <m/>
    <m/>
    <m/>
    <m/>
    <s v="{0b4ef2db-0abd-44eb-acca-437d4a9d82e3}"/>
    <d v="2020-04-22T16:07:04"/>
    <s v="ccber_user"/>
    <d v="2020-04-22T16:07:04"/>
    <s v="ccber_user"/>
  </r>
  <r>
    <n v="91"/>
    <x v="52"/>
    <n v="3"/>
    <s v="4/22/2020"/>
    <d v="2020-04-22T07:45:52"/>
    <x v="0"/>
    <s v="Mud"/>
    <m/>
    <m/>
    <m/>
    <m/>
    <x v="0"/>
    <m/>
    <m/>
    <m/>
    <m/>
    <m/>
    <m/>
    <m/>
    <m/>
    <m/>
    <m/>
    <m/>
    <m/>
    <m/>
    <m/>
    <m/>
    <s v="{f590cd00-4cf6-42a3-abb7-88bf4661251e}"/>
    <d v="2020-04-22T14:45:52"/>
    <s v="clark@ccber.ucsb.edu_ucsb"/>
    <d v="2020-04-22T14:45:52"/>
    <s v="clark@ccber.ucsb.edu_ucsb"/>
  </r>
  <r>
    <n v="95"/>
    <x v="52"/>
    <n v="2"/>
    <s v="4/22/2020"/>
    <d v="2020-04-22T07:52:21"/>
    <x v="0"/>
    <s v="Mud"/>
    <m/>
    <m/>
    <m/>
    <m/>
    <x v="0"/>
    <m/>
    <m/>
    <m/>
    <m/>
    <m/>
    <m/>
    <m/>
    <m/>
    <m/>
    <m/>
    <m/>
    <m/>
    <m/>
    <m/>
    <m/>
    <s v="{83ac552b-6253-4c87-922b-ab4e9c96d6bd}"/>
    <d v="2020-04-22T14:52:21"/>
    <s v="clark@ccber.ucsb.edu_ucsb"/>
    <d v="2020-04-22T14:52:21"/>
    <s v="clark@ccber.ucsb.edu_ucsb"/>
  </r>
  <r>
    <n v="146"/>
    <x v="52"/>
    <n v="10"/>
    <s v="4/22/2020"/>
    <d v="2020-04-22T08:56:20"/>
    <x v="0"/>
    <s v="Mud"/>
    <m/>
    <m/>
    <m/>
    <m/>
    <x v="0"/>
    <m/>
    <m/>
    <m/>
    <m/>
    <m/>
    <m/>
    <m/>
    <m/>
    <m/>
    <m/>
    <m/>
    <m/>
    <m/>
    <m/>
    <m/>
    <s v="{8d7d1922-2fda-4be3-b834-8652680b07bc}"/>
    <d v="2020-04-22T15:56:20"/>
    <s v="clark@ccber.ucsb.edu_ucsb"/>
    <d v="2020-04-22T15:56:20"/>
    <s v="clark@ccber.ucsb.edu_ucsb"/>
  </r>
  <r>
    <n v="109"/>
    <x v="53"/>
    <n v="1"/>
    <s v="4/22/2020"/>
    <d v="2020-04-22T08:09:26"/>
    <x v="0"/>
    <s v="Fence"/>
    <m/>
    <m/>
    <m/>
    <m/>
    <x v="0"/>
    <m/>
    <m/>
    <m/>
    <m/>
    <m/>
    <m/>
    <m/>
    <m/>
    <m/>
    <m/>
    <m/>
    <m/>
    <m/>
    <m/>
    <m/>
    <s v="{5a593946-0f7b-43c9-b7c6-9511500f7ad5}"/>
    <d v="2020-04-22T15:09:26"/>
    <s v="clark@ccber.ucsb.edu_ucsb"/>
    <d v="2020-04-22T15:09:26"/>
    <s v="clark@ccber.ucsb.edu_ucsb"/>
  </r>
  <r>
    <n v="28"/>
    <x v="53"/>
    <n v="2"/>
    <s v="4/22/2020"/>
    <d v="2020-04-22T08:34:27"/>
    <x v="0"/>
    <s v="Vegetation - Tree"/>
    <m/>
    <m/>
    <m/>
    <m/>
    <x v="1"/>
    <m/>
    <m/>
    <m/>
    <m/>
    <m/>
    <m/>
    <m/>
    <m/>
    <m/>
    <m/>
    <m/>
    <m/>
    <m/>
    <m/>
    <m/>
    <s v="{70ecfd90-9bb3-4dc6-abd1-c770fe06de9e}"/>
    <d v="2020-04-22T15:34:27"/>
    <s v="ccber_user"/>
    <d v="2020-04-22T16:02:08"/>
    <s v="ccber_user"/>
  </r>
  <r>
    <n v="70"/>
    <x v="53"/>
    <n v="1"/>
    <s v="4/22/2020"/>
    <d v="2020-04-22T09:39:01"/>
    <x v="0"/>
    <s v="Fence"/>
    <m/>
    <m/>
    <m/>
    <m/>
    <x v="1"/>
    <m/>
    <m/>
    <m/>
    <m/>
    <m/>
    <m/>
    <m/>
    <m/>
    <m/>
    <m/>
    <m/>
    <m/>
    <m/>
    <m/>
    <m/>
    <s v="{3efb63bc-05ec-4c9a-b37d-127aa60a995e}"/>
    <d v="2020-04-22T16:39:01"/>
    <s v="ccber_user"/>
    <d v="2020-04-22T16:39:01"/>
    <s v="ccber_user"/>
  </r>
  <r>
    <n v="2"/>
    <x v="54"/>
    <n v="9"/>
    <s v="4/22/2020"/>
    <d v="2020-04-22T07:27:11"/>
    <x v="0"/>
    <s v="Bare ground"/>
    <m/>
    <m/>
    <m/>
    <m/>
    <x v="1"/>
    <m/>
    <m/>
    <m/>
    <m/>
    <m/>
    <m/>
    <m/>
    <m/>
    <m/>
    <m/>
    <m/>
    <m/>
    <m/>
    <m/>
    <m/>
    <s v="{67e829df-8c79-4ff6-a2e1-800a10172dd9}"/>
    <d v="2020-04-22T14:27:11"/>
    <s v="ccber_user"/>
    <d v="2020-04-22T14:27:11"/>
    <s v="ccber_user"/>
  </r>
  <r>
    <n v="79"/>
    <x v="54"/>
    <n v="13"/>
    <s v="4/22/2020"/>
    <d v="2020-04-22T07:29:57"/>
    <x v="1"/>
    <s v="Mud"/>
    <m/>
    <m/>
    <m/>
    <m/>
    <x v="0"/>
    <m/>
    <m/>
    <m/>
    <m/>
    <m/>
    <m/>
    <m/>
    <m/>
    <m/>
    <m/>
    <m/>
    <m/>
    <m/>
    <m/>
    <m/>
    <s v="{5d03b164-5dce-4bae-8950-efc8bd6d61bc}"/>
    <d v="2020-04-22T14:29:57"/>
    <s v="clark@ccber.ucsb.edu_ucsb"/>
    <d v="2020-04-22T14:29:57"/>
    <s v="clark@ccber.ucsb.edu_ucsb"/>
  </r>
  <r>
    <n v="48"/>
    <x v="55"/>
    <n v="2"/>
    <s v="4/22/2020"/>
    <d v="2020-04-22T09:13:34"/>
    <x v="0"/>
    <s v="Vegetation - Herbaceous"/>
    <m/>
    <m/>
    <m/>
    <m/>
    <x v="1"/>
    <m/>
    <m/>
    <m/>
    <m/>
    <m/>
    <m/>
    <m/>
    <m/>
    <m/>
    <m/>
    <m/>
    <m/>
    <m/>
    <m/>
    <m/>
    <s v="{cf72056c-1f3d-4068-8d10-e4b8d46aff78}"/>
    <d v="2020-04-22T16:13:34"/>
    <s v="ccber_user"/>
    <d v="2020-04-22T16:13:34"/>
    <s v="ccber_user"/>
  </r>
  <r>
    <n v="72"/>
    <x v="56"/>
    <n v="1"/>
    <s v="4/22/2020"/>
    <d v="2020-04-22T09:45:29"/>
    <x v="0"/>
    <s v="Air"/>
    <m/>
    <m/>
    <m/>
    <m/>
    <x v="1"/>
    <m/>
    <m/>
    <m/>
    <m/>
    <m/>
    <m/>
    <m/>
    <m/>
    <m/>
    <m/>
    <m/>
    <m/>
    <m/>
    <m/>
    <m/>
    <s v="{8ac07c2b-1098-4357-9e7d-b81d320e3c3c}"/>
    <d v="2020-04-22T16:45:29"/>
    <s v="ccber_user"/>
    <d v="2020-04-22T16:45:29"/>
    <s v="ccber_user"/>
  </r>
  <r>
    <n v="73"/>
    <x v="56"/>
    <n v="1"/>
    <s v="4/22/2020"/>
    <d v="2020-04-22T09:49:04"/>
    <x v="0"/>
    <s v="Air"/>
    <m/>
    <m/>
    <m/>
    <m/>
    <x v="1"/>
    <m/>
    <m/>
    <m/>
    <m/>
    <m/>
    <m/>
    <m/>
    <m/>
    <m/>
    <m/>
    <m/>
    <m/>
    <m/>
    <m/>
    <m/>
    <s v="{664c890c-0faa-448c-ac6c-a191f45a134b}"/>
    <d v="2020-04-22T16:49:04"/>
    <s v="ccber_user"/>
    <d v="2020-04-22T16:49:04"/>
    <s v="ccber_user"/>
  </r>
  <r>
    <n v="15"/>
    <x v="57"/>
    <n v="1"/>
    <s v="4/22/2020"/>
    <d v="2020-04-22T08:09:12"/>
    <x v="0"/>
    <s v="Flyover"/>
    <m/>
    <m/>
    <m/>
    <m/>
    <x v="1"/>
    <m/>
    <m/>
    <m/>
    <m/>
    <m/>
    <m/>
    <m/>
    <m/>
    <m/>
    <m/>
    <m/>
    <m/>
    <m/>
    <m/>
    <m/>
    <s v="{192e7f78-b02d-4143-bed9-c4bf86c5fa98}"/>
    <d v="2020-04-22T15:09:12"/>
    <s v="ccber_user"/>
    <d v="2020-04-22T15:09:12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BEDD3-5A8F-41C2-864F-FF7D48374EAB}" name="PivotTable1" cacheId="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64" firstHeaderRow="1" firstDataRow="3" firstDataCol="1"/>
  <pivotFields count="32">
    <pivotField showAll="0"/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58"/>
        <item t="default"/>
      </items>
    </pivotField>
    <pivotField dataField="1" showAll="0"/>
    <pivotField showAll="0"/>
    <pivotField numFmtId="165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2">
    <field x="5"/>
    <field x="11"/>
  </colFields>
  <colItems count="6">
    <i>
      <x/>
      <x v="1"/>
    </i>
    <i r="1">
      <x v="2"/>
    </i>
    <i t="default">
      <x/>
    </i>
    <i>
      <x v="1"/>
      <x v="1"/>
    </i>
    <i r="1">
      <x v="2"/>
    </i>
    <i t="default">
      <x v="1"/>
    </i>
  </colItems>
  <dataFields count="1">
    <dataField name="Sum of Count" fld="2" baseField="0" baseItem="0"/>
  </dataFields>
  <formats count="15">
    <format dxfId="14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3">
      <pivotArea type="topRight" dataOnly="0" labelOnly="1" outline="0" offset="B1:D1" fieldPosition="0"/>
    </format>
    <format dxfId="12">
      <pivotArea dataOnly="0" labelOnly="1" fieldPosition="0">
        <references count="1">
          <reference field="5" count="1">
            <x v="1"/>
          </reference>
        </references>
      </pivotArea>
    </format>
    <format dxfId="11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0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9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5" count="1" defaultSubtotal="1">
            <x v="0"/>
          </reference>
        </references>
      </pivotArea>
    </format>
    <format dxfId="6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5">
      <pivotArea type="topRight" dataOnly="0" labelOnly="1" outline="0" offset="A1" fieldPosition="0"/>
    </format>
    <format dxfId="4">
      <pivotArea dataOnly="0" labelOnly="1" fieldPosition="0">
        <references count="1">
          <reference field="5" count="1" defaultSubtotal="1">
            <x v="0"/>
          </reference>
        </references>
      </pivotArea>
    </format>
    <format dxfId="3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2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">
      <pivotArea collapsedLevelsAreSubtotals="1" fieldPosition="0">
        <references count="2">
          <reference field="1" count="0"/>
          <reference field="5" count="1" selected="0" defaultSubtotal="1">
            <x v="0"/>
          </reference>
        </references>
      </pivotArea>
    </format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4"/>
  <sheetViews>
    <sheetView tabSelected="1" workbookViewId="0">
      <pane xSplit="5" ySplit="1" topLeftCell="O149" activePane="bottomRight" state="frozen"/>
      <selection pane="topRight" activeCell="D1" sqref="D1"/>
      <selection pane="bottomLeft" activeCell="A2" sqref="A2"/>
      <selection pane="bottomRight" activeCell="C2" sqref="C2:C184"/>
    </sheetView>
  </sheetViews>
  <sheetFormatPr defaultRowHeight="15" x14ac:dyDescent="0.25"/>
  <cols>
    <col min="1" max="1" width="12.28515625" bestFit="1" customWidth="1"/>
    <col min="2" max="3" width="12.28515625" style="25" customWidth="1"/>
    <col min="4" max="4" width="28.140625" bestFit="1" customWidth="1"/>
    <col min="6" max="6" width="9.5703125" bestFit="1" customWidth="1"/>
    <col min="7" max="7" width="17" style="25" bestFit="1" customWidth="1"/>
    <col min="9" max="9" width="21.42578125" bestFit="1" customWidth="1"/>
    <col min="11" max="11" width="19.42578125" bestFit="1" customWidth="1"/>
    <col min="12" max="12" width="63.140625" bestFit="1" customWidth="1"/>
    <col min="14" max="14" width="20.28515625" bestFit="1" customWidth="1"/>
    <col min="31" max="31" width="18.140625" bestFit="1" customWidth="1"/>
  </cols>
  <sheetData>
    <row r="1" spans="1:34" ht="15.75" x14ac:dyDescent="0.25">
      <c r="A1" s="1" t="s">
        <v>0</v>
      </c>
      <c r="B1" s="22" t="s">
        <v>308</v>
      </c>
      <c r="C1" s="22" t="s">
        <v>310</v>
      </c>
      <c r="D1" s="1" t="s">
        <v>1</v>
      </c>
      <c r="E1" s="1" t="s">
        <v>2</v>
      </c>
      <c r="F1" s="22" t="s">
        <v>308</v>
      </c>
      <c r="G1" s="23" t="s">
        <v>310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25">
      <c r="A2">
        <v>105</v>
      </c>
      <c r="B2" s="36">
        <v>43943</v>
      </c>
      <c r="C2" s="24">
        <f>AE2-(7/24)</f>
        <v>43943.337685185186</v>
      </c>
      <c r="D2" t="s">
        <v>148</v>
      </c>
      <c r="E2">
        <v>3</v>
      </c>
      <c r="F2" t="s">
        <v>309</v>
      </c>
      <c r="G2" s="24">
        <f t="shared" ref="G2:G33" si="0">AE2-(7/24)</f>
        <v>43943.337685185186</v>
      </c>
      <c r="H2" t="s">
        <v>31</v>
      </c>
      <c r="I2" t="s">
        <v>65</v>
      </c>
      <c r="N2" t="s">
        <v>299</v>
      </c>
      <c r="AD2" t="s">
        <v>199</v>
      </c>
      <c r="AE2" s="2">
        <v>43943.629351851851</v>
      </c>
      <c r="AF2" t="s">
        <v>158</v>
      </c>
      <c r="AG2" s="2">
        <v>43943.629351851851</v>
      </c>
      <c r="AH2" t="s">
        <v>158</v>
      </c>
    </row>
    <row r="3" spans="1:34" x14ac:dyDescent="0.25">
      <c r="A3">
        <v>110</v>
      </c>
      <c r="B3" s="36">
        <v>43943</v>
      </c>
      <c r="C3" s="24">
        <f t="shared" ref="C3:C66" si="1">AE3-(7/24)</f>
        <v>43943.340219907419</v>
      </c>
      <c r="D3" t="s">
        <v>148</v>
      </c>
      <c r="E3">
        <v>4</v>
      </c>
      <c r="F3" t="s">
        <v>309</v>
      </c>
      <c r="G3" s="24">
        <f t="shared" si="0"/>
        <v>43943.340219907419</v>
      </c>
      <c r="H3" t="s">
        <v>31</v>
      </c>
      <c r="I3" t="s">
        <v>79</v>
      </c>
      <c r="N3" t="s">
        <v>299</v>
      </c>
      <c r="AD3" t="s">
        <v>205</v>
      </c>
      <c r="AE3" s="2">
        <v>43943.631886574083</v>
      </c>
      <c r="AF3" t="s">
        <v>158</v>
      </c>
      <c r="AG3" s="2">
        <v>43943.631886574083</v>
      </c>
      <c r="AH3" t="s">
        <v>158</v>
      </c>
    </row>
    <row r="4" spans="1:34" x14ac:dyDescent="0.25">
      <c r="A4">
        <v>113</v>
      </c>
      <c r="B4" s="36">
        <v>43943</v>
      </c>
      <c r="C4" s="24">
        <f t="shared" si="1"/>
        <v>43943.342141203706</v>
      </c>
      <c r="D4" t="s">
        <v>148</v>
      </c>
      <c r="E4">
        <v>4</v>
      </c>
      <c r="F4" t="s">
        <v>309</v>
      </c>
      <c r="G4" s="24">
        <f t="shared" si="0"/>
        <v>43943.342141203706</v>
      </c>
      <c r="H4" t="s">
        <v>31</v>
      </c>
      <c r="I4" t="s">
        <v>65</v>
      </c>
      <c r="N4" t="s">
        <v>299</v>
      </c>
      <c r="AD4" t="s">
        <v>209</v>
      </c>
      <c r="AE4" s="2">
        <v>43943.63380787037</v>
      </c>
      <c r="AF4" t="s">
        <v>158</v>
      </c>
      <c r="AG4" s="2">
        <v>43943.63380787037</v>
      </c>
      <c r="AH4" t="s">
        <v>158</v>
      </c>
    </row>
    <row r="5" spans="1:34" x14ac:dyDescent="0.25">
      <c r="A5">
        <v>69</v>
      </c>
      <c r="B5" s="36">
        <v>43943</v>
      </c>
      <c r="C5" s="24">
        <f t="shared" si="1"/>
        <v>43943.401400462964</v>
      </c>
      <c r="D5" t="s">
        <v>148</v>
      </c>
      <c r="E5">
        <v>7</v>
      </c>
      <c r="F5" t="s">
        <v>309</v>
      </c>
      <c r="G5" s="24">
        <f t="shared" si="0"/>
        <v>43943.401400462964</v>
      </c>
      <c r="H5" t="s">
        <v>31</v>
      </c>
      <c r="I5" t="s">
        <v>65</v>
      </c>
      <c r="N5" t="s">
        <v>311</v>
      </c>
      <c r="AD5" t="s">
        <v>149</v>
      </c>
      <c r="AE5" s="2">
        <v>43943.693067129629</v>
      </c>
      <c r="AF5" t="s">
        <v>34</v>
      </c>
      <c r="AG5" s="2">
        <v>43943.693067129629</v>
      </c>
      <c r="AH5" t="s">
        <v>34</v>
      </c>
    </row>
    <row r="6" spans="1:34" x14ac:dyDescent="0.25">
      <c r="A6">
        <v>93</v>
      </c>
      <c r="B6" s="36">
        <v>43943</v>
      </c>
      <c r="C6" s="24">
        <f t="shared" si="1"/>
        <v>43943.326307870375</v>
      </c>
      <c r="D6" t="s">
        <v>71</v>
      </c>
      <c r="E6">
        <v>3</v>
      </c>
      <c r="F6" t="s">
        <v>309</v>
      </c>
      <c r="G6" s="24">
        <f t="shared" si="0"/>
        <v>43943.326307870375</v>
      </c>
      <c r="H6" t="s">
        <v>31</v>
      </c>
      <c r="I6" t="s">
        <v>44</v>
      </c>
      <c r="N6" t="s">
        <v>299</v>
      </c>
      <c r="AD6" t="s">
        <v>184</v>
      </c>
      <c r="AE6" s="2">
        <v>43943.617974537039</v>
      </c>
      <c r="AF6" t="s">
        <v>158</v>
      </c>
      <c r="AG6" s="2">
        <v>43943.617974537039</v>
      </c>
      <c r="AH6" t="s">
        <v>158</v>
      </c>
    </row>
    <row r="7" spans="1:34" x14ac:dyDescent="0.25">
      <c r="A7">
        <v>17</v>
      </c>
      <c r="B7" s="36">
        <v>43943</v>
      </c>
      <c r="C7" s="24">
        <f t="shared" si="1"/>
        <v>43943.342465277783</v>
      </c>
      <c r="D7" t="s">
        <v>71</v>
      </c>
      <c r="E7">
        <v>1</v>
      </c>
      <c r="F7" t="s">
        <v>309</v>
      </c>
      <c r="G7" s="24">
        <f t="shared" si="0"/>
        <v>43943.342465277783</v>
      </c>
      <c r="H7" t="s">
        <v>31</v>
      </c>
      <c r="I7" t="s">
        <v>72</v>
      </c>
      <c r="N7" t="s">
        <v>311</v>
      </c>
      <c r="AD7" t="s">
        <v>73</v>
      </c>
      <c r="AE7" s="2">
        <v>43943.634131944447</v>
      </c>
      <c r="AF7" t="s">
        <v>34</v>
      </c>
      <c r="AG7" s="2">
        <v>43943.634131944447</v>
      </c>
      <c r="AH7" t="s">
        <v>34</v>
      </c>
    </row>
    <row r="8" spans="1:34" x14ac:dyDescent="0.25">
      <c r="A8">
        <v>125</v>
      </c>
      <c r="B8" s="36">
        <v>43943</v>
      </c>
      <c r="C8" s="24">
        <f t="shared" si="1"/>
        <v>43943.352534722224</v>
      </c>
      <c r="D8" t="s">
        <v>71</v>
      </c>
      <c r="E8">
        <v>1</v>
      </c>
      <c r="F8" t="s">
        <v>309</v>
      </c>
      <c r="G8" s="24">
        <f t="shared" si="0"/>
        <v>43943.352534722224</v>
      </c>
      <c r="H8" t="s">
        <v>31</v>
      </c>
      <c r="I8" t="s">
        <v>57</v>
      </c>
      <c r="N8" t="s">
        <v>299</v>
      </c>
      <c r="AD8" t="s">
        <v>229</v>
      </c>
      <c r="AE8" s="2">
        <v>43943.644201388888</v>
      </c>
      <c r="AF8" t="s">
        <v>158</v>
      </c>
      <c r="AG8" s="2">
        <v>43943.644201388888</v>
      </c>
      <c r="AH8" t="s">
        <v>158</v>
      </c>
    </row>
    <row r="9" spans="1:34" x14ac:dyDescent="0.25">
      <c r="A9">
        <v>144</v>
      </c>
      <c r="B9" s="36">
        <v>43943</v>
      </c>
      <c r="C9" s="24">
        <f t="shared" si="1"/>
        <v>43943.367835648169</v>
      </c>
      <c r="D9" t="s">
        <v>71</v>
      </c>
      <c r="E9">
        <v>2</v>
      </c>
      <c r="F9" t="s">
        <v>309</v>
      </c>
      <c r="G9" s="24">
        <f t="shared" si="0"/>
        <v>43943.367835648169</v>
      </c>
      <c r="H9" t="s">
        <v>31</v>
      </c>
      <c r="I9" t="s">
        <v>32</v>
      </c>
      <c r="N9" t="s">
        <v>299</v>
      </c>
      <c r="AD9" t="s">
        <v>251</v>
      </c>
      <c r="AE9" s="2">
        <v>43943.659502314833</v>
      </c>
      <c r="AF9" t="s">
        <v>158</v>
      </c>
      <c r="AG9" s="2">
        <v>43943.659502314833</v>
      </c>
      <c r="AH9" t="s">
        <v>158</v>
      </c>
    </row>
    <row r="10" spans="1:34" x14ac:dyDescent="0.25">
      <c r="A10">
        <v>35</v>
      </c>
      <c r="B10" s="36">
        <v>43943</v>
      </c>
      <c r="C10" s="24">
        <f t="shared" si="1"/>
        <v>43943.373541666668</v>
      </c>
      <c r="D10" t="s">
        <v>71</v>
      </c>
      <c r="E10">
        <v>1</v>
      </c>
      <c r="F10" t="s">
        <v>309</v>
      </c>
      <c r="G10" s="24">
        <f t="shared" si="0"/>
        <v>43943.373541666668</v>
      </c>
      <c r="H10" t="s">
        <v>31</v>
      </c>
      <c r="N10" t="s">
        <v>311</v>
      </c>
      <c r="AD10" t="s">
        <v>99</v>
      </c>
      <c r="AE10" s="2">
        <v>43943.665208333332</v>
      </c>
      <c r="AF10" t="s">
        <v>34</v>
      </c>
      <c r="AG10" s="2">
        <v>43943.665208333332</v>
      </c>
      <c r="AH10" t="s">
        <v>34</v>
      </c>
    </row>
    <row r="11" spans="1:34" x14ac:dyDescent="0.25">
      <c r="A11">
        <v>156</v>
      </c>
      <c r="B11" s="36">
        <v>43943</v>
      </c>
      <c r="C11" s="24">
        <f t="shared" si="1"/>
        <v>43943.378935185188</v>
      </c>
      <c r="D11" t="s">
        <v>71</v>
      </c>
      <c r="E11">
        <v>1</v>
      </c>
      <c r="F11" t="s">
        <v>309</v>
      </c>
      <c r="G11" s="24">
        <f t="shared" si="0"/>
        <v>43943.378935185188</v>
      </c>
      <c r="H11" t="s">
        <v>31</v>
      </c>
      <c r="I11" t="s">
        <v>57</v>
      </c>
      <c r="N11" t="s">
        <v>299</v>
      </c>
      <c r="AD11" t="s">
        <v>266</v>
      </c>
      <c r="AE11" s="2">
        <v>43943.670601851853</v>
      </c>
      <c r="AF11" t="s">
        <v>158</v>
      </c>
      <c r="AG11" s="2">
        <v>43943.670601851853</v>
      </c>
      <c r="AH11" t="s">
        <v>158</v>
      </c>
    </row>
    <row r="12" spans="1:34" x14ac:dyDescent="0.25">
      <c r="A12">
        <v>164</v>
      </c>
      <c r="B12" s="36">
        <v>43943</v>
      </c>
      <c r="C12" s="24">
        <f t="shared" si="1"/>
        <v>43943.385567129633</v>
      </c>
      <c r="D12" t="s">
        <v>71</v>
      </c>
      <c r="E12">
        <v>1</v>
      </c>
      <c r="F12" t="s">
        <v>309</v>
      </c>
      <c r="G12" s="24">
        <f t="shared" si="0"/>
        <v>43943.385567129633</v>
      </c>
      <c r="H12" t="s">
        <v>31</v>
      </c>
      <c r="I12" t="s">
        <v>44</v>
      </c>
      <c r="N12" t="s">
        <v>299</v>
      </c>
      <c r="AD12" t="s">
        <v>274</v>
      </c>
      <c r="AE12" s="2">
        <v>43943.677233796298</v>
      </c>
      <c r="AF12" t="s">
        <v>158</v>
      </c>
      <c r="AG12" s="2">
        <v>43943.677233796298</v>
      </c>
      <c r="AH12" t="s">
        <v>158</v>
      </c>
    </row>
    <row r="13" spans="1:34" x14ac:dyDescent="0.25">
      <c r="A13">
        <v>10</v>
      </c>
      <c r="B13" s="36">
        <v>43943</v>
      </c>
      <c r="C13" s="24">
        <f t="shared" si="1"/>
        <v>43943.324027777773</v>
      </c>
      <c r="D13" t="s">
        <v>54</v>
      </c>
      <c r="E13">
        <v>1</v>
      </c>
      <c r="F13" t="s">
        <v>309</v>
      </c>
      <c r="G13" s="24">
        <f t="shared" si="0"/>
        <v>43943.324027777773</v>
      </c>
      <c r="H13" t="s">
        <v>31</v>
      </c>
      <c r="I13" t="s">
        <v>50</v>
      </c>
      <c r="N13" t="s">
        <v>311</v>
      </c>
      <c r="AD13" t="s">
        <v>55</v>
      </c>
      <c r="AE13" s="2">
        <v>43943.615694444437</v>
      </c>
      <c r="AF13" t="s">
        <v>34</v>
      </c>
      <c r="AG13" s="2">
        <v>43943.615694444437</v>
      </c>
      <c r="AH13" t="s">
        <v>34</v>
      </c>
    </row>
    <row r="14" spans="1:34" x14ac:dyDescent="0.25">
      <c r="A14">
        <v>121</v>
      </c>
      <c r="B14" s="36">
        <v>43943</v>
      </c>
      <c r="C14" s="24">
        <f t="shared" si="1"/>
        <v>43943.347766203704</v>
      </c>
      <c r="D14" t="s">
        <v>54</v>
      </c>
      <c r="E14">
        <v>1</v>
      </c>
      <c r="F14" t="s">
        <v>309</v>
      </c>
      <c r="G14" s="24">
        <f t="shared" si="0"/>
        <v>43943.347766203704</v>
      </c>
      <c r="H14" t="s">
        <v>31</v>
      </c>
      <c r="I14" t="s">
        <v>50</v>
      </c>
      <c r="N14" t="s">
        <v>299</v>
      </c>
      <c r="AD14" t="s">
        <v>222</v>
      </c>
      <c r="AE14" s="2">
        <v>43943.639432870368</v>
      </c>
      <c r="AF14" t="s">
        <v>158</v>
      </c>
      <c r="AG14" s="2">
        <v>43943.639432870368</v>
      </c>
      <c r="AH14" t="s">
        <v>158</v>
      </c>
    </row>
    <row r="15" spans="1:34" x14ac:dyDescent="0.25">
      <c r="A15">
        <v>31</v>
      </c>
      <c r="B15" s="36">
        <v>43943</v>
      </c>
      <c r="C15" s="24">
        <f t="shared" si="1"/>
        <v>43943.364039351858</v>
      </c>
      <c r="D15" t="s">
        <v>54</v>
      </c>
      <c r="E15">
        <v>1</v>
      </c>
      <c r="F15" t="s">
        <v>309</v>
      </c>
      <c r="G15" s="24">
        <f t="shared" si="0"/>
        <v>43943.364039351858</v>
      </c>
      <c r="H15" t="s">
        <v>31</v>
      </c>
      <c r="I15" t="s">
        <v>50</v>
      </c>
      <c r="N15" t="s">
        <v>311</v>
      </c>
      <c r="AD15" t="s">
        <v>94</v>
      </c>
      <c r="AE15" s="2">
        <v>43943.655706018522</v>
      </c>
      <c r="AF15" t="s">
        <v>34</v>
      </c>
      <c r="AG15" s="2">
        <v>43943.655706018522</v>
      </c>
      <c r="AH15" t="s">
        <v>34</v>
      </c>
    </row>
    <row r="16" spans="1:34" x14ac:dyDescent="0.25">
      <c r="A16">
        <v>143</v>
      </c>
      <c r="B16" s="36">
        <v>43943</v>
      </c>
      <c r="C16" s="24">
        <f t="shared" si="1"/>
        <v>43943.366643518522</v>
      </c>
      <c r="D16" t="s">
        <v>54</v>
      </c>
      <c r="E16">
        <v>1</v>
      </c>
      <c r="F16" t="s">
        <v>309</v>
      </c>
      <c r="G16" s="24">
        <f t="shared" si="0"/>
        <v>43943.366643518522</v>
      </c>
      <c r="H16" t="s">
        <v>31</v>
      </c>
      <c r="I16" t="s">
        <v>57</v>
      </c>
      <c r="N16" t="s">
        <v>299</v>
      </c>
      <c r="AD16" t="s">
        <v>250</v>
      </c>
      <c r="AE16" s="2">
        <v>43943.658310185187</v>
      </c>
      <c r="AF16" t="s">
        <v>158</v>
      </c>
      <c r="AG16" s="2">
        <v>43943.658310185187</v>
      </c>
      <c r="AH16" t="s">
        <v>158</v>
      </c>
    </row>
    <row r="17" spans="1:34" x14ac:dyDescent="0.25">
      <c r="A17">
        <v>150</v>
      </c>
      <c r="B17" s="36">
        <v>43943</v>
      </c>
      <c r="C17" s="24">
        <f t="shared" si="1"/>
        <v>43943.375509259269</v>
      </c>
      <c r="D17" t="s">
        <v>54</v>
      </c>
      <c r="E17">
        <v>1</v>
      </c>
      <c r="F17" t="s">
        <v>309</v>
      </c>
      <c r="G17" s="24">
        <f t="shared" si="0"/>
        <v>43943.375509259269</v>
      </c>
      <c r="H17" t="s">
        <v>31</v>
      </c>
      <c r="I17" t="s">
        <v>50</v>
      </c>
      <c r="N17" t="s">
        <v>299</v>
      </c>
      <c r="AD17" t="s">
        <v>260</v>
      </c>
      <c r="AE17" s="2">
        <v>43943.667175925933</v>
      </c>
      <c r="AF17" t="s">
        <v>158</v>
      </c>
      <c r="AG17" s="2">
        <v>43943.667175925933</v>
      </c>
      <c r="AH17" t="s">
        <v>158</v>
      </c>
    </row>
    <row r="18" spans="1:34" x14ac:dyDescent="0.25">
      <c r="A18">
        <v>46</v>
      </c>
      <c r="B18" s="36">
        <v>43943</v>
      </c>
      <c r="C18" s="24">
        <f t="shared" si="1"/>
        <v>43943.382129629623</v>
      </c>
      <c r="D18" t="s">
        <v>54</v>
      </c>
      <c r="E18">
        <v>1</v>
      </c>
      <c r="F18" t="s">
        <v>309</v>
      </c>
      <c r="G18" s="24">
        <f t="shared" si="0"/>
        <v>43943.382129629623</v>
      </c>
      <c r="H18" t="s">
        <v>31</v>
      </c>
      <c r="I18" t="s">
        <v>50</v>
      </c>
      <c r="N18" t="s">
        <v>311</v>
      </c>
      <c r="AD18" t="s">
        <v>115</v>
      </c>
      <c r="AE18" s="2">
        <v>43943.673796296287</v>
      </c>
      <c r="AF18" t="s">
        <v>34</v>
      </c>
      <c r="AG18" s="2">
        <v>43943.673796296287</v>
      </c>
      <c r="AH18" t="s">
        <v>34</v>
      </c>
    </row>
    <row r="19" spans="1:34" x14ac:dyDescent="0.25">
      <c r="A19">
        <v>60</v>
      </c>
      <c r="B19" s="36">
        <v>43943</v>
      </c>
      <c r="C19" s="24">
        <f t="shared" si="1"/>
        <v>43943.390902777777</v>
      </c>
      <c r="D19" t="s">
        <v>54</v>
      </c>
      <c r="E19">
        <v>2</v>
      </c>
      <c r="F19" t="s">
        <v>309</v>
      </c>
      <c r="G19" s="24">
        <f t="shared" si="0"/>
        <v>43943.390902777777</v>
      </c>
      <c r="H19" t="s">
        <v>31</v>
      </c>
      <c r="I19" t="s">
        <v>47</v>
      </c>
      <c r="N19" t="s">
        <v>311</v>
      </c>
      <c r="AD19" t="s">
        <v>133</v>
      </c>
      <c r="AE19" s="2">
        <v>43943.682569444441</v>
      </c>
      <c r="AF19" t="s">
        <v>34</v>
      </c>
      <c r="AG19" s="2">
        <v>43943.682569444441</v>
      </c>
      <c r="AH19" t="s">
        <v>34</v>
      </c>
    </row>
    <row r="20" spans="1:34" x14ac:dyDescent="0.25">
      <c r="A20">
        <v>184</v>
      </c>
      <c r="B20" s="36">
        <v>43943</v>
      </c>
      <c r="C20" s="24">
        <f t="shared" si="1"/>
        <v>43943.430416666662</v>
      </c>
      <c r="D20" t="s">
        <v>54</v>
      </c>
      <c r="E20">
        <v>1</v>
      </c>
      <c r="F20" t="s">
        <v>309</v>
      </c>
      <c r="G20" s="24">
        <f t="shared" si="0"/>
        <v>43943.430416666662</v>
      </c>
      <c r="H20" t="s">
        <v>31</v>
      </c>
      <c r="I20" t="s">
        <v>57</v>
      </c>
      <c r="N20" t="s">
        <v>299</v>
      </c>
      <c r="P20" t="s">
        <v>297</v>
      </c>
      <c r="AD20" t="s">
        <v>298</v>
      </c>
      <c r="AE20" s="2">
        <v>43943.722083333327</v>
      </c>
      <c r="AF20" t="s">
        <v>158</v>
      </c>
      <c r="AG20" s="2">
        <v>43943.722083333327</v>
      </c>
      <c r="AH20" t="s">
        <v>158</v>
      </c>
    </row>
    <row r="21" spans="1:34" x14ac:dyDescent="0.25">
      <c r="A21">
        <v>13</v>
      </c>
      <c r="B21" s="36">
        <v>43943</v>
      </c>
      <c r="C21" s="24">
        <f t="shared" si="1"/>
        <v>43943.335011574076</v>
      </c>
      <c r="D21" t="s">
        <v>62</v>
      </c>
      <c r="E21">
        <v>1</v>
      </c>
      <c r="F21" t="s">
        <v>309</v>
      </c>
      <c r="G21" s="24">
        <f t="shared" si="0"/>
        <v>43943.335011574076</v>
      </c>
      <c r="H21" t="s">
        <v>31</v>
      </c>
      <c r="I21" t="s">
        <v>50</v>
      </c>
      <c r="N21" t="s">
        <v>311</v>
      </c>
      <c r="AD21" t="s">
        <v>63</v>
      </c>
      <c r="AE21" s="2">
        <v>43943.62667824074</v>
      </c>
      <c r="AF21" t="s">
        <v>34</v>
      </c>
      <c r="AG21" s="2">
        <v>43943.62667824074</v>
      </c>
      <c r="AH21" t="s">
        <v>34</v>
      </c>
    </row>
    <row r="22" spans="1:34" x14ac:dyDescent="0.25">
      <c r="A22">
        <v>117</v>
      </c>
      <c r="B22" s="36">
        <v>43943</v>
      </c>
      <c r="C22" s="24">
        <f t="shared" si="1"/>
        <v>43943.344930555555</v>
      </c>
      <c r="D22" t="s">
        <v>214</v>
      </c>
      <c r="E22">
        <v>1</v>
      </c>
      <c r="F22" t="s">
        <v>309</v>
      </c>
      <c r="G22" s="24">
        <f t="shared" si="0"/>
        <v>43943.344930555555</v>
      </c>
      <c r="H22" t="s">
        <v>31</v>
      </c>
      <c r="I22" t="s">
        <v>32</v>
      </c>
      <c r="N22" t="s">
        <v>299</v>
      </c>
      <c r="AD22" t="s">
        <v>215</v>
      </c>
      <c r="AE22" s="2">
        <v>43943.636597222219</v>
      </c>
      <c r="AF22" t="s">
        <v>158</v>
      </c>
      <c r="AG22" s="2">
        <v>43943.636597222219</v>
      </c>
      <c r="AH22" t="s">
        <v>158</v>
      </c>
    </row>
    <row r="23" spans="1:34" x14ac:dyDescent="0.25">
      <c r="A23">
        <v>151</v>
      </c>
      <c r="B23" s="36">
        <v>43943</v>
      </c>
      <c r="C23" s="24">
        <f t="shared" si="1"/>
        <v>43943.376539351855</v>
      </c>
      <c r="D23" t="s">
        <v>214</v>
      </c>
      <c r="E23">
        <v>1</v>
      </c>
      <c r="F23" t="s">
        <v>309</v>
      </c>
      <c r="G23" s="24">
        <f t="shared" si="0"/>
        <v>43943.376539351855</v>
      </c>
      <c r="H23" t="s">
        <v>31</v>
      </c>
      <c r="I23" t="s">
        <v>47</v>
      </c>
      <c r="N23" t="s">
        <v>299</v>
      </c>
      <c r="AD23" t="s">
        <v>261</v>
      </c>
      <c r="AE23" s="2">
        <v>43943.668206018519</v>
      </c>
      <c r="AF23" t="s">
        <v>158</v>
      </c>
      <c r="AG23" s="2">
        <v>43943.668206018519</v>
      </c>
      <c r="AH23" t="s">
        <v>158</v>
      </c>
    </row>
    <row r="24" spans="1:34" x14ac:dyDescent="0.25">
      <c r="A24">
        <v>180</v>
      </c>
      <c r="B24" s="36">
        <v>43943</v>
      </c>
      <c r="C24" s="24">
        <f t="shared" si="1"/>
        <v>43943.401041666679</v>
      </c>
      <c r="D24" t="s">
        <v>214</v>
      </c>
      <c r="E24">
        <v>1</v>
      </c>
      <c r="F24" t="s">
        <v>309</v>
      </c>
      <c r="G24" s="24">
        <f t="shared" si="0"/>
        <v>43943.401041666679</v>
      </c>
      <c r="H24" t="s">
        <v>31</v>
      </c>
      <c r="I24" t="s">
        <v>44</v>
      </c>
      <c r="N24" t="s">
        <v>299</v>
      </c>
      <c r="AD24" t="s">
        <v>294</v>
      </c>
      <c r="AE24" s="2">
        <v>43943.692708333343</v>
      </c>
      <c r="AF24" t="s">
        <v>158</v>
      </c>
      <c r="AG24" s="2">
        <v>43943.692708333343</v>
      </c>
      <c r="AH24" t="s">
        <v>158</v>
      </c>
    </row>
    <row r="25" spans="1:34" x14ac:dyDescent="0.25">
      <c r="A25">
        <v>181</v>
      </c>
      <c r="B25" s="36">
        <v>43943</v>
      </c>
      <c r="C25" s="24">
        <f t="shared" si="1"/>
        <v>43943.402465277773</v>
      </c>
      <c r="D25" t="s">
        <v>214</v>
      </c>
      <c r="E25">
        <v>1</v>
      </c>
      <c r="F25" t="s">
        <v>309</v>
      </c>
      <c r="G25" s="24">
        <f t="shared" si="0"/>
        <v>43943.402465277773</v>
      </c>
      <c r="H25" t="s">
        <v>31</v>
      </c>
      <c r="I25" t="s">
        <v>47</v>
      </c>
      <c r="N25" t="s">
        <v>299</v>
      </c>
      <c r="AD25" t="s">
        <v>295</v>
      </c>
      <c r="AE25" s="2">
        <v>43943.694131944438</v>
      </c>
      <c r="AF25" t="s">
        <v>158</v>
      </c>
      <c r="AG25" s="2">
        <v>43943.694131944438</v>
      </c>
      <c r="AH25" t="s">
        <v>158</v>
      </c>
    </row>
    <row r="26" spans="1:34" x14ac:dyDescent="0.25">
      <c r="A26">
        <v>134</v>
      </c>
      <c r="B26" s="36">
        <v>43943</v>
      </c>
      <c r="C26" s="24">
        <f t="shared" si="1"/>
        <v>43943.362893518519</v>
      </c>
      <c r="D26" t="s">
        <v>239</v>
      </c>
      <c r="E26">
        <v>2</v>
      </c>
      <c r="F26" t="s">
        <v>309</v>
      </c>
      <c r="G26" s="24">
        <f t="shared" si="0"/>
        <v>43943.362893518519</v>
      </c>
      <c r="H26" t="s">
        <v>31</v>
      </c>
      <c r="I26" t="s">
        <v>74</v>
      </c>
      <c r="N26" t="s">
        <v>299</v>
      </c>
      <c r="AD26" t="s">
        <v>240</v>
      </c>
      <c r="AE26" s="2">
        <v>43943.654560185183</v>
      </c>
      <c r="AF26" t="s">
        <v>158</v>
      </c>
      <c r="AG26" s="2">
        <v>43943.654560185183</v>
      </c>
      <c r="AH26" t="s">
        <v>158</v>
      </c>
    </row>
    <row r="27" spans="1:34" x14ac:dyDescent="0.25">
      <c r="A27">
        <v>3</v>
      </c>
      <c r="B27" s="36">
        <v>43943</v>
      </c>
      <c r="C27" s="24">
        <f t="shared" si="1"/>
        <v>43943.310740740744</v>
      </c>
      <c r="D27" t="s">
        <v>37</v>
      </c>
      <c r="E27">
        <v>1</v>
      </c>
      <c r="F27" t="s">
        <v>309</v>
      </c>
      <c r="G27" s="24">
        <f t="shared" si="0"/>
        <v>43943.310740740744</v>
      </c>
      <c r="H27" t="s">
        <v>31</v>
      </c>
      <c r="I27" t="s">
        <v>32</v>
      </c>
      <c r="N27" t="s">
        <v>311</v>
      </c>
      <c r="AD27" t="s">
        <v>38</v>
      </c>
      <c r="AE27" s="2">
        <v>43943.602407407408</v>
      </c>
      <c r="AF27" t="s">
        <v>34</v>
      </c>
      <c r="AG27" s="2">
        <v>43943.602407407408</v>
      </c>
      <c r="AH27" t="s">
        <v>34</v>
      </c>
    </row>
    <row r="28" spans="1:34" x14ac:dyDescent="0.25">
      <c r="A28">
        <v>80</v>
      </c>
      <c r="B28" s="36">
        <v>43943</v>
      </c>
      <c r="C28" s="24">
        <f t="shared" si="1"/>
        <v>43943.313009259269</v>
      </c>
      <c r="D28" t="s">
        <v>37</v>
      </c>
      <c r="E28">
        <v>1</v>
      </c>
      <c r="F28" t="s">
        <v>309</v>
      </c>
      <c r="G28" s="24">
        <f t="shared" si="0"/>
        <v>43943.313009259269</v>
      </c>
      <c r="H28" t="s">
        <v>31</v>
      </c>
      <c r="I28" t="s">
        <v>79</v>
      </c>
      <c r="N28" t="s">
        <v>299</v>
      </c>
      <c r="AD28" t="s">
        <v>166</v>
      </c>
      <c r="AE28" s="2">
        <v>43943.604675925933</v>
      </c>
      <c r="AF28" t="s">
        <v>158</v>
      </c>
      <c r="AG28" s="2">
        <v>43943.604675925933</v>
      </c>
      <c r="AH28" t="s">
        <v>158</v>
      </c>
    </row>
    <row r="29" spans="1:34" x14ac:dyDescent="0.25">
      <c r="A29">
        <v>154</v>
      </c>
      <c r="B29" s="36">
        <v>43943</v>
      </c>
      <c r="C29" s="24">
        <f t="shared" si="1"/>
        <v>43943.377673611103</v>
      </c>
      <c r="D29" t="s">
        <v>37</v>
      </c>
      <c r="E29">
        <v>1</v>
      </c>
      <c r="F29" t="s">
        <v>309</v>
      </c>
      <c r="G29" s="24">
        <f t="shared" si="0"/>
        <v>43943.377673611103</v>
      </c>
      <c r="H29" t="s">
        <v>102</v>
      </c>
      <c r="I29" t="s">
        <v>162</v>
      </c>
      <c r="L29" t="s">
        <v>312</v>
      </c>
      <c r="N29" t="s">
        <v>299</v>
      </c>
      <c r="AD29" t="s">
        <v>264</v>
      </c>
      <c r="AE29" s="2">
        <v>43943.669340277767</v>
      </c>
      <c r="AF29" t="s">
        <v>158</v>
      </c>
      <c r="AG29" s="2">
        <v>43943.669340277767</v>
      </c>
      <c r="AH29" t="s">
        <v>158</v>
      </c>
    </row>
    <row r="30" spans="1:34" x14ac:dyDescent="0.25">
      <c r="A30">
        <v>114</v>
      </c>
      <c r="B30" s="36">
        <v>43943</v>
      </c>
      <c r="C30" s="24">
        <f t="shared" si="1"/>
        <v>43943.342847222222</v>
      </c>
      <c r="D30" t="s">
        <v>210</v>
      </c>
      <c r="E30">
        <v>1</v>
      </c>
      <c r="F30" t="s">
        <v>309</v>
      </c>
      <c r="G30" s="24">
        <f t="shared" si="0"/>
        <v>43943.342847222222</v>
      </c>
      <c r="H30" t="s">
        <v>31</v>
      </c>
      <c r="I30" t="s">
        <v>65</v>
      </c>
      <c r="N30" t="s">
        <v>299</v>
      </c>
      <c r="AD30" t="s">
        <v>211</v>
      </c>
      <c r="AE30" s="2">
        <v>43943.634513888886</v>
      </c>
      <c r="AF30" t="s">
        <v>158</v>
      </c>
      <c r="AG30" s="2">
        <v>43943.634513888886</v>
      </c>
      <c r="AH30" t="s">
        <v>158</v>
      </c>
    </row>
    <row r="31" spans="1:34" x14ac:dyDescent="0.25">
      <c r="A31">
        <v>168</v>
      </c>
      <c r="B31" s="36">
        <v>43943</v>
      </c>
      <c r="C31" s="24">
        <f t="shared" si="1"/>
        <v>43943.388414351859</v>
      </c>
      <c r="D31" t="s">
        <v>210</v>
      </c>
      <c r="E31">
        <v>2</v>
      </c>
      <c r="F31" t="s">
        <v>309</v>
      </c>
      <c r="G31" s="24">
        <f t="shared" si="0"/>
        <v>43943.388414351859</v>
      </c>
      <c r="H31" t="s">
        <v>31</v>
      </c>
      <c r="N31" t="s">
        <v>299</v>
      </c>
      <c r="AD31" t="s">
        <v>279</v>
      </c>
      <c r="AE31" s="2">
        <v>43943.680081018523</v>
      </c>
      <c r="AF31" t="s">
        <v>158</v>
      </c>
      <c r="AG31" s="2">
        <v>43943.682233796288</v>
      </c>
      <c r="AH31" t="s">
        <v>158</v>
      </c>
    </row>
    <row r="32" spans="1:34" x14ac:dyDescent="0.25">
      <c r="A32">
        <v>120</v>
      </c>
      <c r="B32" s="36">
        <v>43943</v>
      </c>
      <c r="C32" s="24">
        <f t="shared" si="1"/>
        <v>43943.347268518519</v>
      </c>
      <c r="D32" t="s">
        <v>220</v>
      </c>
      <c r="E32">
        <v>2</v>
      </c>
      <c r="F32" t="s">
        <v>309</v>
      </c>
      <c r="G32" s="24">
        <f t="shared" si="0"/>
        <v>43943.347268518519</v>
      </c>
      <c r="H32" t="s">
        <v>31</v>
      </c>
      <c r="I32" t="s">
        <v>57</v>
      </c>
      <c r="N32" t="s">
        <v>299</v>
      </c>
      <c r="AD32" t="s">
        <v>221</v>
      </c>
      <c r="AE32" s="2">
        <v>43943.638935185183</v>
      </c>
      <c r="AF32" t="s">
        <v>158</v>
      </c>
      <c r="AG32" s="2">
        <v>43943.638935185183</v>
      </c>
      <c r="AH32" t="s">
        <v>158</v>
      </c>
    </row>
    <row r="33" spans="1:34" x14ac:dyDescent="0.25">
      <c r="A33">
        <v>169</v>
      </c>
      <c r="B33" s="36">
        <v>43943</v>
      </c>
      <c r="C33" s="24">
        <f t="shared" si="1"/>
        <v>43943.390763888892</v>
      </c>
      <c r="D33" t="s">
        <v>280</v>
      </c>
      <c r="E33">
        <v>1</v>
      </c>
      <c r="F33" t="s">
        <v>309</v>
      </c>
      <c r="G33" s="24">
        <f t="shared" si="0"/>
        <v>43943.390763888892</v>
      </c>
      <c r="H33" t="s">
        <v>31</v>
      </c>
      <c r="J33" t="s">
        <v>281</v>
      </c>
      <c r="N33" t="s">
        <v>299</v>
      </c>
      <c r="AD33" t="s">
        <v>282</v>
      </c>
      <c r="AE33" s="2">
        <v>43943.682430555556</v>
      </c>
      <c r="AF33" t="s">
        <v>158</v>
      </c>
      <c r="AG33" s="2">
        <v>43943.682430555556</v>
      </c>
      <c r="AH33" t="s">
        <v>158</v>
      </c>
    </row>
    <row r="34" spans="1:34" x14ac:dyDescent="0.25">
      <c r="A34">
        <v>9</v>
      </c>
      <c r="B34" s="36">
        <v>43943</v>
      </c>
      <c r="C34" s="24">
        <f t="shared" si="1"/>
        <v>43943.322951388909</v>
      </c>
      <c r="D34" t="s">
        <v>52</v>
      </c>
      <c r="E34">
        <v>8</v>
      </c>
      <c r="F34" t="s">
        <v>309</v>
      </c>
      <c r="G34" s="24">
        <f t="shared" ref="G34:G65" si="2">AE34-(7/24)</f>
        <v>43943.322951388909</v>
      </c>
      <c r="H34" t="s">
        <v>31</v>
      </c>
      <c r="I34" t="s">
        <v>50</v>
      </c>
      <c r="N34" t="s">
        <v>311</v>
      </c>
      <c r="AD34" t="s">
        <v>53</v>
      </c>
      <c r="AE34" s="2">
        <v>43943.614618055573</v>
      </c>
      <c r="AF34" t="s">
        <v>34</v>
      </c>
      <c r="AG34" s="2">
        <v>43943.614618055573</v>
      </c>
      <c r="AH34" t="s">
        <v>34</v>
      </c>
    </row>
    <row r="35" spans="1:34" x14ac:dyDescent="0.25">
      <c r="A35">
        <v>148</v>
      </c>
      <c r="B35" s="36">
        <v>43943</v>
      </c>
      <c r="C35" s="24">
        <f t="shared" si="1"/>
        <v>43943.373472222229</v>
      </c>
      <c r="D35" t="s">
        <v>256</v>
      </c>
      <c r="E35">
        <v>2</v>
      </c>
      <c r="F35" t="s">
        <v>309</v>
      </c>
      <c r="G35" s="24">
        <f t="shared" si="2"/>
        <v>43943.373472222229</v>
      </c>
      <c r="H35" t="s">
        <v>31</v>
      </c>
      <c r="I35" t="s">
        <v>47</v>
      </c>
      <c r="N35" t="s">
        <v>299</v>
      </c>
      <c r="AD35" t="s">
        <v>257</v>
      </c>
      <c r="AE35" s="2">
        <v>43943.665138888893</v>
      </c>
      <c r="AF35" t="s">
        <v>158</v>
      </c>
      <c r="AG35" s="2">
        <v>43943.665138888893</v>
      </c>
      <c r="AH35" t="s">
        <v>158</v>
      </c>
    </row>
    <row r="36" spans="1:34" x14ac:dyDescent="0.25">
      <c r="A36">
        <v>162</v>
      </c>
      <c r="B36" s="36">
        <v>43943</v>
      </c>
      <c r="C36" s="24">
        <f t="shared" si="1"/>
        <v>43943.383958333347</v>
      </c>
      <c r="D36" t="s">
        <v>256</v>
      </c>
      <c r="E36">
        <v>1</v>
      </c>
      <c r="F36" t="s">
        <v>309</v>
      </c>
      <c r="G36" s="24">
        <f t="shared" si="2"/>
        <v>43943.383958333347</v>
      </c>
      <c r="H36" t="s">
        <v>31</v>
      </c>
      <c r="N36" t="s">
        <v>299</v>
      </c>
      <c r="AD36" t="s">
        <v>272</v>
      </c>
      <c r="AE36" s="2">
        <v>43943.675625000011</v>
      </c>
      <c r="AF36" t="s">
        <v>158</v>
      </c>
      <c r="AG36" s="2">
        <v>43943.675625000011</v>
      </c>
      <c r="AH36" t="s">
        <v>158</v>
      </c>
    </row>
    <row r="37" spans="1:34" x14ac:dyDescent="0.25">
      <c r="A37">
        <v>30</v>
      </c>
      <c r="B37" s="36">
        <v>43943</v>
      </c>
      <c r="C37" s="24">
        <f t="shared" si="1"/>
        <v>43943.360972222225</v>
      </c>
      <c r="D37" t="s">
        <v>92</v>
      </c>
      <c r="E37">
        <v>2</v>
      </c>
      <c r="F37" t="s">
        <v>309</v>
      </c>
      <c r="G37" s="24">
        <f t="shared" si="2"/>
        <v>43943.360972222225</v>
      </c>
      <c r="H37" t="s">
        <v>31</v>
      </c>
      <c r="I37" t="s">
        <v>74</v>
      </c>
      <c r="N37" t="s">
        <v>311</v>
      </c>
      <c r="AD37" t="s">
        <v>93</v>
      </c>
      <c r="AE37" s="2">
        <v>43943.652638888889</v>
      </c>
      <c r="AF37" t="s">
        <v>34</v>
      </c>
      <c r="AG37" s="2">
        <v>43943.652638888889</v>
      </c>
      <c r="AH37" t="s">
        <v>34</v>
      </c>
    </row>
    <row r="38" spans="1:34" x14ac:dyDescent="0.25">
      <c r="A38">
        <v>16</v>
      </c>
      <c r="B38" s="36">
        <v>43943</v>
      </c>
      <c r="C38" s="24">
        <f t="shared" si="1"/>
        <v>43943.341932870375</v>
      </c>
      <c r="D38" t="s">
        <v>69</v>
      </c>
      <c r="E38">
        <v>2</v>
      </c>
      <c r="F38" t="s">
        <v>309</v>
      </c>
      <c r="G38" s="24">
        <f t="shared" si="2"/>
        <v>43943.341932870375</v>
      </c>
      <c r="H38" t="s">
        <v>31</v>
      </c>
      <c r="I38" t="s">
        <v>50</v>
      </c>
      <c r="N38" t="s">
        <v>311</v>
      </c>
      <c r="AD38" t="s">
        <v>70</v>
      </c>
      <c r="AE38" s="2">
        <v>43943.633599537039</v>
      </c>
      <c r="AF38" t="s">
        <v>34</v>
      </c>
      <c r="AG38" s="2">
        <v>43943.633599537039</v>
      </c>
      <c r="AH38" t="s">
        <v>34</v>
      </c>
    </row>
    <row r="39" spans="1:34" x14ac:dyDescent="0.25">
      <c r="A39">
        <v>24</v>
      </c>
      <c r="B39" s="36">
        <v>43943</v>
      </c>
      <c r="C39" s="24">
        <f t="shared" si="1"/>
        <v>43943.348460648143</v>
      </c>
      <c r="D39" t="s">
        <v>69</v>
      </c>
      <c r="E39">
        <v>1</v>
      </c>
      <c r="F39" t="s">
        <v>309</v>
      </c>
      <c r="G39" s="24">
        <f t="shared" si="2"/>
        <v>43943.348460648143</v>
      </c>
      <c r="H39" t="s">
        <v>31</v>
      </c>
      <c r="I39" t="s">
        <v>50</v>
      </c>
      <c r="N39" t="s">
        <v>311</v>
      </c>
      <c r="AD39" t="s">
        <v>84</v>
      </c>
      <c r="AE39" s="2">
        <v>43943.640127314808</v>
      </c>
      <c r="AF39" t="s">
        <v>34</v>
      </c>
      <c r="AG39" s="2">
        <v>43943.640127314808</v>
      </c>
      <c r="AH39" t="s">
        <v>34</v>
      </c>
    </row>
    <row r="40" spans="1:34" x14ac:dyDescent="0.25">
      <c r="A40">
        <v>29</v>
      </c>
      <c r="B40" s="36">
        <v>43943</v>
      </c>
      <c r="C40" s="24">
        <f t="shared" si="1"/>
        <v>43943.357939814814</v>
      </c>
      <c r="D40" t="s">
        <v>69</v>
      </c>
      <c r="E40">
        <v>1</v>
      </c>
      <c r="F40" t="s">
        <v>309</v>
      </c>
      <c r="G40" s="24">
        <f t="shared" si="2"/>
        <v>43943.357939814814</v>
      </c>
      <c r="H40" t="s">
        <v>31</v>
      </c>
      <c r="I40" t="s">
        <v>50</v>
      </c>
      <c r="N40" t="s">
        <v>311</v>
      </c>
      <c r="AD40" t="s">
        <v>91</v>
      </c>
      <c r="AE40" s="2">
        <v>43943.649606481478</v>
      </c>
      <c r="AF40" t="s">
        <v>34</v>
      </c>
      <c r="AG40" s="2">
        <v>43943.649606481478</v>
      </c>
      <c r="AH40" t="s">
        <v>34</v>
      </c>
    </row>
    <row r="41" spans="1:34" x14ac:dyDescent="0.25">
      <c r="A41">
        <v>40</v>
      </c>
      <c r="B41" s="36">
        <v>43943</v>
      </c>
      <c r="C41" s="24">
        <f t="shared" si="1"/>
        <v>43943.377685185187</v>
      </c>
      <c r="D41" t="s">
        <v>69</v>
      </c>
      <c r="E41">
        <v>1</v>
      </c>
      <c r="F41" t="s">
        <v>309</v>
      </c>
      <c r="G41" s="24">
        <f t="shared" si="2"/>
        <v>43943.377685185187</v>
      </c>
      <c r="H41" t="s">
        <v>31</v>
      </c>
      <c r="I41" t="s">
        <v>57</v>
      </c>
      <c r="N41" t="s">
        <v>311</v>
      </c>
      <c r="AD41" t="s">
        <v>106</v>
      </c>
      <c r="AE41" s="2">
        <v>43943.669351851851</v>
      </c>
      <c r="AF41" t="s">
        <v>34</v>
      </c>
      <c r="AG41" s="2">
        <v>43943.669351851851</v>
      </c>
      <c r="AH41" t="s">
        <v>34</v>
      </c>
    </row>
    <row r="42" spans="1:34" x14ac:dyDescent="0.25">
      <c r="A42">
        <v>104</v>
      </c>
      <c r="B42" s="36">
        <v>43943</v>
      </c>
      <c r="C42" s="24">
        <f t="shared" si="1"/>
        <v>43943.337430555555</v>
      </c>
      <c r="D42" t="s">
        <v>126</v>
      </c>
      <c r="E42">
        <v>3</v>
      </c>
      <c r="F42" t="s">
        <v>309</v>
      </c>
      <c r="G42" s="24">
        <f t="shared" si="2"/>
        <v>43943.337430555555</v>
      </c>
      <c r="H42" t="s">
        <v>31</v>
      </c>
      <c r="I42" t="s">
        <v>65</v>
      </c>
      <c r="N42" t="s">
        <v>299</v>
      </c>
      <c r="AD42" t="s">
        <v>198</v>
      </c>
      <c r="AE42" s="2">
        <v>43943.62909722222</v>
      </c>
      <c r="AF42" t="s">
        <v>158</v>
      </c>
      <c r="AG42" s="2">
        <v>43943.62909722222</v>
      </c>
      <c r="AH42" t="s">
        <v>158</v>
      </c>
    </row>
    <row r="43" spans="1:34" x14ac:dyDescent="0.25">
      <c r="A43">
        <v>115</v>
      </c>
      <c r="B43" s="36">
        <v>43943</v>
      </c>
      <c r="C43" s="24">
        <f t="shared" si="1"/>
        <v>43943.342986111114</v>
      </c>
      <c r="D43" t="s">
        <v>126</v>
      </c>
      <c r="E43">
        <v>2</v>
      </c>
      <c r="F43" t="s">
        <v>309</v>
      </c>
      <c r="G43" s="24">
        <f t="shared" si="2"/>
        <v>43943.342986111114</v>
      </c>
      <c r="H43" t="s">
        <v>31</v>
      </c>
      <c r="I43" t="s">
        <v>65</v>
      </c>
      <c r="N43" t="s">
        <v>299</v>
      </c>
      <c r="AD43" t="s">
        <v>212</v>
      </c>
      <c r="AE43" s="2">
        <v>43943.634652777779</v>
      </c>
      <c r="AF43" t="s">
        <v>158</v>
      </c>
      <c r="AG43" s="2">
        <v>43943.634652777779</v>
      </c>
      <c r="AH43" t="s">
        <v>158</v>
      </c>
    </row>
    <row r="44" spans="1:34" x14ac:dyDescent="0.25">
      <c r="A44">
        <v>54</v>
      </c>
      <c r="B44" s="36">
        <v>43943</v>
      </c>
      <c r="C44" s="24">
        <f t="shared" si="1"/>
        <v>43943.387141203704</v>
      </c>
      <c r="D44" t="s">
        <v>126</v>
      </c>
      <c r="E44">
        <v>2</v>
      </c>
      <c r="F44" t="s">
        <v>309</v>
      </c>
      <c r="G44" s="24">
        <f t="shared" si="2"/>
        <v>43943.387141203704</v>
      </c>
      <c r="H44" t="s">
        <v>31</v>
      </c>
      <c r="I44" t="s">
        <v>65</v>
      </c>
      <c r="N44" t="s">
        <v>311</v>
      </c>
      <c r="AD44" t="s">
        <v>127</v>
      </c>
      <c r="AE44" s="2">
        <v>43943.678807870368</v>
      </c>
      <c r="AF44" t="s">
        <v>34</v>
      </c>
      <c r="AG44" s="2">
        <v>43943.678807870368</v>
      </c>
      <c r="AH44" t="s">
        <v>34</v>
      </c>
    </row>
    <row r="45" spans="1:34" x14ac:dyDescent="0.25">
      <c r="A45">
        <v>167</v>
      </c>
      <c r="B45" s="36">
        <v>43943</v>
      </c>
      <c r="C45" s="24">
        <f t="shared" si="1"/>
        <v>43943.388275462967</v>
      </c>
      <c r="D45" t="s">
        <v>126</v>
      </c>
      <c r="E45">
        <v>1</v>
      </c>
      <c r="F45" t="s">
        <v>309</v>
      </c>
      <c r="G45" s="24">
        <f t="shared" si="2"/>
        <v>43943.388275462967</v>
      </c>
      <c r="H45" t="s">
        <v>31</v>
      </c>
      <c r="N45" t="s">
        <v>299</v>
      </c>
      <c r="AD45" t="s">
        <v>278</v>
      </c>
      <c r="AE45" s="2">
        <v>43943.679942129631</v>
      </c>
      <c r="AF45" t="s">
        <v>158</v>
      </c>
      <c r="AG45" s="2">
        <v>43943.679942129631</v>
      </c>
      <c r="AH45" t="s">
        <v>158</v>
      </c>
    </row>
    <row r="46" spans="1:34" x14ac:dyDescent="0.25">
      <c r="A46">
        <v>75</v>
      </c>
      <c r="B46" s="36">
        <v>43943</v>
      </c>
      <c r="C46" s="24">
        <f t="shared" si="1"/>
        <v>43943.308009259279</v>
      </c>
      <c r="D46" t="s">
        <v>124</v>
      </c>
      <c r="E46">
        <v>1</v>
      </c>
      <c r="F46" t="s">
        <v>309</v>
      </c>
      <c r="G46" s="24">
        <f t="shared" si="2"/>
        <v>43943.308009259279</v>
      </c>
      <c r="H46" t="s">
        <v>31</v>
      </c>
      <c r="I46" t="s">
        <v>65</v>
      </c>
      <c r="N46" t="s">
        <v>299</v>
      </c>
      <c r="AD46" t="s">
        <v>159</v>
      </c>
      <c r="AE46" s="2">
        <v>43943.599675925943</v>
      </c>
      <c r="AF46" t="s">
        <v>158</v>
      </c>
      <c r="AG46" s="2">
        <v>43943.599675925943</v>
      </c>
      <c r="AH46" t="s">
        <v>158</v>
      </c>
    </row>
    <row r="47" spans="1:34" x14ac:dyDescent="0.25">
      <c r="A47">
        <v>53</v>
      </c>
      <c r="B47" s="36">
        <v>43943</v>
      </c>
      <c r="C47" s="24">
        <f t="shared" si="1"/>
        <v>43943.386956018512</v>
      </c>
      <c r="D47" t="s">
        <v>124</v>
      </c>
      <c r="E47">
        <v>1</v>
      </c>
      <c r="F47" t="s">
        <v>309</v>
      </c>
      <c r="G47" s="24">
        <f t="shared" si="2"/>
        <v>43943.386956018512</v>
      </c>
      <c r="H47" t="s">
        <v>31</v>
      </c>
      <c r="I47" t="s">
        <v>65</v>
      </c>
      <c r="L47" t="s">
        <v>314</v>
      </c>
      <c r="N47" t="s">
        <v>311</v>
      </c>
      <c r="AD47" t="s">
        <v>125</v>
      </c>
      <c r="AE47" s="2">
        <v>43943.678622685176</v>
      </c>
      <c r="AF47" t="s">
        <v>34</v>
      </c>
      <c r="AG47" s="2">
        <v>43943.678622685176</v>
      </c>
      <c r="AH47" t="s">
        <v>34</v>
      </c>
    </row>
    <row r="48" spans="1:34" x14ac:dyDescent="0.25">
      <c r="A48">
        <v>87</v>
      </c>
      <c r="B48" s="36">
        <v>43943</v>
      </c>
      <c r="C48" s="24">
        <f t="shared" si="1"/>
        <v>43943.321412037032</v>
      </c>
      <c r="D48" t="s">
        <v>56</v>
      </c>
      <c r="E48">
        <v>40</v>
      </c>
      <c r="F48" t="s">
        <v>309</v>
      </c>
      <c r="G48" s="24">
        <f t="shared" si="2"/>
        <v>43943.321412037032</v>
      </c>
      <c r="H48" t="s">
        <v>31</v>
      </c>
      <c r="I48" t="s">
        <v>57</v>
      </c>
      <c r="L48" t="s">
        <v>176</v>
      </c>
      <c r="N48" t="s">
        <v>299</v>
      </c>
      <c r="AD48" t="s">
        <v>177</v>
      </c>
      <c r="AE48" s="2">
        <v>43943.613078703696</v>
      </c>
      <c r="AF48" t="s">
        <v>158</v>
      </c>
      <c r="AG48" s="2">
        <v>43943.613078703696</v>
      </c>
      <c r="AH48" t="s">
        <v>158</v>
      </c>
    </row>
    <row r="49" spans="1:34" x14ac:dyDescent="0.25">
      <c r="A49">
        <v>11</v>
      </c>
      <c r="B49" s="36">
        <v>43943</v>
      </c>
      <c r="C49" s="24">
        <f t="shared" si="1"/>
        <v>43943.325613425928</v>
      </c>
      <c r="D49" t="s">
        <v>56</v>
      </c>
      <c r="E49">
        <v>15</v>
      </c>
      <c r="F49" t="s">
        <v>309</v>
      </c>
      <c r="G49" s="24">
        <f t="shared" si="2"/>
        <v>43943.325613425928</v>
      </c>
      <c r="H49" t="s">
        <v>31</v>
      </c>
      <c r="I49" t="s">
        <v>57</v>
      </c>
      <c r="N49" t="s">
        <v>311</v>
      </c>
      <c r="AD49" t="s">
        <v>58</v>
      </c>
      <c r="AE49" s="2">
        <v>43943.617280092592</v>
      </c>
      <c r="AF49" t="s">
        <v>34</v>
      </c>
      <c r="AG49" s="2">
        <v>43943.621018518519</v>
      </c>
      <c r="AH49" t="s">
        <v>34</v>
      </c>
    </row>
    <row r="50" spans="1:34" x14ac:dyDescent="0.25">
      <c r="A50">
        <v>98</v>
      </c>
      <c r="B50" s="36">
        <v>43943</v>
      </c>
      <c r="C50" s="24">
        <f t="shared" si="1"/>
        <v>43943.329641203709</v>
      </c>
      <c r="D50" t="s">
        <v>56</v>
      </c>
      <c r="E50">
        <v>1</v>
      </c>
      <c r="F50" t="s">
        <v>309</v>
      </c>
      <c r="G50" s="24">
        <f t="shared" si="2"/>
        <v>43943.329641203709</v>
      </c>
      <c r="H50" t="s">
        <v>102</v>
      </c>
      <c r="I50" t="s">
        <v>57</v>
      </c>
      <c r="L50" t="s">
        <v>312</v>
      </c>
      <c r="N50" t="s">
        <v>299</v>
      </c>
      <c r="AD50" t="s">
        <v>190</v>
      </c>
      <c r="AE50" s="2">
        <v>43943.621307870373</v>
      </c>
      <c r="AF50" t="s">
        <v>158</v>
      </c>
      <c r="AG50" s="2">
        <v>43943.621307870373</v>
      </c>
      <c r="AH50" t="s">
        <v>158</v>
      </c>
    </row>
    <row r="51" spans="1:34" x14ac:dyDescent="0.25">
      <c r="A51">
        <v>21</v>
      </c>
      <c r="B51" s="36">
        <v>43943</v>
      </c>
      <c r="C51" s="24">
        <f t="shared" si="1"/>
        <v>43943.344259259269</v>
      </c>
      <c r="D51" t="s">
        <v>56</v>
      </c>
      <c r="E51">
        <v>100</v>
      </c>
      <c r="F51" t="s">
        <v>309</v>
      </c>
      <c r="G51" s="24">
        <f t="shared" si="2"/>
        <v>43943.344259259269</v>
      </c>
      <c r="H51" t="s">
        <v>31</v>
      </c>
      <c r="I51" t="s">
        <v>57</v>
      </c>
      <c r="N51" t="s">
        <v>311</v>
      </c>
      <c r="AD51" t="s">
        <v>78</v>
      </c>
      <c r="AE51" s="2">
        <v>43943.635925925933</v>
      </c>
      <c r="AF51" t="s">
        <v>34</v>
      </c>
      <c r="AG51" s="2">
        <v>43943.635925925933</v>
      </c>
      <c r="AH51" t="s">
        <v>34</v>
      </c>
    </row>
    <row r="52" spans="1:34" x14ac:dyDescent="0.25">
      <c r="A52">
        <v>123</v>
      </c>
      <c r="B52" s="36">
        <v>43943</v>
      </c>
      <c r="C52" s="24">
        <f t="shared" si="1"/>
        <v>43943.348726851858</v>
      </c>
      <c r="D52" t="s">
        <v>56</v>
      </c>
      <c r="E52">
        <v>40</v>
      </c>
      <c r="F52" t="s">
        <v>309</v>
      </c>
      <c r="G52" s="24">
        <f t="shared" si="2"/>
        <v>43943.348726851858</v>
      </c>
      <c r="H52" t="s">
        <v>31</v>
      </c>
      <c r="I52" t="s">
        <v>224</v>
      </c>
      <c r="K52" t="s">
        <v>225</v>
      </c>
      <c r="L52" t="s">
        <v>226</v>
      </c>
      <c r="N52" t="s">
        <v>299</v>
      </c>
      <c r="AD52" t="s">
        <v>227</v>
      </c>
      <c r="AE52" s="2">
        <v>43943.640393518523</v>
      </c>
      <c r="AF52" t="s">
        <v>158</v>
      </c>
      <c r="AG52" s="2">
        <v>43943.641863425917</v>
      </c>
      <c r="AH52" t="s">
        <v>158</v>
      </c>
    </row>
    <row r="53" spans="1:34" x14ac:dyDescent="0.25">
      <c r="A53">
        <v>137</v>
      </c>
      <c r="B53" s="36">
        <v>43943</v>
      </c>
      <c r="C53" s="24">
        <f t="shared" si="1"/>
        <v>43943.365092592598</v>
      </c>
      <c r="D53" t="s">
        <v>56</v>
      </c>
      <c r="E53">
        <v>44</v>
      </c>
      <c r="F53" t="s">
        <v>309</v>
      </c>
      <c r="G53" s="24">
        <f t="shared" si="2"/>
        <v>43943.365092592598</v>
      </c>
      <c r="H53" t="s">
        <v>102</v>
      </c>
      <c r="I53" t="s">
        <v>162</v>
      </c>
      <c r="N53" t="s">
        <v>299</v>
      </c>
      <c r="AD53" t="s">
        <v>244</v>
      </c>
      <c r="AE53" s="2">
        <v>43943.656759259262</v>
      </c>
      <c r="AF53" t="s">
        <v>158</v>
      </c>
      <c r="AG53" s="2">
        <v>43943.656759259262</v>
      </c>
      <c r="AH53" t="s">
        <v>158</v>
      </c>
    </row>
    <row r="54" spans="1:34" x14ac:dyDescent="0.25">
      <c r="A54">
        <v>37</v>
      </c>
      <c r="B54" s="36">
        <v>43943</v>
      </c>
      <c r="C54" s="24">
        <f t="shared" si="1"/>
        <v>43943.374120370383</v>
      </c>
      <c r="D54" t="s">
        <v>56</v>
      </c>
      <c r="E54">
        <v>25</v>
      </c>
      <c r="F54" t="s">
        <v>309</v>
      </c>
      <c r="G54" s="24">
        <f t="shared" si="2"/>
        <v>43943.374120370383</v>
      </c>
      <c r="H54" t="s">
        <v>102</v>
      </c>
      <c r="I54" t="s">
        <v>57</v>
      </c>
      <c r="N54" t="s">
        <v>311</v>
      </c>
      <c r="AD54" t="s">
        <v>103</v>
      </c>
      <c r="AE54" s="2">
        <v>43943.665787037047</v>
      </c>
      <c r="AF54" t="s">
        <v>34</v>
      </c>
      <c r="AG54" s="2">
        <v>43943.665787037047</v>
      </c>
      <c r="AH54" t="s">
        <v>34</v>
      </c>
    </row>
    <row r="55" spans="1:34" x14ac:dyDescent="0.25">
      <c r="A55">
        <v>55</v>
      </c>
      <c r="B55" s="36">
        <v>43943</v>
      </c>
      <c r="C55" s="24">
        <f t="shared" si="1"/>
        <v>43943.387511574074</v>
      </c>
      <c r="D55" t="s">
        <v>56</v>
      </c>
      <c r="E55">
        <v>100</v>
      </c>
      <c r="F55" t="s">
        <v>309</v>
      </c>
      <c r="G55" s="24">
        <f t="shared" si="2"/>
        <v>43943.387511574074</v>
      </c>
      <c r="H55" t="s">
        <v>31</v>
      </c>
      <c r="I55" t="s">
        <v>57</v>
      </c>
      <c r="N55" t="s">
        <v>311</v>
      </c>
      <c r="AD55" t="s">
        <v>128</v>
      </c>
      <c r="AE55" s="2">
        <v>43943.679178240738</v>
      </c>
      <c r="AF55" t="s">
        <v>34</v>
      </c>
      <c r="AG55" s="2">
        <v>43943.679178240738</v>
      </c>
      <c r="AH55" t="s">
        <v>34</v>
      </c>
    </row>
    <row r="56" spans="1:34" x14ac:dyDescent="0.25">
      <c r="A56">
        <v>177</v>
      </c>
      <c r="B56" s="36">
        <v>43943</v>
      </c>
      <c r="C56" s="24">
        <f t="shared" si="1"/>
        <v>43943.399861111124</v>
      </c>
      <c r="D56" t="s">
        <v>56</v>
      </c>
      <c r="E56">
        <v>90</v>
      </c>
      <c r="F56" t="s">
        <v>309</v>
      </c>
      <c r="G56" s="24">
        <f t="shared" si="2"/>
        <v>43943.399861111124</v>
      </c>
      <c r="H56" t="s">
        <v>102</v>
      </c>
      <c r="I56" t="s">
        <v>162</v>
      </c>
      <c r="N56" t="s">
        <v>299</v>
      </c>
      <c r="AD56" t="s">
        <v>291</v>
      </c>
      <c r="AE56" s="2">
        <v>43943.691527777788</v>
      </c>
      <c r="AF56" t="s">
        <v>158</v>
      </c>
      <c r="AG56" s="2">
        <v>43943.698912037027</v>
      </c>
      <c r="AH56" t="s">
        <v>158</v>
      </c>
    </row>
    <row r="57" spans="1:34" x14ac:dyDescent="0.25">
      <c r="A57">
        <v>7</v>
      </c>
      <c r="B57" s="36">
        <v>43943</v>
      </c>
      <c r="C57" s="24">
        <f t="shared" si="1"/>
        <v>43943.320254629623</v>
      </c>
      <c r="D57" t="s">
        <v>46</v>
      </c>
      <c r="E57">
        <v>1</v>
      </c>
      <c r="F57" t="s">
        <v>309</v>
      </c>
      <c r="G57" s="24">
        <f t="shared" si="2"/>
        <v>43943.320254629623</v>
      </c>
      <c r="H57" t="s">
        <v>31</v>
      </c>
      <c r="I57" t="s">
        <v>47</v>
      </c>
      <c r="N57" t="s">
        <v>311</v>
      </c>
      <c r="AD57" t="s">
        <v>48</v>
      </c>
      <c r="AE57" s="2">
        <v>43943.611921296288</v>
      </c>
      <c r="AF57" t="s">
        <v>34</v>
      </c>
      <c r="AG57" s="2">
        <v>43943.611921296288</v>
      </c>
      <c r="AH57" t="s">
        <v>34</v>
      </c>
    </row>
    <row r="58" spans="1:34" x14ac:dyDescent="0.25">
      <c r="A58">
        <v>89</v>
      </c>
      <c r="B58" s="36">
        <v>43943</v>
      </c>
      <c r="C58" s="24">
        <f t="shared" si="1"/>
        <v>43943.321782407409</v>
      </c>
      <c r="D58" t="s">
        <v>46</v>
      </c>
      <c r="E58">
        <v>1</v>
      </c>
      <c r="F58" t="s">
        <v>309</v>
      </c>
      <c r="G58" s="24">
        <f t="shared" si="2"/>
        <v>43943.321782407409</v>
      </c>
      <c r="H58" t="s">
        <v>31</v>
      </c>
      <c r="I58" t="s">
        <v>47</v>
      </c>
      <c r="N58" t="s">
        <v>299</v>
      </c>
      <c r="AD58" t="s">
        <v>179</v>
      </c>
      <c r="AE58" s="2">
        <v>43943.613449074073</v>
      </c>
      <c r="AF58" t="s">
        <v>158</v>
      </c>
      <c r="AG58" s="2">
        <v>43943.613449074073</v>
      </c>
      <c r="AH58" t="s">
        <v>158</v>
      </c>
    </row>
    <row r="59" spans="1:34" x14ac:dyDescent="0.25">
      <c r="A59">
        <v>19</v>
      </c>
      <c r="B59" s="36">
        <v>43943</v>
      </c>
      <c r="C59" s="24">
        <f t="shared" si="1"/>
        <v>43943.343148148153</v>
      </c>
      <c r="D59" t="s">
        <v>46</v>
      </c>
      <c r="E59">
        <v>1</v>
      </c>
      <c r="F59" t="s">
        <v>309</v>
      </c>
      <c r="G59" s="24">
        <f t="shared" si="2"/>
        <v>43943.343148148153</v>
      </c>
      <c r="H59" t="s">
        <v>31</v>
      </c>
      <c r="I59" t="s">
        <v>74</v>
      </c>
      <c r="N59" t="s">
        <v>311</v>
      </c>
      <c r="AD59" t="s">
        <v>76</v>
      </c>
      <c r="AE59" s="2">
        <v>43943.634814814817</v>
      </c>
      <c r="AF59" t="s">
        <v>34</v>
      </c>
      <c r="AG59" s="2">
        <v>43943.634814814817</v>
      </c>
      <c r="AH59" t="s">
        <v>34</v>
      </c>
    </row>
    <row r="60" spans="1:34" x14ac:dyDescent="0.25">
      <c r="A60">
        <v>127</v>
      </c>
      <c r="B60" s="36">
        <v>43943</v>
      </c>
      <c r="C60" s="24">
        <f t="shared" si="1"/>
        <v>43943.353287037033</v>
      </c>
      <c r="D60" t="s">
        <v>46</v>
      </c>
      <c r="E60">
        <v>1</v>
      </c>
      <c r="F60" t="s">
        <v>309</v>
      </c>
      <c r="G60" s="24">
        <f t="shared" si="2"/>
        <v>43943.353287037033</v>
      </c>
      <c r="H60" t="s">
        <v>31</v>
      </c>
      <c r="I60" t="s">
        <v>47</v>
      </c>
      <c r="N60" t="s">
        <v>299</v>
      </c>
      <c r="AD60" t="s">
        <v>232</v>
      </c>
      <c r="AE60" s="2">
        <v>43943.644953703697</v>
      </c>
      <c r="AF60" t="s">
        <v>158</v>
      </c>
      <c r="AG60" s="2">
        <v>43943.644953703697</v>
      </c>
      <c r="AH60" t="s">
        <v>158</v>
      </c>
    </row>
    <row r="61" spans="1:34" x14ac:dyDescent="0.25">
      <c r="A61">
        <v>33</v>
      </c>
      <c r="B61" s="36">
        <v>43943</v>
      </c>
      <c r="C61" s="24">
        <f t="shared" si="1"/>
        <v>43943.364409722235</v>
      </c>
      <c r="D61" t="s">
        <v>46</v>
      </c>
      <c r="E61">
        <v>1</v>
      </c>
      <c r="F61" t="s">
        <v>309</v>
      </c>
      <c r="G61" s="24">
        <f t="shared" si="2"/>
        <v>43943.364409722235</v>
      </c>
      <c r="H61" t="s">
        <v>31</v>
      </c>
      <c r="I61" t="s">
        <v>50</v>
      </c>
      <c r="N61" t="s">
        <v>311</v>
      </c>
      <c r="AD61" t="s">
        <v>96</v>
      </c>
      <c r="AE61" s="2">
        <v>43943.656076388899</v>
      </c>
      <c r="AF61" t="s">
        <v>34</v>
      </c>
      <c r="AG61" s="2">
        <v>43943.656076388899</v>
      </c>
      <c r="AH61" t="s">
        <v>34</v>
      </c>
    </row>
    <row r="62" spans="1:34" x14ac:dyDescent="0.25">
      <c r="A62">
        <v>47</v>
      </c>
      <c r="B62" s="36">
        <v>43943</v>
      </c>
      <c r="C62" s="24">
        <f t="shared" si="1"/>
        <v>43943.382361111115</v>
      </c>
      <c r="D62" t="s">
        <v>46</v>
      </c>
      <c r="E62">
        <v>1</v>
      </c>
      <c r="F62" t="s">
        <v>309</v>
      </c>
      <c r="G62" s="24">
        <f t="shared" si="2"/>
        <v>43943.382361111115</v>
      </c>
      <c r="H62" t="s">
        <v>31</v>
      </c>
      <c r="I62" t="s">
        <v>74</v>
      </c>
      <c r="N62" t="s">
        <v>311</v>
      </c>
      <c r="AD62" t="s">
        <v>116</v>
      </c>
      <c r="AE62" s="2">
        <v>43943.674027777779</v>
      </c>
      <c r="AF62" t="s">
        <v>34</v>
      </c>
      <c r="AG62" s="2">
        <v>43943.674027777779</v>
      </c>
      <c r="AH62" t="s">
        <v>34</v>
      </c>
    </row>
    <row r="63" spans="1:34" x14ac:dyDescent="0.25">
      <c r="A63">
        <v>52</v>
      </c>
      <c r="B63" s="36">
        <v>43943</v>
      </c>
      <c r="C63" s="24">
        <f t="shared" si="1"/>
        <v>43943.385949074087</v>
      </c>
      <c r="D63" t="s">
        <v>46</v>
      </c>
      <c r="E63">
        <v>1</v>
      </c>
      <c r="F63" t="s">
        <v>309</v>
      </c>
      <c r="G63" s="24">
        <f t="shared" si="2"/>
        <v>43943.385949074087</v>
      </c>
      <c r="H63" t="s">
        <v>31</v>
      </c>
      <c r="I63" t="s">
        <v>74</v>
      </c>
      <c r="N63" t="s">
        <v>311</v>
      </c>
      <c r="AD63" t="s">
        <v>123</v>
      </c>
      <c r="AE63" s="2">
        <v>43943.677615740751</v>
      </c>
      <c r="AF63" t="s">
        <v>34</v>
      </c>
      <c r="AG63" s="2">
        <v>43943.677615740751</v>
      </c>
      <c r="AH63" t="s">
        <v>34</v>
      </c>
    </row>
    <row r="64" spans="1:34" x14ac:dyDescent="0.25">
      <c r="A64">
        <v>56</v>
      </c>
      <c r="B64" s="36">
        <v>43943</v>
      </c>
      <c r="C64" s="24">
        <f t="shared" si="1"/>
        <v>43943.389062500013</v>
      </c>
      <c r="D64" t="s">
        <v>46</v>
      </c>
      <c r="E64">
        <v>1</v>
      </c>
      <c r="F64" t="s">
        <v>309</v>
      </c>
      <c r="G64" s="24">
        <f t="shared" si="2"/>
        <v>43943.389062500013</v>
      </c>
      <c r="H64" t="s">
        <v>31</v>
      </c>
      <c r="I64" t="s">
        <v>74</v>
      </c>
      <c r="N64" t="s">
        <v>311</v>
      </c>
      <c r="AD64" t="s">
        <v>129</v>
      </c>
      <c r="AE64" s="2">
        <v>43943.680729166677</v>
      </c>
      <c r="AF64" t="s">
        <v>34</v>
      </c>
      <c r="AG64" s="2">
        <v>43943.680729166677</v>
      </c>
      <c r="AH64" t="s">
        <v>34</v>
      </c>
    </row>
    <row r="65" spans="1:34" x14ac:dyDescent="0.25">
      <c r="A65">
        <v>59</v>
      </c>
      <c r="B65" s="36">
        <v>43943</v>
      </c>
      <c r="C65" s="24">
        <f t="shared" si="1"/>
        <v>43943.390763888892</v>
      </c>
      <c r="D65" t="s">
        <v>46</v>
      </c>
      <c r="E65">
        <v>2</v>
      </c>
      <c r="F65" t="s">
        <v>309</v>
      </c>
      <c r="G65" s="24">
        <f t="shared" si="2"/>
        <v>43943.390763888892</v>
      </c>
      <c r="H65" t="s">
        <v>31</v>
      </c>
      <c r="I65" t="s">
        <v>74</v>
      </c>
      <c r="N65" t="s">
        <v>311</v>
      </c>
      <c r="AD65" t="s">
        <v>132</v>
      </c>
      <c r="AE65" s="2">
        <v>43943.682430555556</v>
      </c>
      <c r="AF65" t="s">
        <v>34</v>
      </c>
      <c r="AG65" s="2">
        <v>43943.682430555556</v>
      </c>
      <c r="AH65" t="s">
        <v>34</v>
      </c>
    </row>
    <row r="66" spans="1:34" x14ac:dyDescent="0.25">
      <c r="A66">
        <v>85</v>
      </c>
      <c r="B66" s="36">
        <v>43943</v>
      </c>
      <c r="C66" s="24">
        <f t="shared" si="1"/>
        <v>43943.320879629639</v>
      </c>
      <c r="D66" t="s">
        <v>172</v>
      </c>
      <c r="E66">
        <v>1</v>
      </c>
      <c r="F66" t="s">
        <v>309</v>
      </c>
      <c r="G66" s="24">
        <f t="shared" ref="G66:G97" si="3">AE66-(7/24)</f>
        <v>43943.320879629639</v>
      </c>
      <c r="H66" t="s">
        <v>102</v>
      </c>
      <c r="I66" t="s">
        <v>57</v>
      </c>
      <c r="L66" t="s">
        <v>312</v>
      </c>
      <c r="N66" t="s">
        <v>299</v>
      </c>
      <c r="AD66" t="s">
        <v>173</v>
      </c>
      <c r="AE66" s="2">
        <v>43943.612546296303</v>
      </c>
      <c r="AF66" t="s">
        <v>158</v>
      </c>
      <c r="AG66" s="2">
        <v>43943.612546296303</v>
      </c>
      <c r="AH66" t="s">
        <v>158</v>
      </c>
    </row>
    <row r="67" spans="1:34" x14ac:dyDescent="0.25">
      <c r="A67">
        <v>135</v>
      </c>
      <c r="B67" s="36">
        <v>43943</v>
      </c>
      <c r="C67" s="24">
        <f t="shared" ref="C67:C130" si="4">AE67-(7/24)</f>
        <v>43943.363055555557</v>
      </c>
      <c r="D67" t="s">
        <v>172</v>
      </c>
      <c r="E67">
        <v>2</v>
      </c>
      <c r="F67" t="s">
        <v>309</v>
      </c>
      <c r="G67" s="24">
        <f t="shared" si="3"/>
        <v>43943.363055555557</v>
      </c>
      <c r="H67" t="s">
        <v>31</v>
      </c>
      <c r="I67" t="s">
        <v>50</v>
      </c>
      <c r="K67" t="s">
        <v>81</v>
      </c>
      <c r="L67" t="s">
        <v>241</v>
      </c>
      <c r="N67" t="s">
        <v>299</v>
      </c>
      <c r="AD67" t="s">
        <v>242</v>
      </c>
      <c r="AE67" s="2">
        <v>43943.654722222222</v>
      </c>
      <c r="AF67" t="s">
        <v>158</v>
      </c>
      <c r="AG67" s="2">
        <v>43943.663784722223</v>
      </c>
      <c r="AH67" t="s">
        <v>158</v>
      </c>
    </row>
    <row r="68" spans="1:34" x14ac:dyDescent="0.25">
      <c r="A68">
        <v>176</v>
      </c>
      <c r="B68" s="36">
        <v>43943</v>
      </c>
      <c r="C68" s="24">
        <f t="shared" si="4"/>
        <v>43943.399270833346</v>
      </c>
      <c r="D68" t="s">
        <v>172</v>
      </c>
      <c r="E68">
        <v>1</v>
      </c>
      <c r="F68" t="s">
        <v>309</v>
      </c>
      <c r="G68" s="24">
        <f t="shared" si="3"/>
        <v>43943.399270833346</v>
      </c>
      <c r="H68" t="s">
        <v>102</v>
      </c>
      <c r="I68" t="s">
        <v>57</v>
      </c>
      <c r="L68" t="s">
        <v>312</v>
      </c>
      <c r="N68" t="s">
        <v>299</v>
      </c>
      <c r="AD68" t="s">
        <v>290</v>
      </c>
      <c r="AE68" s="2">
        <v>43943.69093750001</v>
      </c>
      <c r="AF68" t="s">
        <v>158</v>
      </c>
      <c r="AG68" s="2">
        <v>43943.69093750001</v>
      </c>
      <c r="AH68" t="s">
        <v>158</v>
      </c>
    </row>
    <row r="69" spans="1:34" x14ac:dyDescent="0.25">
      <c r="A69">
        <v>62</v>
      </c>
      <c r="B69" s="36">
        <v>43943</v>
      </c>
      <c r="C69" s="24">
        <f t="shared" si="4"/>
        <v>43943.391643518538</v>
      </c>
      <c r="D69" t="s">
        <v>136</v>
      </c>
      <c r="E69">
        <v>1</v>
      </c>
      <c r="F69" t="s">
        <v>309</v>
      </c>
      <c r="G69" s="24">
        <f t="shared" si="3"/>
        <v>43943.391643518538</v>
      </c>
      <c r="H69" t="s">
        <v>31</v>
      </c>
      <c r="I69" t="s">
        <v>50</v>
      </c>
      <c r="N69" t="s">
        <v>311</v>
      </c>
      <c r="AD69" t="s">
        <v>137</v>
      </c>
      <c r="AE69" s="2">
        <v>43943.683310185203</v>
      </c>
      <c r="AF69" t="s">
        <v>34</v>
      </c>
      <c r="AG69" s="2">
        <v>43943.683310185203</v>
      </c>
      <c r="AH69" t="s">
        <v>34</v>
      </c>
    </row>
    <row r="70" spans="1:34" x14ac:dyDescent="0.25">
      <c r="A70">
        <v>119</v>
      </c>
      <c r="B70" s="36">
        <v>43943</v>
      </c>
      <c r="C70" s="24">
        <f t="shared" si="4"/>
        <v>43943.345844907402</v>
      </c>
      <c r="D70" t="s">
        <v>218</v>
      </c>
      <c r="E70">
        <v>2</v>
      </c>
      <c r="F70" t="s">
        <v>309</v>
      </c>
      <c r="G70" s="24">
        <f t="shared" si="3"/>
        <v>43943.345844907402</v>
      </c>
      <c r="H70" t="s">
        <v>31</v>
      </c>
      <c r="I70" t="s">
        <v>57</v>
      </c>
      <c r="N70" t="s">
        <v>299</v>
      </c>
      <c r="AD70" t="s">
        <v>219</v>
      </c>
      <c r="AE70" s="2">
        <v>43943.637511574067</v>
      </c>
      <c r="AF70" t="s">
        <v>158</v>
      </c>
      <c r="AG70" s="2">
        <v>43943.637511574067</v>
      </c>
      <c r="AH70" t="s">
        <v>158</v>
      </c>
    </row>
    <row r="71" spans="1:34" x14ac:dyDescent="0.25">
      <c r="A71">
        <v>12</v>
      </c>
      <c r="B71" s="36">
        <v>43943</v>
      </c>
      <c r="C71" s="24">
        <f t="shared" si="4"/>
        <v>43943.334872685198</v>
      </c>
      <c r="D71" t="s">
        <v>59</v>
      </c>
      <c r="E71">
        <v>10</v>
      </c>
      <c r="F71" t="s">
        <v>309</v>
      </c>
      <c r="G71" s="24">
        <f t="shared" si="3"/>
        <v>43943.334872685198</v>
      </c>
      <c r="H71" t="s">
        <v>31</v>
      </c>
      <c r="I71" t="s">
        <v>60</v>
      </c>
      <c r="N71" t="s">
        <v>311</v>
      </c>
      <c r="AD71" t="s">
        <v>61</v>
      </c>
      <c r="AE71" s="2">
        <v>43943.626539351862</v>
      </c>
      <c r="AF71" t="s">
        <v>34</v>
      </c>
      <c r="AG71" s="2">
        <v>43943.630740740751</v>
      </c>
      <c r="AH71" t="s">
        <v>34</v>
      </c>
    </row>
    <row r="72" spans="1:34" x14ac:dyDescent="0.25">
      <c r="A72">
        <v>18</v>
      </c>
      <c r="B72" s="36">
        <v>43943</v>
      </c>
      <c r="C72" s="24">
        <f t="shared" si="4"/>
        <v>43943.342974537038</v>
      </c>
      <c r="D72" t="s">
        <v>59</v>
      </c>
      <c r="E72">
        <v>5</v>
      </c>
      <c r="F72" t="s">
        <v>309</v>
      </c>
      <c r="G72" s="24">
        <f t="shared" si="3"/>
        <v>43943.342974537038</v>
      </c>
      <c r="H72" t="s">
        <v>31</v>
      </c>
      <c r="I72" t="s">
        <v>74</v>
      </c>
      <c r="N72" t="s">
        <v>311</v>
      </c>
      <c r="AD72" t="s">
        <v>75</v>
      </c>
      <c r="AE72" s="2">
        <v>43943.634641203702</v>
      </c>
      <c r="AF72" t="s">
        <v>34</v>
      </c>
      <c r="AG72" s="2">
        <v>43943.634641203702</v>
      </c>
      <c r="AH72" t="s">
        <v>34</v>
      </c>
    </row>
    <row r="73" spans="1:34" x14ac:dyDescent="0.25">
      <c r="A73">
        <v>38</v>
      </c>
      <c r="B73" s="36">
        <v>43943</v>
      </c>
      <c r="C73" s="24">
        <f t="shared" si="4"/>
        <v>43943.376400462963</v>
      </c>
      <c r="D73" t="s">
        <v>59</v>
      </c>
      <c r="E73">
        <v>1</v>
      </c>
      <c r="F73" t="s">
        <v>309</v>
      </c>
      <c r="G73" s="24">
        <f t="shared" si="3"/>
        <v>43943.376400462963</v>
      </c>
      <c r="H73" t="s">
        <v>31</v>
      </c>
      <c r="I73" t="s">
        <v>50</v>
      </c>
      <c r="N73" t="s">
        <v>311</v>
      </c>
      <c r="AD73" t="s">
        <v>104</v>
      </c>
      <c r="AE73" s="2">
        <v>43943.668067129627</v>
      </c>
      <c r="AF73" t="s">
        <v>34</v>
      </c>
      <c r="AG73" s="2">
        <v>43943.668067129627</v>
      </c>
      <c r="AH73" t="s">
        <v>34</v>
      </c>
    </row>
    <row r="74" spans="1:34" x14ac:dyDescent="0.25">
      <c r="A74">
        <v>45</v>
      </c>
      <c r="B74" s="36">
        <v>43943</v>
      </c>
      <c r="C74" s="24">
        <f t="shared" si="4"/>
        <v>43943.380358796298</v>
      </c>
      <c r="D74" t="s">
        <v>59</v>
      </c>
      <c r="E74">
        <v>2</v>
      </c>
      <c r="F74" t="s">
        <v>309</v>
      </c>
      <c r="G74" s="24">
        <f t="shared" si="3"/>
        <v>43943.380358796298</v>
      </c>
      <c r="H74" t="s">
        <v>31</v>
      </c>
      <c r="I74" t="s">
        <v>60</v>
      </c>
      <c r="N74" t="s">
        <v>311</v>
      </c>
      <c r="AD74" t="s">
        <v>114</v>
      </c>
      <c r="AE74" s="2">
        <v>43943.672025462962</v>
      </c>
      <c r="AF74" t="s">
        <v>34</v>
      </c>
      <c r="AG74" s="2">
        <v>43943.672025462962</v>
      </c>
      <c r="AH74" t="s">
        <v>34</v>
      </c>
    </row>
    <row r="75" spans="1:34" x14ac:dyDescent="0.25">
      <c r="A75">
        <v>66</v>
      </c>
      <c r="B75" s="36">
        <v>43943</v>
      </c>
      <c r="C75" s="24">
        <f t="shared" si="4"/>
        <v>43943.398368055568</v>
      </c>
      <c r="D75" t="s">
        <v>59</v>
      </c>
      <c r="E75">
        <v>10</v>
      </c>
      <c r="F75" t="s">
        <v>309</v>
      </c>
      <c r="G75" s="24">
        <f t="shared" si="3"/>
        <v>43943.398368055568</v>
      </c>
      <c r="H75" t="s">
        <v>31</v>
      </c>
      <c r="I75" t="s">
        <v>50</v>
      </c>
      <c r="N75" t="s">
        <v>311</v>
      </c>
      <c r="AD75" t="s">
        <v>144</v>
      </c>
      <c r="AE75" s="2">
        <v>43943.690034722233</v>
      </c>
      <c r="AF75" t="s">
        <v>34</v>
      </c>
      <c r="AG75" s="2">
        <v>43943.690034722233</v>
      </c>
      <c r="AH75" t="s">
        <v>34</v>
      </c>
    </row>
    <row r="76" spans="1:34" x14ac:dyDescent="0.25">
      <c r="A76">
        <v>175</v>
      </c>
      <c r="B76" s="36">
        <v>43943</v>
      </c>
      <c r="C76" s="24">
        <f t="shared" si="4"/>
        <v>43943.398483796293</v>
      </c>
      <c r="D76" t="s">
        <v>59</v>
      </c>
      <c r="E76">
        <v>11</v>
      </c>
      <c r="F76" t="s">
        <v>309</v>
      </c>
      <c r="G76" s="24">
        <f t="shared" si="3"/>
        <v>43943.398483796293</v>
      </c>
      <c r="H76" t="s">
        <v>102</v>
      </c>
      <c r="I76" t="s">
        <v>57</v>
      </c>
      <c r="N76" t="s">
        <v>299</v>
      </c>
      <c r="AD76" t="s">
        <v>289</v>
      </c>
      <c r="AE76" s="2">
        <v>43943.690150462957</v>
      </c>
      <c r="AF76" t="s">
        <v>158</v>
      </c>
      <c r="AG76" s="2">
        <v>43943.690150462957</v>
      </c>
      <c r="AH76" t="s">
        <v>158</v>
      </c>
    </row>
    <row r="77" spans="1:34" x14ac:dyDescent="0.25">
      <c r="A77">
        <v>82</v>
      </c>
      <c r="B77" s="36">
        <v>43943</v>
      </c>
      <c r="C77" s="24">
        <f t="shared" si="4"/>
        <v>43943.316701388889</v>
      </c>
      <c r="D77" t="s">
        <v>64</v>
      </c>
      <c r="E77">
        <v>4</v>
      </c>
      <c r="F77" t="s">
        <v>309</v>
      </c>
      <c r="G77" s="24">
        <f t="shared" si="3"/>
        <v>43943.316701388889</v>
      </c>
      <c r="H77" t="s">
        <v>31</v>
      </c>
      <c r="I77" t="s">
        <v>65</v>
      </c>
      <c r="N77" t="s">
        <v>299</v>
      </c>
      <c r="AD77" t="s">
        <v>168</v>
      </c>
      <c r="AE77" s="2">
        <v>43943.608368055553</v>
      </c>
      <c r="AF77" t="s">
        <v>158</v>
      </c>
      <c r="AG77" s="2">
        <v>43943.608368055553</v>
      </c>
      <c r="AH77" t="s">
        <v>158</v>
      </c>
    </row>
    <row r="78" spans="1:34" x14ac:dyDescent="0.25">
      <c r="A78">
        <v>84</v>
      </c>
      <c r="B78" s="36">
        <v>43943</v>
      </c>
      <c r="C78" s="24">
        <f t="shared" si="4"/>
        <v>43943.319328703707</v>
      </c>
      <c r="D78" t="s">
        <v>64</v>
      </c>
      <c r="E78">
        <v>2</v>
      </c>
      <c r="F78" t="s">
        <v>309</v>
      </c>
      <c r="G78" s="24">
        <f t="shared" si="3"/>
        <v>43943.319328703707</v>
      </c>
      <c r="H78" t="s">
        <v>31</v>
      </c>
      <c r="I78" t="s">
        <v>65</v>
      </c>
      <c r="N78" t="s">
        <v>299</v>
      </c>
      <c r="AD78" t="s">
        <v>171</v>
      </c>
      <c r="AE78" s="2">
        <v>43943.610995370371</v>
      </c>
      <c r="AF78" t="s">
        <v>158</v>
      </c>
      <c r="AG78" s="2">
        <v>43943.610995370371</v>
      </c>
      <c r="AH78" t="s">
        <v>158</v>
      </c>
    </row>
    <row r="79" spans="1:34" x14ac:dyDescent="0.25">
      <c r="A79">
        <v>14</v>
      </c>
      <c r="B79" s="36">
        <v>43943</v>
      </c>
      <c r="C79" s="24">
        <f t="shared" si="4"/>
        <v>43943.338854166679</v>
      </c>
      <c r="D79" t="s">
        <v>64</v>
      </c>
      <c r="E79">
        <v>3</v>
      </c>
      <c r="F79" t="s">
        <v>309</v>
      </c>
      <c r="G79" s="24">
        <f t="shared" si="3"/>
        <v>43943.338854166679</v>
      </c>
      <c r="H79" t="s">
        <v>31</v>
      </c>
      <c r="I79" t="s">
        <v>65</v>
      </c>
      <c r="N79" t="s">
        <v>311</v>
      </c>
      <c r="AD79" t="s">
        <v>66</v>
      </c>
      <c r="AE79" s="2">
        <v>43943.630520833343</v>
      </c>
      <c r="AF79" t="s">
        <v>34</v>
      </c>
      <c r="AG79" s="2">
        <v>43943.630520833343</v>
      </c>
      <c r="AH79" t="s">
        <v>34</v>
      </c>
    </row>
    <row r="80" spans="1:34" x14ac:dyDescent="0.25">
      <c r="A80">
        <v>179</v>
      </c>
      <c r="B80" s="36">
        <v>43943</v>
      </c>
      <c r="C80" s="24">
        <f t="shared" si="4"/>
        <v>43943.400879629633</v>
      </c>
      <c r="D80" t="s">
        <v>64</v>
      </c>
      <c r="E80">
        <v>2</v>
      </c>
      <c r="F80" t="s">
        <v>309</v>
      </c>
      <c r="G80" s="24">
        <f t="shared" si="3"/>
        <v>43943.400879629633</v>
      </c>
      <c r="H80" t="s">
        <v>31</v>
      </c>
      <c r="I80" t="s">
        <v>65</v>
      </c>
      <c r="N80" t="s">
        <v>299</v>
      </c>
      <c r="AD80" t="s">
        <v>293</v>
      </c>
      <c r="AE80" s="2">
        <v>43943.692546296297</v>
      </c>
      <c r="AF80" t="s">
        <v>158</v>
      </c>
      <c r="AG80" s="2">
        <v>43943.692546296297</v>
      </c>
      <c r="AH80" t="s">
        <v>158</v>
      </c>
    </row>
    <row r="81" spans="1:34" x14ac:dyDescent="0.25">
      <c r="A81">
        <v>86</v>
      </c>
      <c r="B81" s="36">
        <v>43943</v>
      </c>
      <c r="C81" s="24">
        <f t="shared" si="4"/>
        <v>43943.321053240754</v>
      </c>
      <c r="D81" t="s">
        <v>174</v>
      </c>
      <c r="E81">
        <v>1</v>
      </c>
      <c r="F81" t="s">
        <v>309</v>
      </c>
      <c r="G81" s="24">
        <f t="shared" si="3"/>
        <v>43943.321053240754</v>
      </c>
      <c r="H81" t="s">
        <v>31</v>
      </c>
      <c r="I81" t="s">
        <v>57</v>
      </c>
      <c r="N81" t="s">
        <v>299</v>
      </c>
      <c r="AD81" t="s">
        <v>175</v>
      </c>
      <c r="AE81" s="2">
        <v>43943.612719907418</v>
      </c>
      <c r="AF81" t="s">
        <v>158</v>
      </c>
      <c r="AG81" s="2">
        <v>43943.612719907418</v>
      </c>
      <c r="AH81" t="s">
        <v>158</v>
      </c>
    </row>
    <row r="82" spans="1:34" x14ac:dyDescent="0.25">
      <c r="A82">
        <v>182</v>
      </c>
      <c r="B82" s="36">
        <v>43943</v>
      </c>
      <c r="C82" s="24">
        <f t="shared" si="4"/>
        <v>43943.403425925928</v>
      </c>
      <c r="D82" t="s">
        <v>174</v>
      </c>
      <c r="E82">
        <v>1</v>
      </c>
      <c r="F82" t="s">
        <v>309</v>
      </c>
      <c r="G82" s="24">
        <f t="shared" si="3"/>
        <v>43943.403425925928</v>
      </c>
      <c r="H82" t="s">
        <v>31</v>
      </c>
      <c r="I82" t="s">
        <v>57</v>
      </c>
      <c r="N82" t="s">
        <v>299</v>
      </c>
      <c r="AD82" t="s">
        <v>296</v>
      </c>
      <c r="AE82" s="2">
        <v>43943.695092592592</v>
      </c>
      <c r="AF82" t="s">
        <v>158</v>
      </c>
      <c r="AG82" s="2">
        <v>43943.695092592592</v>
      </c>
      <c r="AH82" t="s">
        <v>158</v>
      </c>
    </row>
    <row r="83" spans="1:34" x14ac:dyDescent="0.25">
      <c r="A83">
        <v>108</v>
      </c>
      <c r="B83" s="36">
        <v>43943</v>
      </c>
      <c r="C83" s="24">
        <f t="shared" si="4"/>
        <v>43943.339606481473</v>
      </c>
      <c r="D83" t="s">
        <v>120</v>
      </c>
      <c r="E83">
        <v>1</v>
      </c>
      <c r="F83" t="s">
        <v>309</v>
      </c>
      <c r="G83" s="24">
        <f t="shared" si="3"/>
        <v>43943.339606481473</v>
      </c>
      <c r="H83" t="s">
        <v>31</v>
      </c>
      <c r="I83" t="s">
        <v>74</v>
      </c>
      <c r="N83" t="s">
        <v>299</v>
      </c>
      <c r="AD83" t="s">
        <v>203</v>
      </c>
      <c r="AE83" s="2">
        <v>43943.631273148138</v>
      </c>
      <c r="AF83" t="s">
        <v>158</v>
      </c>
      <c r="AG83" s="2">
        <v>43943.631273148138</v>
      </c>
      <c r="AH83" t="s">
        <v>158</v>
      </c>
    </row>
    <row r="84" spans="1:34" x14ac:dyDescent="0.25">
      <c r="A84">
        <v>138</v>
      </c>
      <c r="B84" s="36">
        <v>43943</v>
      </c>
      <c r="C84" s="24">
        <f t="shared" si="4"/>
        <v>43943.365300925929</v>
      </c>
      <c r="D84" t="s">
        <v>120</v>
      </c>
      <c r="E84">
        <v>3</v>
      </c>
      <c r="F84" t="s">
        <v>309</v>
      </c>
      <c r="G84" s="24">
        <f t="shared" si="3"/>
        <v>43943.365300925929</v>
      </c>
      <c r="H84" t="s">
        <v>31</v>
      </c>
      <c r="I84" t="s">
        <v>57</v>
      </c>
      <c r="N84" t="s">
        <v>299</v>
      </c>
      <c r="AD84" t="s">
        <v>245</v>
      </c>
      <c r="AE84" s="2">
        <v>43943.656967592593</v>
      </c>
      <c r="AF84" t="s">
        <v>158</v>
      </c>
      <c r="AG84" s="2">
        <v>43943.656967592593</v>
      </c>
      <c r="AH84" t="s">
        <v>158</v>
      </c>
    </row>
    <row r="85" spans="1:34" x14ac:dyDescent="0.25">
      <c r="A85">
        <v>50</v>
      </c>
      <c r="B85" s="36">
        <v>43943</v>
      </c>
      <c r="C85" s="24">
        <f t="shared" si="4"/>
        <v>43943.385173611103</v>
      </c>
      <c r="D85" t="s">
        <v>120</v>
      </c>
      <c r="E85">
        <v>1</v>
      </c>
      <c r="F85" t="s">
        <v>309</v>
      </c>
      <c r="G85" s="24">
        <f t="shared" si="3"/>
        <v>43943.385173611103</v>
      </c>
      <c r="H85" t="s">
        <v>31</v>
      </c>
      <c r="I85" t="s">
        <v>79</v>
      </c>
      <c r="N85" t="s">
        <v>311</v>
      </c>
      <c r="AD85" t="s">
        <v>121</v>
      </c>
      <c r="AE85" s="2">
        <v>43943.676840277767</v>
      </c>
      <c r="AF85" t="s">
        <v>34</v>
      </c>
      <c r="AG85" s="2">
        <v>43943.676840277767</v>
      </c>
      <c r="AH85" t="s">
        <v>34</v>
      </c>
    </row>
    <row r="86" spans="1:34" x14ac:dyDescent="0.25">
      <c r="A86">
        <v>126</v>
      </c>
      <c r="B86" s="36">
        <v>43943</v>
      </c>
      <c r="C86" s="24">
        <f t="shared" si="4"/>
        <v>43943.353101851855</v>
      </c>
      <c r="D86" t="s">
        <v>230</v>
      </c>
      <c r="E86">
        <v>1</v>
      </c>
      <c r="F86" t="s">
        <v>309</v>
      </c>
      <c r="G86" s="24">
        <f t="shared" si="3"/>
        <v>43943.353101851855</v>
      </c>
      <c r="H86" t="s">
        <v>31</v>
      </c>
      <c r="I86" t="s">
        <v>57</v>
      </c>
      <c r="N86" t="s">
        <v>299</v>
      </c>
      <c r="AD86" t="s">
        <v>231</v>
      </c>
      <c r="AE86" s="2">
        <v>43943.644768518519</v>
      </c>
      <c r="AF86" t="s">
        <v>158</v>
      </c>
      <c r="AG86" s="2">
        <v>43943.644768518519</v>
      </c>
      <c r="AH86" t="s">
        <v>158</v>
      </c>
    </row>
    <row r="87" spans="1:34" x14ac:dyDescent="0.25">
      <c r="A87">
        <v>118</v>
      </c>
      <c r="B87" s="36">
        <v>43943</v>
      </c>
      <c r="C87" s="24">
        <f t="shared" si="4"/>
        <v>43943.345682870378</v>
      </c>
      <c r="D87" t="s">
        <v>216</v>
      </c>
      <c r="E87">
        <v>1</v>
      </c>
      <c r="F87" t="s">
        <v>309</v>
      </c>
      <c r="G87" s="24">
        <f t="shared" si="3"/>
        <v>43943.345682870378</v>
      </c>
      <c r="H87" t="s">
        <v>31</v>
      </c>
      <c r="I87" t="s">
        <v>50</v>
      </c>
      <c r="N87" t="s">
        <v>299</v>
      </c>
      <c r="AD87" t="s">
        <v>217</v>
      </c>
      <c r="AE87" s="2">
        <v>43943.637349537043</v>
      </c>
      <c r="AF87" t="s">
        <v>158</v>
      </c>
      <c r="AG87" s="2">
        <v>43943.637349537043</v>
      </c>
      <c r="AH87" t="s">
        <v>158</v>
      </c>
    </row>
    <row r="88" spans="1:34" x14ac:dyDescent="0.25">
      <c r="A88">
        <v>111</v>
      </c>
      <c r="B88" s="36">
        <v>43943</v>
      </c>
      <c r="C88" s="24">
        <f t="shared" si="4"/>
        <v>43943.340821759259</v>
      </c>
      <c r="D88" t="s">
        <v>100</v>
      </c>
      <c r="E88">
        <v>3</v>
      </c>
      <c r="F88" t="s">
        <v>309</v>
      </c>
      <c r="G88" s="24">
        <f t="shared" si="3"/>
        <v>43943.340821759259</v>
      </c>
      <c r="H88" t="s">
        <v>31</v>
      </c>
      <c r="I88" t="s">
        <v>50</v>
      </c>
      <c r="N88" t="s">
        <v>299</v>
      </c>
      <c r="AD88" t="s">
        <v>206</v>
      </c>
      <c r="AE88" s="2">
        <v>43943.632488425923</v>
      </c>
      <c r="AF88" t="s">
        <v>158</v>
      </c>
      <c r="AG88" s="2">
        <v>43943.632488425923</v>
      </c>
      <c r="AH88" t="s">
        <v>158</v>
      </c>
    </row>
    <row r="89" spans="1:34" x14ac:dyDescent="0.25">
      <c r="A89">
        <v>122</v>
      </c>
      <c r="B89" s="36">
        <v>43943</v>
      </c>
      <c r="C89" s="24">
        <f t="shared" si="4"/>
        <v>43943.347905092596</v>
      </c>
      <c r="D89" t="s">
        <v>100</v>
      </c>
      <c r="E89">
        <v>1</v>
      </c>
      <c r="F89" t="s">
        <v>309</v>
      </c>
      <c r="G89" s="24">
        <f t="shared" si="3"/>
        <v>43943.347905092596</v>
      </c>
      <c r="H89" t="s">
        <v>31</v>
      </c>
      <c r="I89" t="s">
        <v>50</v>
      </c>
      <c r="N89" t="s">
        <v>299</v>
      </c>
      <c r="AD89" t="s">
        <v>223</v>
      </c>
      <c r="AE89" s="2">
        <v>43943.63957175926</v>
      </c>
      <c r="AF89" t="s">
        <v>158</v>
      </c>
      <c r="AG89" s="2">
        <v>43943.63957175926</v>
      </c>
      <c r="AH89" t="s">
        <v>158</v>
      </c>
    </row>
    <row r="90" spans="1:34" x14ac:dyDescent="0.25">
      <c r="A90">
        <v>132</v>
      </c>
      <c r="B90" s="36">
        <v>43943</v>
      </c>
      <c r="C90" s="24">
        <f t="shared" si="4"/>
        <v>43943.358726851853</v>
      </c>
      <c r="D90" t="s">
        <v>100</v>
      </c>
      <c r="E90">
        <v>1</v>
      </c>
      <c r="F90" t="s">
        <v>309</v>
      </c>
      <c r="G90" s="24">
        <f t="shared" si="3"/>
        <v>43943.358726851853</v>
      </c>
      <c r="H90" t="s">
        <v>31</v>
      </c>
      <c r="I90" t="s">
        <v>47</v>
      </c>
      <c r="N90" t="s">
        <v>299</v>
      </c>
      <c r="AD90" t="s">
        <v>237</v>
      </c>
      <c r="AE90" s="2">
        <v>43943.650393518517</v>
      </c>
      <c r="AF90" t="s">
        <v>158</v>
      </c>
      <c r="AG90" s="2">
        <v>43943.650393518517</v>
      </c>
      <c r="AH90" t="s">
        <v>158</v>
      </c>
    </row>
    <row r="91" spans="1:34" x14ac:dyDescent="0.25">
      <c r="A91">
        <v>36</v>
      </c>
      <c r="B91" s="36">
        <v>43943</v>
      </c>
      <c r="C91" s="24">
        <f t="shared" si="4"/>
        <v>43943.373807870375</v>
      </c>
      <c r="D91" t="s">
        <v>100</v>
      </c>
      <c r="E91">
        <v>2</v>
      </c>
      <c r="F91" t="s">
        <v>309</v>
      </c>
      <c r="G91" s="24">
        <f t="shared" si="3"/>
        <v>43943.373807870375</v>
      </c>
      <c r="H91" t="s">
        <v>31</v>
      </c>
      <c r="I91" t="s">
        <v>72</v>
      </c>
      <c r="N91" t="s">
        <v>311</v>
      </c>
      <c r="AD91" t="s">
        <v>101</v>
      </c>
      <c r="AE91" s="2">
        <v>43943.66547453704</v>
      </c>
      <c r="AF91" t="s">
        <v>34</v>
      </c>
      <c r="AG91" s="2">
        <v>43943.66547453704</v>
      </c>
      <c r="AH91" t="s">
        <v>34</v>
      </c>
    </row>
    <row r="92" spans="1:34" x14ac:dyDescent="0.25">
      <c r="A92">
        <v>157</v>
      </c>
      <c r="B92" s="36">
        <v>43943</v>
      </c>
      <c r="C92" s="24">
        <f t="shared" si="4"/>
        <v>43943.379097222227</v>
      </c>
      <c r="D92" t="s">
        <v>100</v>
      </c>
      <c r="E92">
        <v>2</v>
      </c>
      <c r="F92" t="s">
        <v>309</v>
      </c>
      <c r="G92" s="24">
        <f t="shared" si="3"/>
        <v>43943.379097222227</v>
      </c>
      <c r="H92" t="s">
        <v>31</v>
      </c>
      <c r="I92" t="s">
        <v>57</v>
      </c>
      <c r="N92" t="s">
        <v>299</v>
      </c>
      <c r="AD92" t="s">
        <v>267</v>
      </c>
      <c r="AE92" s="2">
        <v>43943.670763888891</v>
      </c>
      <c r="AF92" t="s">
        <v>158</v>
      </c>
      <c r="AG92" s="2">
        <v>43943.670763888891</v>
      </c>
      <c r="AH92" t="s">
        <v>158</v>
      </c>
    </row>
    <row r="93" spans="1:34" x14ac:dyDescent="0.25">
      <c r="A93">
        <v>49</v>
      </c>
      <c r="B93" s="36">
        <v>43943</v>
      </c>
      <c r="C93" s="24">
        <f t="shared" si="4"/>
        <v>43943.384699074079</v>
      </c>
      <c r="D93" t="s">
        <v>100</v>
      </c>
      <c r="E93">
        <v>2</v>
      </c>
      <c r="F93" t="s">
        <v>309</v>
      </c>
      <c r="G93" s="24">
        <f t="shared" si="3"/>
        <v>43943.384699074079</v>
      </c>
      <c r="H93" t="s">
        <v>31</v>
      </c>
      <c r="I93" t="s">
        <v>47</v>
      </c>
      <c r="N93" t="s">
        <v>311</v>
      </c>
      <c r="AD93" t="s">
        <v>119</v>
      </c>
      <c r="AE93" s="2">
        <v>43943.676365740743</v>
      </c>
      <c r="AF93" t="s">
        <v>34</v>
      </c>
      <c r="AG93" s="2">
        <v>43943.676365740743</v>
      </c>
      <c r="AH93" t="s">
        <v>34</v>
      </c>
    </row>
    <row r="94" spans="1:34" x14ac:dyDescent="0.25">
      <c r="A94">
        <v>51</v>
      </c>
      <c r="B94" s="36">
        <v>43943</v>
      </c>
      <c r="C94" s="24">
        <f t="shared" si="4"/>
        <v>43943.385763888902</v>
      </c>
      <c r="D94" t="s">
        <v>100</v>
      </c>
      <c r="E94">
        <v>2</v>
      </c>
      <c r="F94" t="s">
        <v>309</v>
      </c>
      <c r="G94" s="24">
        <f t="shared" si="3"/>
        <v>43943.385763888902</v>
      </c>
      <c r="H94" t="s">
        <v>31</v>
      </c>
      <c r="I94" t="s">
        <v>47</v>
      </c>
      <c r="N94" t="s">
        <v>311</v>
      </c>
      <c r="AD94" t="s">
        <v>122</v>
      </c>
      <c r="AE94" s="2">
        <v>43943.677430555566</v>
      </c>
      <c r="AF94" t="s">
        <v>34</v>
      </c>
      <c r="AG94" s="2">
        <v>43943.677430555566</v>
      </c>
      <c r="AH94" t="s">
        <v>34</v>
      </c>
    </row>
    <row r="95" spans="1:34" x14ac:dyDescent="0.25">
      <c r="A95">
        <v>165</v>
      </c>
      <c r="B95" s="36">
        <v>43943</v>
      </c>
      <c r="C95" s="24">
        <f t="shared" si="4"/>
        <v>43943.386076388888</v>
      </c>
      <c r="D95" t="s">
        <v>100</v>
      </c>
      <c r="E95">
        <v>5</v>
      </c>
      <c r="F95" t="s">
        <v>309</v>
      </c>
      <c r="G95" s="24">
        <f t="shared" si="3"/>
        <v>43943.386076388888</v>
      </c>
      <c r="H95" t="s">
        <v>31</v>
      </c>
      <c r="I95" t="s">
        <v>47</v>
      </c>
      <c r="N95" t="s">
        <v>299</v>
      </c>
      <c r="AD95" t="s">
        <v>275</v>
      </c>
      <c r="AE95" s="2">
        <v>43943.677743055552</v>
      </c>
      <c r="AF95" t="s">
        <v>158</v>
      </c>
      <c r="AG95" s="2">
        <v>43943.677743055552</v>
      </c>
      <c r="AH95" t="s">
        <v>158</v>
      </c>
    </row>
    <row r="96" spans="1:34" x14ac:dyDescent="0.25">
      <c r="A96">
        <v>58</v>
      </c>
      <c r="B96" s="36">
        <v>43943</v>
      </c>
      <c r="C96" s="24">
        <f t="shared" si="4"/>
        <v>43943.390324074076</v>
      </c>
      <c r="D96" t="s">
        <v>100</v>
      </c>
      <c r="E96">
        <v>2</v>
      </c>
      <c r="F96" t="s">
        <v>309</v>
      </c>
      <c r="G96" s="24">
        <f t="shared" si="3"/>
        <v>43943.390324074076</v>
      </c>
      <c r="H96" t="s">
        <v>31</v>
      </c>
      <c r="I96" t="s">
        <v>74</v>
      </c>
      <c r="N96" t="s">
        <v>311</v>
      </c>
      <c r="AD96" t="s">
        <v>131</v>
      </c>
      <c r="AE96" s="2">
        <v>43943.681990740741</v>
      </c>
      <c r="AF96" t="s">
        <v>34</v>
      </c>
      <c r="AG96" s="2">
        <v>43943.681990740741</v>
      </c>
      <c r="AH96" t="s">
        <v>34</v>
      </c>
    </row>
    <row r="97" spans="1:34" x14ac:dyDescent="0.25">
      <c r="A97">
        <v>130</v>
      </c>
      <c r="B97" s="36">
        <v>43943</v>
      </c>
      <c r="C97" s="24">
        <f t="shared" si="4"/>
        <v>43943.358298611114</v>
      </c>
      <c r="D97" t="s">
        <v>107</v>
      </c>
      <c r="E97">
        <v>2</v>
      </c>
      <c r="F97" t="s">
        <v>309</v>
      </c>
      <c r="G97" s="24">
        <f t="shared" si="3"/>
        <v>43943.358298611114</v>
      </c>
      <c r="H97" t="s">
        <v>31</v>
      </c>
      <c r="I97" t="s">
        <v>44</v>
      </c>
      <c r="N97" t="s">
        <v>299</v>
      </c>
      <c r="AD97" t="s">
        <v>235</v>
      </c>
      <c r="AE97" s="2">
        <v>43943.649965277778</v>
      </c>
      <c r="AF97" t="s">
        <v>158</v>
      </c>
      <c r="AG97" s="2">
        <v>43943.650520833333</v>
      </c>
      <c r="AH97" t="s">
        <v>158</v>
      </c>
    </row>
    <row r="98" spans="1:34" x14ac:dyDescent="0.25">
      <c r="A98">
        <v>41</v>
      </c>
      <c r="B98" s="36">
        <v>43943</v>
      </c>
      <c r="C98" s="24">
        <f t="shared" si="4"/>
        <v>43943.379074074073</v>
      </c>
      <c r="D98" t="s">
        <v>107</v>
      </c>
      <c r="E98">
        <v>2</v>
      </c>
      <c r="F98" t="s">
        <v>309</v>
      </c>
      <c r="G98" s="24">
        <f t="shared" ref="G98:G129" si="5">AE98-(7/24)</f>
        <v>43943.379074074073</v>
      </c>
      <c r="H98" t="s">
        <v>31</v>
      </c>
      <c r="I98" t="s">
        <v>74</v>
      </c>
      <c r="N98" t="s">
        <v>311</v>
      </c>
      <c r="AD98" t="s">
        <v>108</v>
      </c>
      <c r="AE98" s="2">
        <v>43943.670740740738</v>
      </c>
      <c r="AF98" t="s">
        <v>34</v>
      </c>
      <c r="AG98" s="2">
        <v>43943.670740740738</v>
      </c>
      <c r="AH98" t="s">
        <v>34</v>
      </c>
    </row>
    <row r="99" spans="1:34" x14ac:dyDescent="0.25">
      <c r="A99">
        <v>174</v>
      </c>
      <c r="B99" s="36">
        <v>43943</v>
      </c>
      <c r="C99" s="24">
        <f t="shared" si="4"/>
        <v>43943.394953703704</v>
      </c>
      <c r="D99" t="s">
        <v>107</v>
      </c>
      <c r="E99">
        <v>4</v>
      </c>
      <c r="F99" t="s">
        <v>309</v>
      </c>
      <c r="G99" s="24">
        <f t="shared" si="5"/>
        <v>43943.394953703704</v>
      </c>
      <c r="H99" t="s">
        <v>31</v>
      </c>
      <c r="I99" t="s">
        <v>47</v>
      </c>
      <c r="N99" t="s">
        <v>299</v>
      </c>
      <c r="AD99" t="s">
        <v>288</v>
      </c>
      <c r="AE99" s="2">
        <v>43943.686620370368</v>
      </c>
      <c r="AF99" t="s">
        <v>158</v>
      </c>
      <c r="AG99" s="2">
        <v>43943.689131944448</v>
      </c>
      <c r="AH99" t="s">
        <v>158</v>
      </c>
    </row>
    <row r="100" spans="1:34" x14ac:dyDescent="0.25">
      <c r="A100">
        <v>5</v>
      </c>
      <c r="B100" s="36">
        <v>43943</v>
      </c>
      <c r="C100" s="24">
        <f t="shared" si="4"/>
        <v>43943.311701388899</v>
      </c>
      <c r="D100" t="s">
        <v>41</v>
      </c>
      <c r="E100">
        <v>8</v>
      </c>
      <c r="F100" t="s">
        <v>309</v>
      </c>
      <c r="G100" s="24">
        <f t="shared" si="5"/>
        <v>43943.311701388899</v>
      </c>
      <c r="H100" t="s">
        <v>31</v>
      </c>
      <c r="I100" t="s">
        <v>32</v>
      </c>
      <c r="N100" t="s">
        <v>311</v>
      </c>
      <c r="AD100" t="s">
        <v>42</v>
      </c>
      <c r="AE100" s="2">
        <v>43943.603368055563</v>
      </c>
      <c r="AF100" t="s">
        <v>34</v>
      </c>
      <c r="AG100" s="2">
        <v>43943.603368055563</v>
      </c>
      <c r="AH100" t="s">
        <v>34</v>
      </c>
    </row>
    <row r="101" spans="1:34" x14ac:dyDescent="0.25">
      <c r="A101">
        <v>94</v>
      </c>
      <c r="B101" s="36">
        <v>43943</v>
      </c>
      <c r="C101" s="24">
        <f t="shared" si="4"/>
        <v>43943.327766203707</v>
      </c>
      <c r="D101" t="s">
        <v>41</v>
      </c>
      <c r="E101">
        <v>1</v>
      </c>
      <c r="F101" t="s">
        <v>309</v>
      </c>
      <c r="G101" s="24">
        <f t="shared" si="5"/>
        <v>43943.327766203707</v>
      </c>
      <c r="H101" t="s">
        <v>31</v>
      </c>
      <c r="I101" t="s">
        <v>162</v>
      </c>
      <c r="N101" t="s">
        <v>299</v>
      </c>
      <c r="AD101" t="s">
        <v>185</v>
      </c>
      <c r="AE101" s="2">
        <v>43943.619432870371</v>
      </c>
      <c r="AF101" t="s">
        <v>158</v>
      </c>
      <c r="AG101" s="2">
        <v>43943.619432870371</v>
      </c>
      <c r="AH101" t="s">
        <v>158</v>
      </c>
    </row>
    <row r="102" spans="1:34" x14ac:dyDescent="0.25">
      <c r="A102">
        <v>20</v>
      </c>
      <c r="B102" s="36">
        <v>43943</v>
      </c>
      <c r="C102" s="24">
        <f t="shared" si="4"/>
        <v>43943.343807870369</v>
      </c>
      <c r="D102" t="s">
        <v>41</v>
      </c>
      <c r="E102">
        <v>2</v>
      </c>
      <c r="F102" t="s">
        <v>309</v>
      </c>
      <c r="G102" s="24">
        <f t="shared" si="5"/>
        <v>43943.343807870369</v>
      </c>
      <c r="H102" t="s">
        <v>31</v>
      </c>
      <c r="I102" t="s">
        <v>32</v>
      </c>
      <c r="N102" t="s">
        <v>311</v>
      </c>
      <c r="AD102" t="s">
        <v>77</v>
      </c>
      <c r="AE102" s="2">
        <v>43943.635474537034</v>
      </c>
      <c r="AF102" t="s">
        <v>34</v>
      </c>
      <c r="AG102" s="2">
        <v>43943.635474537034</v>
      </c>
      <c r="AH102" t="s">
        <v>34</v>
      </c>
    </row>
    <row r="103" spans="1:34" x14ac:dyDescent="0.25">
      <c r="A103">
        <v>23</v>
      </c>
      <c r="B103" s="36">
        <v>43943</v>
      </c>
      <c r="C103" s="24">
        <f t="shared" si="4"/>
        <v>43943.347013888888</v>
      </c>
      <c r="D103" t="s">
        <v>41</v>
      </c>
      <c r="E103">
        <v>2</v>
      </c>
      <c r="F103" t="s">
        <v>309</v>
      </c>
      <c r="G103" s="24">
        <f t="shared" si="5"/>
        <v>43943.347013888888</v>
      </c>
      <c r="H103" t="s">
        <v>31</v>
      </c>
      <c r="I103" t="s">
        <v>74</v>
      </c>
      <c r="K103" t="s">
        <v>81</v>
      </c>
      <c r="L103" t="s">
        <v>82</v>
      </c>
      <c r="N103" t="s">
        <v>311</v>
      </c>
      <c r="AD103" t="s">
        <v>83</v>
      </c>
      <c r="AE103" s="2">
        <v>43943.638680555552</v>
      </c>
      <c r="AF103" t="s">
        <v>34</v>
      </c>
      <c r="AG103" s="2">
        <v>43943.638680555552</v>
      </c>
      <c r="AH103" t="s">
        <v>34</v>
      </c>
    </row>
    <row r="104" spans="1:34" x14ac:dyDescent="0.25">
      <c r="A104">
        <v>26</v>
      </c>
      <c r="B104" s="36">
        <v>43943</v>
      </c>
      <c r="C104" s="24">
        <f t="shared" si="4"/>
        <v>43943.351145833338</v>
      </c>
      <c r="D104" t="s">
        <v>41</v>
      </c>
      <c r="E104">
        <v>2</v>
      </c>
      <c r="F104" t="s">
        <v>309</v>
      </c>
      <c r="G104" s="24">
        <f t="shared" si="5"/>
        <v>43943.351145833338</v>
      </c>
      <c r="H104" t="s">
        <v>31</v>
      </c>
      <c r="I104" t="s">
        <v>79</v>
      </c>
      <c r="N104" t="s">
        <v>311</v>
      </c>
      <c r="AD104" t="s">
        <v>86</v>
      </c>
      <c r="AE104" s="2">
        <v>43943.642812500002</v>
      </c>
      <c r="AF104" t="s">
        <v>34</v>
      </c>
      <c r="AG104" s="2">
        <v>43943.642812500002</v>
      </c>
      <c r="AH104" t="s">
        <v>34</v>
      </c>
    </row>
    <row r="105" spans="1:34" x14ac:dyDescent="0.25">
      <c r="A105">
        <v>39</v>
      </c>
      <c r="B105" s="36">
        <v>43943</v>
      </c>
      <c r="C105" s="24">
        <f t="shared" si="4"/>
        <v>43943.377326388909</v>
      </c>
      <c r="D105" t="s">
        <v>41</v>
      </c>
      <c r="E105">
        <v>2</v>
      </c>
      <c r="F105" t="s">
        <v>309</v>
      </c>
      <c r="G105" s="24">
        <f t="shared" si="5"/>
        <v>43943.377326388909</v>
      </c>
      <c r="H105" t="s">
        <v>31</v>
      </c>
      <c r="I105" t="s">
        <v>32</v>
      </c>
      <c r="N105" t="s">
        <v>311</v>
      </c>
      <c r="AD105" t="s">
        <v>105</v>
      </c>
      <c r="AE105" s="2">
        <v>43943.668993055573</v>
      </c>
      <c r="AF105" t="s">
        <v>34</v>
      </c>
      <c r="AG105" s="2">
        <v>43943.668993055573</v>
      </c>
      <c r="AH105" t="s">
        <v>34</v>
      </c>
    </row>
    <row r="106" spans="1:34" x14ac:dyDescent="0.25">
      <c r="A106">
        <v>155</v>
      </c>
      <c r="B106" s="36">
        <v>43943</v>
      </c>
      <c r="C106" s="24">
        <f t="shared" si="4"/>
        <v>43943.377858796295</v>
      </c>
      <c r="D106" t="s">
        <v>41</v>
      </c>
      <c r="E106">
        <v>2</v>
      </c>
      <c r="F106" t="s">
        <v>309</v>
      </c>
      <c r="G106" s="24">
        <f t="shared" si="5"/>
        <v>43943.377858796295</v>
      </c>
      <c r="H106" t="s">
        <v>102</v>
      </c>
      <c r="I106" t="s">
        <v>162</v>
      </c>
      <c r="N106" t="s">
        <v>299</v>
      </c>
      <c r="AD106" t="s">
        <v>265</v>
      </c>
      <c r="AE106" s="2">
        <v>43943.669525462959</v>
      </c>
      <c r="AF106" t="s">
        <v>158</v>
      </c>
      <c r="AG106" s="2">
        <v>43943.669525462959</v>
      </c>
      <c r="AH106" t="s">
        <v>158</v>
      </c>
    </row>
    <row r="107" spans="1:34" x14ac:dyDescent="0.25">
      <c r="A107">
        <v>8</v>
      </c>
      <c r="B107" s="36">
        <v>43943</v>
      </c>
      <c r="C107" s="24">
        <f t="shared" si="4"/>
        <v>43943.322349537033</v>
      </c>
      <c r="D107" t="s">
        <v>49</v>
      </c>
      <c r="E107">
        <v>1</v>
      </c>
      <c r="F107" t="s">
        <v>309</v>
      </c>
      <c r="G107" s="24">
        <f t="shared" si="5"/>
        <v>43943.322349537033</v>
      </c>
      <c r="H107" t="s">
        <v>31</v>
      </c>
      <c r="I107" t="s">
        <v>50</v>
      </c>
      <c r="N107" t="s">
        <v>311</v>
      </c>
      <c r="AD107" t="s">
        <v>51</v>
      </c>
      <c r="AE107" s="2">
        <v>43943.614016203697</v>
      </c>
      <c r="AF107" t="s">
        <v>34</v>
      </c>
      <c r="AG107" s="2">
        <v>43943.614016203697</v>
      </c>
      <c r="AH107" t="s">
        <v>34</v>
      </c>
    </row>
    <row r="108" spans="1:34" x14ac:dyDescent="0.25">
      <c r="A108">
        <v>27</v>
      </c>
      <c r="B108" s="36">
        <v>43943</v>
      </c>
      <c r="C108" s="24">
        <f t="shared" si="4"/>
        <v>43943.356944444444</v>
      </c>
      <c r="D108" t="s">
        <v>49</v>
      </c>
      <c r="E108">
        <v>2</v>
      </c>
      <c r="F108" t="s">
        <v>309</v>
      </c>
      <c r="G108" s="24">
        <f t="shared" si="5"/>
        <v>43943.356944444444</v>
      </c>
      <c r="H108" t="s">
        <v>31</v>
      </c>
      <c r="I108" t="s">
        <v>72</v>
      </c>
      <c r="K108" t="s">
        <v>87</v>
      </c>
      <c r="N108" t="s">
        <v>311</v>
      </c>
      <c r="AD108" t="s">
        <v>88</v>
      </c>
      <c r="AE108" s="2">
        <v>43943.648611111108</v>
      </c>
      <c r="AF108" t="s">
        <v>34</v>
      </c>
      <c r="AG108" s="2">
        <v>43943.648611111108</v>
      </c>
      <c r="AH108" t="s">
        <v>34</v>
      </c>
    </row>
    <row r="109" spans="1:34" x14ac:dyDescent="0.25">
      <c r="A109">
        <v>1</v>
      </c>
      <c r="B109" s="36">
        <v>43943</v>
      </c>
      <c r="C109" s="24">
        <f t="shared" si="4"/>
        <v>43943.310173611113</v>
      </c>
      <c r="D109" t="s">
        <v>30</v>
      </c>
      <c r="E109">
        <v>30</v>
      </c>
      <c r="F109" t="s">
        <v>309</v>
      </c>
      <c r="G109" s="24">
        <f t="shared" si="5"/>
        <v>43943.310173611113</v>
      </c>
      <c r="H109" t="s">
        <v>31</v>
      </c>
      <c r="I109" t="s">
        <v>32</v>
      </c>
      <c r="L109" t="s">
        <v>318</v>
      </c>
      <c r="N109" t="s">
        <v>311</v>
      </c>
      <c r="AD109" t="s">
        <v>33</v>
      </c>
      <c r="AE109" s="2">
        <v>43943.601840277777</v>
      </c>
      <c r="AF109" t="s">
        <v>34</v>
      </c>
      <c r="AG109" s="2">
        <v>43943.601840277777</v>
      </c>
      <c r="AH109" t="s">
        <v>34</v>
      </c>
    </row>
    <row r="110" spans="1:34" x14ac:dyDescent="0.25">
      <c r="A110">
        <v>78</v>
      </c>
      <c r="B110" s="36">
        <v>43943</v>
      </c>
      <c r="C110" s="24">
        <f t="shared" si="4"/>
        <v>43943.311574074076</v>
      </c>
      <c r="D110" t="s">
        <v>30</v>
      </c>
      <c r="E110">
        <v>3</v>
      </c>
      <c r="F110" t="s">
        <v>309</v>
      </c>
      <c r="G110" s="24">
        <f t="shared" si="5"/>
        <v>43943.311574074076</v>
      </c>
      <c r="H110" t="s">
        <v>31</v>
      </c>
      <c r="I110" t="s">
        <v>162</v>
      </c>
      <c r="N110" t="s">
        <v>299</v>
      </c>
      <c r="AD110" t="s">
        <v>164</v>
      </c>
      <c r="AE110" s="2">
        <v>43943.60324074074</v>
      </c>
      <c r="AF110" t="s">
        <v>158</v>
      </c>
      <c r="AG110" s="2">
        <v>43943.60324074074</v>
      </c>
      <c r="AH110" t="s">
        <v>158</v>
      </c>
    </row>
    <row r="111" spans="1:34" x14ac:dyDescent="0.25">
      <c r="A111">
        <v>81</v>
      </c>
      <c r="B111" s="36">
        <v>43943</v>
      </c>
      <c r="C111" s="24">
        <f t="shared" si="4"/>
        <v>43943.313240740754</v>
      </c>
      <c r="D111" t="s">
        <v>30</v>
      </c>
      <c r="E111">
        <v>2</v>
      </c>
      <c r="F111" t="s">
        <v>309</v>
      </c>
      <c r="G111" s="24">
        <f t="shared" si="5"/>
        <v>43943.313240740754</v>
      </c>
      <c r="H111" t="s">
        <v>31</v>
      </c>
      <c r="I111" t="s">
        <v>79</v>
      </c>
      <c r="N111" t="s">
        <v>299</v>
      </c>
      <c r="AD111" t="s">
        <v>167</v>
      </c>
      <c r="AE111" s="2">
        <v>43943.604907407418</v>
      </c>
      <c r="AF111" t="s">
        <v>158</v>
      </c>
      <c r="AG111" s="2">
        <v>43943.604907407418</v>
      </c>
      <c r="AH111" t="s">
        <v>158</v>
      </c>
    </row>
    <row r="112" spans="1:34" x14ac:dyDescent="0.25">
      <c r="A112">
        <v>100</v>
      </c>
      <c r="B112" s="36">
        <v>43943</v>
      </c>
      <c r="C112" s="24">
        <f t="shared" si="4"/>
        <v>43943.334791666668</v>
      </c>
      <c r="D112" t="s">
        <v>30</v>
      </c>
      <c r="E112">
        <v>2</v>
      </c>
      <c r="F112" t="s">
        <v>309</v>
      </c>
      <c r="G112" s="24">
        <f t="shared" si="5"/>
        <v>43943.334791666668</v>
      </c>
      <c r="H112" t="s">
        <v>31</v>
      </c>
      <c r="I112" t="s">
        <v>162</v>
      </c>
      <c r="N112" t="s">
        <v>299</v>
      </c>
      <c r="AD112" t="s">
        <v>193</v>
      </c>
      <c r="AE112" s="2">
        <v>43943.626458333332</v>
      </c>
      <c r="AF112" t="s">
        <v>158</v>
      </c>
      <c r="AG112" s="2">
        <v>43943.626458333332</v>
      </c>
      <c r="AH112" t="s">
        <v>158</v>
      </c>
    </row>
    <row r="113" spans="1:34" x14ac:dyDescent="0.25">
      <c r="A113">
        <v>22</v>
      </c>
      <c r="B113" s="36">
        <v>43943</v>
      </c>
      <c r="C113" s="24">
        <f t="shared" si="4"/>
        <v>43943.345520833333</v>
      </c>
      <c r="D113" t="s">
        <v>30</v>
      </c>
      <c r="E113">
        <v>1</v>
      </c>
      <c r="F113" t="s">
        <v>309</v>
      </c>
      <c r="G113" s="24">
        <f t="shared" si="5"/>
        <v>43943.345520833333</v>
      </c>
      <c r="H113" t="s">
        <v>31</v>
      </c>
      <c r="I113" t="s">
        <v>79</v>
      </c>
      <c r="N113" t="s">
        <v>311</v>
      </c>
      <c r="AD113" t="s">
        <v>80</v>
      </c>
      <c r="AE113" s="2">
        <v>43943.637187499997</v>
      </c>
      <c r="AF113" t="s">
        <v>34</v>
      </c>
      <c r="AG113" s="2">
        <v>43943.637187499997</v>
      </c>
      <c r="AH113" t="s">
        <v>34</v>
      </c>
    </row>
    <row r="114" spans="1:34" x14ac:dyDescent="0.25">
      <c r="A114">
        <v>25</v>
      </c>
      <c r="B114" s="36">
        <v>43943</v>
      </c>
      <c r="C114" s="24">
        <f t="shared" si="4"/>
        <v>43943.350983796299</v>
      </c>
      <c r="D114" t="s">
        <v>30</v>
      </c>
      <c r="E114">
        <v>1</v>
      </c>
      <c r="F114" t="s">
        <v>309</v>
      </c>
      <c r="G114" s="24">
        <f t="shared" si="5"/>
        <v>43943.350983796299</v>
      </c>
      <c r="H114" t="s">
        <v>31</v>
      </c>
      <c r="I114" t="s">
        <v>79</v>
      </c>
      <c r="N114" t="s">
        <v>311</v>
      </c>
      <c r="AD114" t="s">
        <v>85</v>
      </c>
      <c r="AE114" s="2">
        <v>43943.642650462964</v>
      </c>
      <c r="AF114" t="s">
        <v>34</v>
      </c>
      <c r="AG114" s="2">
        <v>43943.642650462964</v>
      </c>
      <c r="AH114" t="s">
        <v>34</v>
      </c>
    </row>
    <row r="115" spans="1:34" x14ac:dyDescent="0.25">
      <c r="A115">
        <v>161</v>
      </c>
      <c r="B115" s="36">
        <v>43943</v>
      </c>
      <c r="C115" s="24">
        <f t="shared" si="4"/>
        <v>43943.382083333338</v>
      </c>
      <c r="D115" t="s">
        <v>30</v>
      </c>
      <c r="E115">
        <v>2</v>
      </c>
      <c r="F115" t="s">
        <v>309</v>
      </c>
      <c r="G115" s="24">
        <f t="shared" si="5"/>
        <v>43943.382083333338</v>
      </c>
      <c r="H115" t="s">
        <v>31</v>
      </c>
      <c r="I115" t="s">
        <v>162</v>
      </c>
      <c r="N115" t="s">
        <v>299</v>
      </c>
      <c r="AD115" t="s">
        <v>271</v>
      </c>
      <c r="AE115" s="2">
        <v>43943.673750000002</v>
      </c>
      <c r="AF115" t="s">
        <v>158</v>
      </c>
      <c r="AG115" s="2">
        <v>43943.673750000002</v>
      </c>
      <c r="AH115" t="s">
        <v>158</v>
      </c>
    </row>
    <row r="116" spans="1:34" x14ac:dyDescent="0.25">
      <c r="A116">
        <v>166</v>
      </c>
      <c r="B116" s="36">
        <v>43943</v>
      </c>
      <c r="C116" s="24">
        <f t="shared" si="4"/>
        <v>43943.388020833336</v>
      </c>
      <c r="D116" t="s">
        <v>30</v>
      </c>
      <c r="E116">
        <v>17</v>
      </c>
      <c r="F116" t="s">
        <v>309</v>
      </c>
      <c r="G116" s="24">
        <f t="shared" si="5"/>
        <v>43943.388020833336</v>
      </c>
      <c r="H116" t="s">
        <v>31</v>
      </c>
      <c r="I116" t="s">
        <v>32</v>
      </c>
      <c r="L116" t="s">
        <v>276</v>
      </c>
      <c r="N116" t="s">
        <v>299</v>
      </c>
      <c r="AD116" t="s">
        <v>277</v>
      </c>
      <c r="AE116" s="2">
        <v>43943.6796875</v>
      </c>
      <c r="AF116" t="s">
        <v>158</v>
      </c>
      <c r="AG116" s="2">
        <v>43943.680972222217</v>
      </c>
      <c r="AH116" t="s">
        <v>158</v>
      </c>
    </row>
    <row r="117" spans="1:34" x14ac:dyDescent="0.25">
      <c r="A117">
        <v>171</v>
      </c>
      <c r="B117" s="36">
        <v>43943</v>
      </c>
      <c r="C117" s="24">
        <f t="shared" si="4"/>
        <v>43943.391203703708</v>
      </c>
      <c r="D117" t="s">
        <v>30</v>
      </c>
      <c r="E117">
        <v>2</v>
      </c>
      <c r="F117" t="s">
        <v>309</v>
      </c>
      <c r="G117" s="24">
        <f t="shared" si="5"/>
        <v>43943.391203703708</v>
      </c>
      <c r="H117" t="s">
        <v>31</v>
      </c>
      <c r="I117" t="s">
        <v>162</v>
      </c>
      <c r="N117" t="s">
        <v>299</v>
      </c>
      <c r="AD117" t="s">
        <v>284</v>
      </c>
      <c r="AE117" s="2">
        <v>43943.682870370372</v>
      </c>
      <c r="AF117" t="s">
        <v>158</v>
      </c>
      <c r="AG117" s="2">
        <v>43943.682870370372</v>
      </c>
      <c r="AH117" t="s">
        <v>158</v>
      </c>
    </row>
    <row r="118" spans="1:34" x14ac:dyDescent="0.25">
      <c r="A118">
        <v>64</v>
      </c>
      <c r="B118" s="36">
        <v>43943</v>
      </c>
      <c r="C118" s="24">
        <f t="shared" si="4"/>
        <v>43943.394363425927</v>
      </c>
      <c r="D118" t="s">
        <v>140</v>
      </c>
      <c r="E118">
        <v>1</v>
      </c>
      <c r="F118" t="s">
        <v>309</v>
      </c>
      <c r="G118" s="24">
        <f t="shared" si="5"/>
        <v>43943.394363425927</v>
      </c>
      <c r="H118" t="s">
        <v>31</v>
      </c>
      <c r="I118" t="s">
        <v>50</v>
      </c>
      <c r="N118" t="s">
        <v>311</v>
      </c>
      <c r="AD118" t="s">
        <v>141</v>
      </c>
      <c r="AE118" s="2">
        <v>43943.686030092591</v>
      </c>
      <c r="AF118" t="s">
        <v>34</v>
      </c>
      <c r="AG118" s="2">
        <v>43943.686030092591</v>
      </c>
      <c r="AH118" t="s">
        <v>34</v>
      </c>
    </row>
    <row r="119" spans="1:34" x14ac:dyDescent="0.25">
      <c r="A119">
        <v>96</v>
      </c>
      <c r="B119" s="36">
        <v>43943</v>
      </c>
      <c r="C119" s="24">
        <f t="shared" si="4"/>
        <v>43943.328680555554</v>
      </c>
      <c r="D119" t="s">
        <v>187</v>
      </c>
      <c r="E119">
        <v>1</v>
      </c>
      <c r="F119" t="s">
        <v>309</v>
      </c>
      <c r="G119" s="24">
        <f t="shared" si="5"/>
        <v>43943.328680555554</v>
      </c>
      <c r="H119" t="s">
        <v>31</v>
      </c>
      <c r="I119" t="s">
        <v>57</v>
      </c>
      <c r="N119" t="s">
        <v>299</v>
      </c>
      <c r="AD119" t="s">
        <v>188</v>
      </c>
      <c r="AE119" s="2">
        <v>43943.620347222219</v>
      </c>
      <c r="AF119" t="s">
        <v>158</v>
      </c>
      <c r="AG119" s="2">
        <v>43943.620347222219</v>
      </c>
      <c r="AH119" t="s">
        <v>158</v>
      </c>
    </row>
    <row r="120" spans="1:34" x14ac:dyDescent="0.25">
      <c r="A120">
        <v>116</v>
      </c>
      <c r="B120" s="36">
        <v>43943</v>
      </c>
      <c r="C120" s="24">
        <f t="shared" si="4"/>
        <v>43943.344351851854</v>
      </c>
      <c r="D120" t="s">
        <v>187</v>
      </c>
      <c r="E120">
        <v>1</v>
      </c>
      <c r="F120" t="s">
        <v>309</v>
      </c>
      <c r="G120" s="24">
        <f t="shared" si="5"/>
        <v>43943.344351851854</v>
      </c>
      <c r="H120" t="s">
        <v>31</v>
      </c>
      <c r="I120" t="s">
        <v>65</v>
      </c>
      <c r="N120" t="s">
        <v>299</v>
      </c>
      <c r="AD120" t="s">
        <v>213</v>
      </c>
      <c r="AE120" s="2">
        <v>43943.636018518519</v>
      </c>
      <c r="AF120" t="s">
        <v>158</v>
      </c>
      <c r="AG120" s="2">
        <v>43943.636018518519</v>
      </c>
      <c r="AH120" t="s">
        <v>158</v>
      </c>
    </row>
    <row r="121" spans="1:34" x14ac:dyDescent="0.25">
      <c r="A121">
        <v>141</v>
      </c>
      <c r="B121" s="36">
        <v>43943</v>
      </c>
      <c r="C121" s="24">
        <f t="shared" si="4"/>
        <v>43943.366076388898</v>
      </c>
      <c r="D121" t="s">
        <v>187</v>
      </c>
      <c r="E121">
        <v>2</v>
      </c>
      <c r="F121" t="s">
        <v>309</v>
      </c>
      <c r="G121" s="24">
        <f t="shared" si="5"/>
        <v>43943.366076388898</v>
      </c>
      <c r="H121" t="s">
        <v>31</v>
      </c>
      <c r="I121" t="s">
        <v>79</v>
      </c>
      <c r="N121" t="s">
        <v>299</v>
      </c>
      <c r="AD121" t="s">
        <v>248</v>
      </c>
      <c r="AE121" s="2">
        <v>43943.657743055563</v>
      </c>
      <c r="AF121" t="s">
        <v>158</v>
      </c>
      <c r="AG121" s="2">
        <v>43943.659108796302</v>
      </c>
      <c r="AH121" t="s">
        <v>158</v>
      </c>
    </row>
    <row r="122" spans="1:34" x14ac:dyDescent="0.25">
      <c r="A122">
        <v>147</v>
      </c>
      <c r="B122" s="36">
        <v>43943</v>
      </c>
      <c r="C122" s="24">
        <f t="shared" si="4"/>
        <v>43943.372696759259</v>
      </c>
      <c r="D122" t="s">
        <v>187</v>
      </c>
      <c r="E122">
        <v>4</v>
      </c>
      <c r="F122" t="s">
        <v>309</v>
      </c>
      <c r="G122" s="24">
        <f t="shared" si="5"/>
        <v>43943.372696759259</v>
      </c>
      <c r="H122" t="s">
        <v>31</v>
      </c>
      <c r="I122" t="s">
        <v>65</v>
      </c>
      <c r="N122" t="s">
        <v>299</v>
      </c>
      <c r="AD122" t="s">
        <v>255</v>
      </c>
      <c r="AE122" s="2">
        <v>43943.664363425924</v>
      </c>
      <c r="AF122" t="s">
        <v>158</v>
      </c>
      <c r="AG122" s="2">
        <v>43943.66673611111</v>
      </c>
      <c r="AH122" t="s">
        <v>158</v>
      </c>
    </row>
    <row r="123" spans="1:34" x14ac:dyDescent="0.25">
      <c r="A123">
        <v>67</v>
      </c>
      <c r="B123" s="36">
        <v>43943</v>
      </c>
      <c r="C123" s="24">
        <f t="shared" si="4"/>
        <v>43943.400243055556</v>
      </c>
      <c r="D123" t="s">
        <v>187</v>
      </c>
      <c r="E123">
        <v>8</v>
      </c>
      <c r="F123" t="s">
        <v>309</v>
      </c>
      <c r="G123" s="24">
        <f t="shared" si="5"/>
        <v>43943.400243055556</v>
      </c>
      <c r="H123" t="s">
        <v>31</v>
      </c>
      <c r="I123" t="s">
        <v>65</v>
      </c>
      <c r="L123" t="s">
        <v>315</v>
      </c>
      <c r="N123" t="s">
        <v>311</v>
      </c>
      <c r="AD123" t="s">
        <v>145</v>
      </c>
      <c r="AE123" s="2">
        <v>43943.69190972222</v>
      </c>
      <c r="AF123" t="s">
        <v>34</v>
      </c>
      <c r="AG123" s="2">
        <v>43943.69190972222</v>
      </c>
      <c r="AH123" t="s">
        <v>34</v>
      </c>
    </row>
    <row r="124" spans="1:34" x14ac:dyDescent="0.25">
      <c r="A124">
        <v>136</v>
      </c>
      <c r="B124" s="36">
        <v>43943</v>
      </c>
      <c r="C124" s="24">
        <f t="shared" si="4"/>
        <v>43943.364803240744</v>
      </c>
      <c r="D124" t="s">
        <v>138</v>
      </c>
      <c r="E124">
        <v>2</v>
      </c>
      <c r="F124" t="s">
        <v>309</v>
      </c>
      <c r="G124" s="24">
        <f t="shared" si="5"/>
        <v>43943.364803240744</v>
      </c>
      <c r="H124" t="s">
        <v>31</v>
      </c>
      <c r="I124" t="s">
        <v>162</v>
      </c>
      <c r="N124" t="s">
        <v>299</v>
      </c>
      <c r="AD124" t="s">
        <v>243</v>
      </c>
      <c r="AE124" s="2">
        <v>43943.656469907408</v>
      </c>
      <c r="AF124" t="s">
        <v>158</v>
      </c>
      <c r="AG124" s="2">
        <v>43943.656469907408</v>
      </c>
      <c r="AH124" t="s">
        <v>158</v>
      </c>
    </row>
    <row r="125" spans="1:34" x14ac:dyDescent="0.25">
      <c r="A125">
        <v>142</v>
      </c>
      <c r="B125" s="36">
        <v>43943</v>
      </c>
      <c r="C125" s="24">
        <f t="shared" si="4"/>
        <v>43943.366203703707</v>
      </c>
      <c r="D125" t="s">
        <v>138</v>
      </c>
      <c r="E125">
        <v>1</v>
      </c>
      <c r="F125" t="s">
        <v>309</v>
      </c>
      <c r="G125" s="24">
        <f t="shared" si="5"/>
        <v>43943.366203703707</v>
      </c>
      <c r="H125" t="s">
        <v>31</v>
      </c>
      <c r="I125" t="s">
        <v>162</v>
      </c>
      <c r="N125" t="s">
        <v>299</v>
      </c>
      <c r="AD125" t="s">
        <v>249</v>
      </c>
      <c r="AE125" s="2">
        <v>43943.657870370371</v>
      </c>
      <c r="AF125" t="s">
        <v>158</v>
      </c>
      <c r="AG125" s="2">
        <v>43943.657870370371</v>
      </c>
      <c r="AH125" t="s">
        <v>158</v>
      </c>
    </row>
    <row r="126" spans="1:34" x14ac:dyDescent="0.25">
      <c r="A126">
        <v>63</v>
      </c>
      <c r="B126" s="36">
        <v>43943</v>
      </c>
      <c r="C126" s="24">
        <f t="shared" si="4"/>
        <v>43943.391817129639</v>
      </c>
      <c r="D126" t="s">
        <v>138</v>
      </c>
      <c r="E126">
        <v>1</v>
      </c>
      <c r="F126" t="s">
        <v>309</v>
      </c>
      <c r="G126" s="24">
        <f t="shared" si="5"/>
        <v>43943.391817129639</v>
      </c>
      <c r="H126" t="s">
        <v>31</v>
      </c>
      <c r="I126" t="s">
        <v>47</v>
      </c>
      <c r="N126" t="s">
        <v>311</v>
      </c>
      <c r="AD126" t="s">
        <v>139</v>
      </c>
      <c r="AE126" s="2">
        <v>43943.683483796303</v>
      </c>
      <c r="AF126" t="s">
        <v>34</v>
      </c>
      <c r="AG126" s="2">
        <v>43943.683483796303</v>
      </c>
      <c r="AH126" t="s">
        <v>34</v>
      </c>
    </row>
    <row r="127" spans="1:34" x14ac:dyDescent="0.25">
      <c r="A127">
        <v>76</v>
      </c>
      <c r="B127" s="36">
        <v>43943</v>
      </c>
      <c r="C127" s="24">
        <f t="shared" si="4"/>
        <v>43943.308240740749</v>
      </c>
      <c r="D127" t="s">
        <v>160</v>
      </c>
      <c r="E127">
        <v>2</v>
      </c>
      <c r="F127" t="s">
        <v>309</v>
      </c>
      <c r="G127" s="24">
        <f t="shared" si="5"/>
        <v>43943.308240740749</v>
      </c>
      <c r="H127" t="s">
        <v>31</v>
      </c>
      <c r="I127" t="s">
        <v>57</v>
      </c>
      <c r="N127" t="s">
        <v>299</v>
      </c>
      <c r="AD127" t="s">
        <v>161</v>
      </c>
      <c r="AE127" s="2">
        <v>43943.599907407413</v>
      </c>
      <c r="AF127" t="s">
        <v>158</v>
      </c>
      <c r="AG127" s="2">
        <v>43943.599907407413</v>
      </c>
      <c r="AH127" t="s">
        <v>158</v>
      </c>
    </row>
    <row r="128" spans="1:34" x14ac:dyDescent="0.25">
      <c r="A128">
        <v>112</v>
      </c>
      <c r="B128" s="36">
        <v>43943</v>
      </c>
      <c r="C128" s="24">
        <f t="shared" si="4"/>
        <v>43943.341550925928</v>
      </c>
      <c r="D128" t="s">
        <v>207</v>
      </c>
      <c r="E128">
        <v>1</v>
      </c>
      <c r="F128" t="s">
        <v>309</v>
      </c>
      <c r="G128" s="24">
        <f t="shared" si="5"/>
        <v>43943.341550925928</v>
      </c>
      <c r="H128" t="s">
        <v>31</v>
      </c>
      <c r="I128" t="s">
        <v>50</v>
      </c>
      <c r="N128" t="s">
        <v>299</v>
      </c>
      <c r="AD128" t="s">
        <v>208</v>
      </c>
      <c r="AE128" s="2">
        <v>43943.633217592593</v>
      </c>
      <c r="AF128" t="s">
        <v>158</v>
      </c>
      <c r="AG128" s="2">
        <v>43943.633217592593</v>
      </c>
      <c r="AH128" t="s">
        <v>158</v>
      </c>
    </row>
    <row r="129" spans="1:34" x14ac:dyDescent="0.25">
      <c r="A129">
        <v>106</v>
      </c>
      <c r="B129" s="36">
        <v>43943</v>
      </c>
      <c r="C129" s="24">
        <f t="shared" si="4"/>
        <v>43943.338055555556</v>
      </c>
      <c r="D129" t="s">
        <v>200</v>
      </c>
      <c r="E129">
        <v>1</v>
      </c>
      <c r="F129" t="s">
        <v>309</v>
      </c>
      <c r="G129" s="24">
        <f t="shared" si="5"/>
        <v>43943.338055555556</v>
      </c>
      <c r="H129" t="s">
        <v>31</v>
      </c>
      <c r="I129" t="s">
        <v>65</v>
      </c>
      <c r="N129" t="s">
        <v>299</v>
      </c>
      <c r="AD129" t="s">
        <v>201</v>
      </c>
      <c r="AE129" s="2">
        <v>43943.62972222222</v>
      </c>
      <c r="AF129" t="s">
        <v>158</v>
      </c>
      <c r="AG129" s="2">
        <v>43943.62972222222</v>
      </c>
      <c r="AH129" t="s">
        <v>158</v>
      </c>
    </row>
    <row r="130" spans="1:34" x14ac:dyDescent="0.25">
      <c r="A130">
        <v>149</v>
      </c>
      <c r="B130" s="36">
        <v>43943</v>
      </c>
      <c r="C130" s="24">
        <f t="shared" si="4"/>
        <v>43943.374259259253</v>
      </c>
      <c r="D130" t="s">
        <v>258</v>
      </c>
      <c r="E130">
        <v>1</v>
      </c>
      <c r="F130" t="s">
        <v>309</v>
      </c>
      <c r="G130" s="24">
        <f t="shared" ref="G130:G161" si="6">AE130-(7/24)</f>
        <v>43943.374259259253</v>
      </c>
      <c r="H130" t="s">
        <v>31</v>
      </c>
      <c r="I130" t="s">
        <v>50</v>
      </c>
      <c r="N130" t="s">
        <v>299</v>
      </c>
      <c r="AD130" t="s">
        <v>259</v>
      </c>
      <c r="AE130" s="2">
        <v>43943.665925925918</v>
      </c>
      <c r="AF130" t="s">
        <v>158</v>
      </c>
      <c r="AG130" s="2">
        <v>43943.665925925918</v>
      </c>
      <c r="AH130" t="s">
        <v>158</v>
      </c>
    </row>
    <row r="131" spans="1:34" x14ac:dyDescent="0.25">
      <c r="A131">
        <v>152</v>
      </c>
      <c r="B131" s="36">
        <v>43943</v>
      </c>
      <c r="C131" s="24">
        <f t="shared" ref="C131:C184" si="7">AE131-(7/24)</f>
        <v>43943.376736111124</v>
      </c>
      <c r="D131" t="s">
        <v>258</v>
      </c>
      <c r="E131">
        <v>1</v>
      </c>
      <c r="F131" t="s">
        <v>309</v>
      </c>
      <c r="G131" s="24">
        <f t="shared" si="6"/>
        <v>43943.376736111124</v>
      </c>
      <c r="H131" t="s">
        <v>31</v>
      </c>
      <c r="I131" t="s">
        <v>50</v>
      </c>
      <c r="N131" t="s">
        <v>299</v>
      </c>
      <c r="AD131" t="s">
        <v>262</v>
      </c>
      <c r="AE131" s="2">
        <v>43943.668402777788</v>
      </c>
      <c r="AF131" t="s">
        <v>158</v>
      </c>
      <c r="AG131" s="2">
        <v>43943.668402777788</v>
      </c>
      <c r="AH131" t="s">
        <v>158</v>
      </c>
    </row>
    <row r="132" spans="1:34" x14ac:dyDescent="0.25">
      <c r="A132">
        <v>61</v>
      </c>
      <c r="B132" s="36">
        <v>43943</v>
      </c>
      <c r="C132" s="24">
        <f t="shared" si="7"/>
        <v>43943.391064814816</v>
      </c>
      <c r="D132" t="s">
        <v>134</v>
      </c>
      <c r="E132">
        <v>1</v>
      </c>
      <c r="F132" t="s">
        <v>309</v>
      </c>
      <c r="G132" s="24">
        <f t="shared" si="6"/>
        <v>43943.391064814816</v>
      </c>
      <c r="H132" t="s">
        <v>31</v>
      </c>
      <c r="I132" t="s">
        <v>50</v>
      </c>
      <c r="N132" t="s">
        <v>311</v>
      </c>
      <c r="AD132" t="s">
        <v>135</v>
      </c>
      <c r="AE132" s="2">
        <v>43943.68273148148</v>
      </c>
      <c r="AF132" t="s">
        <v>34</v>
      </c>
      <c r="AG132" s="2">
        <v>43943.68273148148</v>
      </c>
      <c r="AH132" t="s">
        <v>34</v>
      </c>
    </row>
    <row r="133" spans="1:34" x14ac:dyDescent="0.25">
      <c r="A133">
        <v>71</v>
      </c>
      <c r="B133" s="36">
        <v>43943</v>
      </c>
      <c r="C133" s="24">
        <f t="shared" si="7"/>
        <v>43943.402395833335</v>
      </c>
      <c r="D133" t="s">
        <v>151</v>
      </c>
      <c r="E133">
        <v>1</v>
      </c>
      <c r="F133" t="s">
        <v>309</v>
      </c>
      <c r="G133" s="24">
        <f t="shared" si="6"/>
        <v>43943.402395833335</v>
      </c>
      <c r="H133" t="s">
        <v>31</v>
      </c>
      <c r="I133" t="s">
        <v>74</v>
      </c>
      <c r="N133" t="s">
        <v>311</v>
      </c>
      <c r="AD133" t="s">
        <v>152</v>
      </c>
      <c r="AE133" s="2">
        <v>43943.694062499999</v>
      </c>
      <c r="AF133" t="s">
        <v>34</v>
      </c>
      <c r="AG133" s="2">
        <v>43943.694062499999</v>
      </c>
      <c r="AH133" t="s">
        <v>34</v>
      </c>
    </row>
    <row r="134" spans="1:34" x14ac:dyDescent="0.25">
      <c r="A134">
        <v>90</v>
      </c>
      <c r="B134" s="36">
        <v>43943</v>
      </c>
      <c r="C134" s="24">
        <f t="shared" si="7"/>
        <v>43943.322199074079</v>
      </c>
      <c r="D134" t="s">
        <v>109</v>
      </c>
      <c r="E134">
        <v>2</v>
      </c>
      <c r="F134" t="s">
        <v>309</v>
      </c>
      <c r="G134" s="24">
        <f t="shared" si="6"/>
        <v>43943.322199074079</v>
      </c>
      <c r="H134" t="s">
        <v>31</v>
      </c>
      <c r="I134" t="s">
        <v>57</v>
      </c>
      <c r="N134" t="s">
        <v>299</v>
      </c>
      <c r="AD134" t="s">
        <v>180</v>
      </c>
      <c r="AE134" s="2">
        <v>43943.613865740743</v>
      </c>
      <c r="AF134" t="s">
        <v>158</v>
      </c>
      <c r="AG134" s="2">
        <v>43943.613865740743</v>
      </c>
      <c r="AH134" t="s">
        <v>158</v>
      </c>
    </row>
    <row r="135" spans="1:34" x14ac:dyDescent="0.25">
      <c r="A135">
        <v>101</v>
      </c>
      <c r="B135" s="36">
        <v>43943</v>
      </c>
      <c r="C135" s="24">
        <f t="shared" si="7"/>
        <v>43943.335034722222</v>
      </c>
      <c r="D135" t="s">
        <v>109</v>
      </c>
      <c r="E135">
        <v>3</v>
      </c>
      <c r="F135" t="s">
        <v>309</v>
      </c>
      <c r="G135" s="24">
        <f t="shared" si="6"/>
        <v>43943.335034722222</v>
      </c>
      <c r="H135" t="s">
        <v>31</v>
      </c>
      <c r="I135" t="s">
        <v>194</v>
      </c>
      <c r="N135" t="s">
        <v>299</v>
      </c>
      <c r="AD135" t="s">
        <v>195</v>
      </c>
      <c r="AE135" s="2">
        <v>43943.626701388886</v>
      </c>
      <c r="AF135" t="s">
        <v>158</v>
      </c>
      <c r="AG135" s="2">
        <v>43943.626701388886</v>
      </c>
      <c r="AH135" t="s">
        <v>158</v>
      </c>
    </row>
    <row r="136" spans="1:34" x14ac:dyDescent="0.25">
      <c r="A136">
        <v>42</v>
      </c>
      <c r="B136" s="36">
        <v>43943</v>
      </c>
      <c r="C136" s="24">
        <f t="shared" si="7"/>
        <v>43943.379479166666</v>
      </c>
      <c r="D136" t="s">
        <v>109</v>
      </c>
      <c r="E136">
        <v>10</v>
      </c>
      <c r="F136" t="s">
        <v>309</v>
      </c>
      <c r="G136" s="24">
        <f t="shared" si="6"/>
        <v>43943.379479166666</v>
      </c>
      <c r="H136" t="s">
        <v>31</v>
      </c>
      <c r="I136" t="s">
        <v>60</v>
      </c>
      <c r="N136" t="s">
        <v>311</v>
      </c>
      <c r="AD136" t="s">
        <v>110</v>
      </c>
      <c r="AE136" s="2">
        <v>43943.67114583333</v>
      </c>
      <c r="AF136" t="s">
        <v>34</v>
      </c>
      <c r="AG136" s="2">
        <v>43943.67114583333</v>
      </c>
      <c r="AH136" t="s">
        <v>34</v>
      </c>
    </row>
    <row r="137" spans="1:34" x14ac:dyDescent="0.25">
      <c r="A137">
        <v>74</v>
      </c>
      <c r="B137" s="36">
        <v>43943</v>
      </c>
      <c r="C137" s="24">
        <f t="shared" si="7"/>
        <v>43943.307824074087</v>
      </c>
      <c r="D137" t="s">
        <v>146</v>
      </c>
      <c r="E137">
        <v>5</v>
      </c>
      <c r="F137" t="s">
        <v>309</v>
      </c>
      <c r="G137" s="24">
        <f t="shared" si="6"/>
        <v>43943.307824074087</v>
      </c>
      <c r="H137" t="s">
        <v>31</v>
      </c>
      <c r="I137" t="s">
        <v>65</v>
      </c>
      <c r="N137" t="s">
        <v>299</v>
      </c>
      <c r="O137" t="s">
        <v>156</v>
      </c>
      <c r="Q137">
        <v>63</v>
      </c>
      <c r="R137">
        <v>0</v>
      </c>
      <c r="AD137" t="s">
        <v>157</v>
      </c>
      <c r="AE137" s="2">
        <v>43943.599490740751</v>
      </c>
      <c r="AF137" t="s">
        <v>158</v>
      </c>
      <c r="AG137" s="2">
        <v>43943.602233796293</v>
      </c>
      <c r="AH137" t="s">
        <v>158</v>
      </c>
    </row>
    <row r="138" spans="1:34" x14ac:dyDescent="0.25">
      <c r="A138">
        <v>97</v>
      </c>
      <c r="B138" s="36">
        <v>43943</v>
      </c>
      <c r="C138" s="24">
        <f t="shared" si="7"/>
        <v>43943.329166666663</v>
      </c>
      <c r="D138" t="s">
        <v>146</v>
      </c>
      <c r="E138">
        <v>2</v>
      </c>
      <c r="F138" t="s">
        <v>309</v>
      </c>
      <c r="G138" s="24">
        <f t="shared" si="6"/>
        <v>43943.329166666663</v>
      </c>
      <c r="H138" t="s">
        <v>31</v>
      </c>
      <c r="I138" t="s">
        <v>65</v>
      </c>
      <c r="N138" t="s">
        <v>299</v>
      </c>
      <c r="AD138" t="s">
        <v>189</v>
      </c>
      <c r="AE138" s="2">
        <v>43943.620833333327</v>
      </c>
      <c r="AF138" t="s">
        <v>158</v>
      </c>
      <c r="AG138" s="2">
        <v>43943.620833333327</v>
      </c>
      <c r="AH138" t="s">
        <v>158</v>
      </c>
    </row>
    <row r="139" spans="1:34" x14ac:dyDescent="0.25">
      <c r="A139">
        <v>107</v>
      </c>
      <c r="B139" s="36">
        <v>43943</v>
      </c>
      <c r="C139" s="24">
        <f t="shared" si="7"/>
        <v>43943.338553240748</v>
      </c>
      <c r="D139" t="s">
        <v>146</v>
      </c>
      <c r="E139">
        <v>1</v>
      </c>
      <c r="F139" t="s">
        <v>309</v>
      </c>
      <c r="G139" s="24">
        <f t="shared" si="6"/>
        <v>43943.338553240748</v>
      </c>
      <c r="H139" t="s">
        <v>31</v>
      </c>
      <c r="I139" t="s">
        <v>65</v>
      </c>
      <c r="N139" t="s">
        <v>299</v>
      </c>
      <c r="AD139" t="s">
        <v>202</v>
      </c>
      <c r="AE139" s="2">
        <v>43943.630219907413</v>
      </c>
      <c r="AF139" t="s">
        <v>158</v>
      </c>
      <c r="AG139" s="2">
        <v>43943.630219907413</v>
      </c>
      <c r="AH139" t="s">
        <v>158</v>
      </c>
    </row>
    <row r="140" spans="1:34" x14ac:dyDescent="0.25">
      <c r="A140">
        <v>68</v>
      </c>
      <c r="B140" s="36">
        <v>43943</v>
      </c>
      <c r="C140" s="24">
        <f t="shared" si="7"/>
        <v>43943.401238425926</v>
      </c>
      <c r="D140" t="s">
        <v>146</v>
      </c>
      <c r="E140">
        <v>1</v>
      </c>
      <c r="F140" t="s">
        <v>309</v>
      </c>
      <c r="G140" s="24">
        <f t="shared" si="6"/>
        <v>43943.401238425926</v>
      </c>
      <c r="H140" t="s">
        <v>31</v>
      </c>
      <c r="I140" t="s">
        <v>65</v>
      </c>
      <c r="N140" t="s">
        <v>311</v>
      </c>
      <c r="AD140" t="s">
        <v>147</v>
      </c>
      <c r="AE140" s="2">
        <v>43943.69290509259</v>
      </c>
      <c r="AF140" t="s">
        <v>34</v>
      </c>
      <c r="AG140" s="2">
        <v>43943.69290509259</v>
      </c>
      <c r="AH140" t="s">
        <v>34</v>
      </c>
    </row>
    <row r="141" spans="1:34" x14ac:dyDescent="0.25">
      <c r="A141">
        <v>103</v>
      </c>
      <c r="B141" s="36">
        <v>43943</v>
      </c>
      <c r="C141" s="24">
        <f t="shared" si="7"/>
        <v>43943.336701388893</v>
      </c>
      <c r="D141" t="s">
        <v>97</v>
      </c>
      <c r="E141">
        <v>1</v>
      </c>
      <c r="F141" t="s">
        <v>309</v>
      </c>
      <c r="G141" s="24">
        <f t="shared" si="6"/>
        <v>43943.336701388893</v>
      </c>
      <c r="H141" t="s">
        <v>31</v>
      </c>
      <c r="I141" t="s">
        <v>47</v>
      </c>
      <c r="N141" t="s">
        <v>299</v>
      </c>
      <c r="AD141" t="s">
        <v>197</v>
      </c>
      <c r="AE141" s="2">
        <v>43943.628368055557</v>
      </c>
      <c r="AF141" t="s">
        <v>158</v>
      </c>
      <c r="AG141" s="2">
        <v>43943.628368055557</v>
      </c>
      <c r="AH141" t="s">
        <v>158</v>
      </c>
    </row>
    <row r="142" spans="1:34" x14ac:dyDescent="0.25">
      <c r="A142">
        <v>34</v>
      </c>
      <c r="B142" s="36">
        <v>43943</v>
      </c>
      <c r="C142" s="24">
        <f t="shared" si="7"/>
        <v>43943.367187499993</v>
      </c>
      <c r="D142" t="s">
        <v>97</v>
      </c>
      <c r="E142">
        <v>5</v>
      </c>
      <c r="F142" t="s">
        <v>309</v>
      </c>
      <c r="G142" s="24">
        <f t="shared" si="6"/>
        <v>43943.367187499993</v>
      </c>
      <c r="H142" t="s">
        <v>31</v>
      </c>
      <c r="I142" t="s">
        <v>50</v>
      </c>
      <c r="N142" t="s">
        <v>311</v>
      </c>
      <c r="AD142" t="s">
        <v>98</v>
      </c>
      <c r="AE142" s="2">
        <v>43943.658854166657</v>
      </c>
      <c r="AF142" t="s">
        <v>34</v>
      </c>
      <c r="AG142" s="2">
        <v>43943.658854166657</v>
      </c>
      <c r="AH142" t="s">
        <v>34</v>
      </c>
    </row>
    <row r="143" spans="1:34" x14ac:dyDescent="0.25">
      <c r="A143">
        <v>124</v>
      </c>
      <c r="B143" s="36">
        <v>43943</v>
      </c>
      <c r="C143" s="24">
        <f t="shared" si="7"/>
        <v>43943.352025462969</v>
      </c>
      <c r="D143" t="s">
        <v>142</v>
      </c>
      <c r="E143">
        <v>2</v>
      </c>
      <c r="F143" t="s">
        <v>309</v>
      </c>
      <c r="G143" s="24">
        <f t="shared" si="6"/>
        <v>43943.352025462969</v>
      </c>
      <c r="H143" t="s">
        <v>31</v>
      </c>
      <c r="I143" t="s">
        <v>47</v>
      </c>
      <c r="N143" t="s">
        <v>299</v>
      </c>
      <c r="AD143" t="s">
        <v>228</v>
      </c>
      <c r="AE143" s="2">
        <v>43943.643692129634</v>
      </c>
      <c r="AF143" t="s">
        <v>158</v>
      </c>
      <c r="AG143" s="2">
        <v>43943.643692129634</v>
      </c>
      <c r="AH143" t="s">
        <v>158</v>
      </c>
    </row>
    <row r="144" spans="1:34" x14ac:dyDescent="0.25">
      <c r="A144">
        <v>129</v>
      </c>
      <c r="B144" s="36">
        <v>43943</v>
      </c>
      <c r="C144" s="24">
        <f t="shared" si="7"/>
        <v>43943.358090277783</v>
      </c>
      <c r="D144" t="s">
        <v>142</v>
      </c>
      <c r="E144">
        <v>1</v>
      </c>
      <c r="F144" t="s">
        <v>309</v>
      </c>
      <c r="G144" s="24">
        <f t="shared" si="6"/>
        <v>43943.358090277783</v>
      </c>
      <c r="H144" t="s">
        <v>31</v>
      </c>
      <c r="I144" t="s">
        <v>44</v>
      </c>
      <c r="N144" t="s">
        <v>299</v>
      </c>
      <c r="AD144" t="s">
        <v>234</v>
      </c>
      <c r="AE144" s="2">
        <v>43943.649756944447</v>
      </c>
      <c r="AF144" t="s">
        <v>158</v>
      </c>
      <c r="AG144" s="2">
        <v>43943.649756944447</v>
      </c>
      <c r="AH144" t="s">
        <v>158</v>
      </c>
    </row>
    <row r="145" spans="1:34" x14ac:dyDescent="0.25">
      <c r="A145">
        <v>139</v>
      </c>
      <c r="B145" s="36">
        <v>43943</v>
      </c>
      <c r="C145" s="24">
        <f t="shared" si="7"/>
        <v>43943.365740740745</v>
      </c>
      <c r="D145" t="s">
        <v>142</v>
      </c>
      <c r="E145">
        <v>1</v>
      </c>
      <c r="F145" t="s">
        <v>309</v>
      </c>
      <c r="G145" s="24">
        <f t="shared" si="6"/>
        <v>43943.365740740745</v>
      </c>
      <c r="H145" t="s">
        <v>31</v>
      </c>
      <c r="I145" t="s">
        <v>44</v>
      </c>
      <c r="N145" t="s">
        <v>299</v>
      </c>
      <c r="AD145" t="s">
        <v>246</v>
      </c>
      <c r="AE145" s="2">
        <v>43943.657407407409</v>
      </c>
      <c r="AF145" t="s">
        <v>158</v>
      </c>
      <c r="AG145" s="2">
        <v>43943.657407407409</v>
      </c>
      <c r="AH145" t="s">
        <v>158</v>
      </c>
    </row>
    <row r="146" spans="1:34" x14ac:dyDescent="0.25">
      <c r="A146">
        <v>65</v>
      </c>
      <c r="B146" s="36">
        <v>43943</v>
      </c>
      <c r="C146" s="24">
        <f t="shared" si="7"/>
        <v>43943.396331018528</v>
      </c>
      <c r="D146" t="s">
        <v>142</v>
      </c>
      <c r="E146">
        <v>1</v>
      </c>
      <c r="F146" t="s">
        <v>309</v>
      </c>
      <c r="G146" s="24">
        <f t="shared" si="6"/>
        <v>43943.396331018528</v>
      </c>
      <c r="H146" t="s">
        <v>31</v>
      </c>
      <c r="I146" t="s">
        <v>74</v>
      </c>
      <c r="N146" t="s">
        <v>311</v>
      </c>
      <c r="AD146" t="s">
        <v>143</v>
      </c>
      <c r="AE146" s="2">
        <v>43943.687997685192</v>
      </c>
      <c r="AF146" t="s">
        <v>34</v>
      </c>
      <c r="AG146" s="2">
        <v>43943.687997685192</v>
      </c>
      <c r="AH146" t="s">
        <v>34</v>
      </c>
    </row>
    <row r="147" spans="1:34" x14ac:dyDescent="0.25">
      <c r="A147">
        <v>173</v>
      </c>
      <c r="B147" s="36">
        <v>43943</v>
      </c>
      <c r="C147" s="24">
        <f t="shared" si="7"/>
        <v>43943.393553240749</v>
      </c>
      <c r="D147" t="s">
        <v>286</v>
      </c>
      <c r="E147">
        <v>2</v>
      </c>
      <c r="F147" t="s">
        <v>309</v>
      </c>
      <c r="G147" s="24">
        <f t="shared" si="6"/>
        <v>43943.393553240749</v>
      </c>
      <c r="H147" t="s">
        <v>31</v>
      </c>
      <c r="I147" t="s">
        <v>47</v>
      </c>
      <c r="L147" t="s">
        <v>313</v>
      </c>
      <c r="N147" t="s">
        <v>299</v>
      </c>
      <c r="AD147" t="s">
        <v>287</v>
      </c>
      <c r="AE147" s="2">
        <v>43943.685219907413</v>
      </c>
      <c r="AF147" t="s">
        <v>158</v>
      </c>
      <c r="AG147" s="2">
        <v>43943.685219907413</v>
      </c>
      <c r="AH147" t="s">
        <v>158</v>
      </c>
    </row>
    <row r="148" spans="1:34" x14ac:dyDescent="0.25">
      <c r="A148">
        <v>83</v>
      </c>
      <c r="B148" s="36">
        <v>43943</v>
      </c>
      <c r="C148" s="24">
        <f t="shared" si="7"/>
        <v>43943.318784722229</v>
      </c>
      <c r="D148" t="s">
        <v>169</v>
      </c>
      <c r="E148">
        <v>1</v>
      </c>
      <c r="F148" t="s">
        <v>309</v>
      </c>
      <c r="G148" s="24">
        <f t="shared" si="6"/>
        <v>43943.318784722229</v>
      </c>
      <c r="H148" t="s">
        <v>31</v>
      </c>
      <c r="I148" t="s">
        <v>57</v>
      </c>
      <c r="N148" t="s">
        <v>299</v>
      </c>
      <c r="AD148" t="s">
        <v>170</v>
      </c>
      <c r="AE148" s="2">
        <v>43943.610451388893</v>
      </c>
      <c r="AF148" t="s">
        <v>158</v>
      </c>
      <c r="AG148" s="2">
        <v>43943.610451388893</v>
      </c>
      <c r="AH148" t="s">
        <v>158</v>
      </c>
    </row>
    <row r="149" spans="1:34" x14ac:dyDescent="0.25">
      <c r="A149">
        <v>77</v>
      </c>
      <c r="B149" s="36">
        <v>43943</v>
      </c>
      <c r="C149" s="24">
        <f t="shared" si="7"/>
        <v>43943.310856481483</v>
      </c>
      <c r="D149" t="s">
        <v>39</v>
      </c>
      <c r="E149">
        <v>2</v>
      </c>
      <c r="F149" t="s">
        <v>309</v>
      </c>
      <c r="G149" s="24">
        <f t="shared" si="6"/>
        <v>43943.310856481483</v>
      </c>
      <c r="H149" t="s">
        <v>31</v>
      </c>
      <c r="I149" t="s">
        <v>162</v>
      </c>
      <c r="N149" t="s">
        <v>299</v>
      </c>
      <c r="AD149" t="s">
        <v>163</v>
      </c>
      <c r="AE149" s="2">
        <v>43943.602523148147</v>
      </c>
      <c r="AF149" t="s">
        <v>158</v>
      </c>
      <c r="AG149" s="2">
        <v>43943.602523148147</v>
      </c>
      <c r="AH149" t="s">
        <v>158</v>
      </c>
    </row>
    <row r="150" spans="1:34" x14ac:dyDescent="0.25">
      <c r="A150">
        <v>4</v>
      </c>
      <c r="B150" s="36">
        <v>43943</v>
      </c>
      <c r="C150" s="24">
        <f t="shared" si="7"/>
        <v>43943.311365740745</v>
      </c>
      <c r="D150" t="s">
        <v>39</v>
      </c>
      <c r="E150">
        <v>2</v>
      </c>
      <c r="F150" t="s">
        <v>309</v>
      </c>
      <c r="G150" s="24">
        <f t="shared" si="6"/>
        <v>43943.311365740745</v>
      </c>
      <c r="H150" t="s">
        <v>31</v>
      </c>
      <c r="I150" t="s">
        <v>32</v>
      </c>
      <c r="N150" t="s">
        <v>311</v>
      </c>
      <c r="AD150" t="s">
        <v>40</v>
      </c>
      <c r="AE150" s="2">
        <v>43943.603032407409</v>
      </c>
      <c r="AF150" t="s">
        <v>34</v>
      </c>
      <c r="AG150" s="2">
        <v>43943.603032407409</v>
      </c>
      <c r="AH150" t="s">
        <v>34</v>
      </c>
    </row>
    <row r="151" spans="1:34" x14ac:dyDescent="0.25">
      <c r="A151">
        <v>88</v>
      </c>
      <c r="B151" s="36">
        <v>43943</v>
      </c>
      <c r="C151" s="24">
        <f t="shared" si="7"/>
        <v>43943.321597222224</v>
      </c>
      <c r="D151" t="s">
        <v>39</v>
      </c>
      <c r="E151">
        <v>5</v>
      </c>
      <c r="F151" t="s">
        <v>309</v>
      </c>
      <c r="G151" s="24">
        <f t="shared" si="6"/>
        <v>43943.321597222224</v>
      </c>
      <c r="H151" t="s">
        <v>31</v>
      </c>
      <c r="I151" t="s">
        <v>162</v>
      </c>
      <c r="N151" t="s">
        <v>299</v>
      </c>
      <c r="AD151" t="s">
        <v>178</v>
      </c>
      <c r="AE151" s="2">
        <v>43943.613263888888</v>
      </c>
      <c r="AF151" t="s">
        <v>158</v>
      </c>
      <c r="AG151" s="2">
        <v>43943.613263888888</v>
      </c>
      <c r="AH151" t="s">
        <v>158</v>
      </c>
    </row>
    <row r="152" spans="1:34" x14ac:dyDescent="0.25">
      <c r="A152">
        <v>160</v>
      </c>
      <c r="B152" s="36">
        <v>43943</v>
      </c>
      <c r="C152" s="24">
        <f t="shared" si="7"/>
        <v>43943.381898148153</v>
      </c>
      <c r="D152" t="s">
        <v>39</v>
      </c>
      <c r="E152">
        <v>1</v>
      </c>
      <c r="F152" t="s">
        <v>309</v>
      </c>
      <c r="G152" s="24">
        <f t="shared" si="6"/>
        <v>43943.381898148153</v>
      </c>
      <c r="H152" t="s">
        <v>31</v>
      </c>
      <c r="I152" t="s">
        <v>79</v>
      </c>
      <c r="N152" t="s">
        <v>299</v>
      </c>
      <c r="AD152" t="s">
        <v>270</v>
      </c>
      <c r="AE152" s="2">
        <v>43943.673564814817</v>
      </c>
      <c r="AF152" t="s">
        <v>158</v>
      </c>
      <c r="AG152" s="2">
        <v>43943.673564814817</v>
      </c>
      <c r="AH152" t="s">
        <v>158</v>
      </c>
    </row>
    <row r="153" spans="1:34" x14ac:dyDescent="0.25">
      <c r="A153">
        <v>170</v>
      </c>
      <c r="B153" s="36">
        <v>43943</v>
      </c>
      <c r="C153" s="24">
        <f t="shared" si="7"/>
        <v>43943.391006944446</v>
      </c>
      <c r="D153" t="s">
        <v>39</v>
      </c>
      <c r="E153">
        <v>1</v>
      </c>
      <c r="F153" t="s">
        <v>309</v>
      </c>
      <c r="G153" s="24">
        <f t="shared" si="6"/>
        <v>43943.391006944446</v>
      </c>
      <c r="H153" t="s">
        <v>31</v>
      </c>
      <c r="I153" t="s">
        <v>162</v>
      </c>
      <c r="N153" t="s">
        <v>299</v>
      </c>
      <c r="AD153" t="s">
        <v>283</v>
      </c>
      <c r="AE153" s="2">
        <v>43943.682673611111</v>
      </c>
      <c r="AF153" t="s">
        <v>158</v>
      </c>
      <c r="AG153" s="2">
        <v>43943.682673611111</v>
      </c>
      <c r="AH153" t="s">
        <v>158</v>
      </c>
    </row>
    <row r="154" spans="1:34" x14ac:dyDescent="0.25">
      <c r="A154">
        <v>99</v>
      </c>
      <c r="B154" s="36">
        <v>43943</v>
      </c>
      <c r="C154" s="24">
        <f t="shared" si="7"/>
        <v>43943.330439814818</v>
      </c>
      <c r="D154" t="s">
        <v>191</v>
      </c>
      <c r="E154">
        <v>1</v>
      </c>
      <c r="F154" t="s">
        <v>309</v>
      </c>
      <c r="G154" s="24">
        <f t="shared" si="6"/>
        <v>43943.330439814818</v>
      </c>
      <c r="H154" t="s">
        <v>31</v>
      </c>
      <c r="I154" t="s">
        <v>57</v>
      </c>
      <c r="N154" t="s">
        <v>299</v>
      </c>
      <c r="AD154" t="s">
        <v>192</v>
      </c>
      <c r="AE154" s="2">
        <v>43943.622106481482</v>
      </c>
      <c r="AF154" t="s">
        <v>158</v>
      </c>
      <c r="AG154" s="2">
        <v>43943.622106481482</v>
      </c>
      <c r="AH154" t="s">
        <v>158</v>
      </c>
    </row>
    <row r="155" spans="1:34" x14ac:dyDescent="0.25">
      <c r="A155">
        <v>140</v>
      </c>
      <c r="B155" s="36">
        <v>43943</v>
      </c>
      <c r="C155" s="24">
        <f t="shared" si="7"/>
        <v>43943.365914351853</v>
      </c>
      <c r="D155" t="s">
        <v>191</v>
      </c>
      <c r="E155">
        <v>1</v>
      </c>
      <c r="F155" t="s">
        <v>309</v>
      </c>
      <c r="G155" s="24">
        <f t="shared" si="6"/>
        <v>43943.365914351853</v>
      </c>
      <c r="H155" t="s">
        <v>31</v>
      </c>
      <c r="I155" t="s">
        <v>79</v>
      </c>
      <c r="N155" t="s">
        <v>299</v>
      </c>
      <c r="AD155" t="s">
        <v>247</v>
      </c>
      <c r="AE155" s="2">
        <v>43943.657581018517</v>
      </c>
      <c r="AF155" t="s">
        <v>158</v>
      </c>
      <c r="AG155" s="2">
        <v>43943.657581018517</v>
      </c>
      <c r="AH155" t="s">
        <v>158</v>
      </c>
    </row>
    <row r="156" spans="1:34" x14ac:dyDescent="0.25">
      <c r="A156">
        <v>172</v>
      </c>
      <c r="B156" s="36">
        <v>43943</v>
      </c>
      <c r="C156" s="24">
        <f t="shared" si="7"/>
        <v>43943.391388888893</v>
      </c>
      <c r="D156" t="s">
        <v>191</v>
      </c>
      <c r="E156">
        <v>1</v>
      </c>
      <c r="F156" t="s">
        <v>309</v>
      </c>
      <c r="G156" s="24">
        <f t="shared" si="6"/>
        <v>43943.391388888893</v>
      </c>
      <c r="H156" t="s">
        <v>31</v>
      </c>
      <c r="I156" t="s">
        <v>162</v>
      </c>
      <c r="N156" t="s">
        <v>299</v>
      </c>
      <c r="AD156" t="s">
        <v>285</v>
      </c>
      <c r="AE156" s="2">
        <v>43943.683055555557</v>
      </c>
      <c r="AF156" t="s">
        <v>158</v>
      </c>
      <c r="AG156" s="2">
        <v>43943.683055555557</v>
      </c>
      <c r="AH156" t="s">
        <v>158</v>
      </c>
    </row>
    <row r="157" spans="1:34" x14ac:dyDescent="0.25">
      <c r="A157">
        <v>6</v>
      </c>
      <c r="B157" s="36">
        <v>43943</v>
      </c>
      <c r="C157" s="24">
        <f t="shared" si="7"/>
        <v>43943.314305555556</v>
      </c>
      <c r="D157" t="s">
        <v>43</v>
      </c>
      <c r="E157">
        <v>1</v>
      </c>
      <c r="F157" t="s">
        <v>309</v>
      </c>
      <c r="G157" s="24">
        <f t="shared" si="6"/>
        <v>43943.314305555556</v>
      </c>
      <c r="H157" t="s">
        <v>31</v>
      </c>
      <c r="I157" t="s">
        <v>44</v>
      </c>
      <c r="N157" t="s">
        <v>311</v>
      </c>
      <c r="AD157" t="s">
        <v>45</v>
      </c>
      <c r="AE157" s="2">
        <v>43943.60597222222</v>
      </c>
      <c r="AF157" t="s">
        <v>34</v>
      </c>
      <c r="AG157" s="2">
        <v>43943.60597222222</v>
      </c>
      <c r="AH157" t="s">
        <v>34</v>
      </c>
    </row>
    <row r="158" spans="1:34" x14ac:dyDescent="0.25">
      <c r="A158">
        <v>92</v>
      </c>
      <c r="B158" s="36">
        <v>43943</v>
      </c>
      <c r="C158" s="24">
        <f t="shared" si="7"/>
        <v>43943.325520833336</v>
      </c>
      <c r="D158" t="s">
        <v>43</v>
      </c>
      <c r="E158">
        <v>2</v>
      </c>
      <c r="F158" t="s">
        <v>309</v>
      </c>
      <c r="G158" s="24">
        <f t="shared" si="6"/>
        <v>43943.325520833336</v>
      </c>
      <c r="H158" t="s">
        <v>31</v>
      </c>
      <c r="I158" t="s">
        <v>47</v>
      </c>
      <c r="N158" t="s">
        <v>299</v>
      </c>
      <c r="AD158" t="s">
        <v>183</v>
      </c>
      <c r="AE158" s="2">
        <v>43943.6171875</v>
      </c>
      <c r="AF158" t="s">
        <v>158</v>
      </c>
      <c r="AG158" s="2">
        <v>43943.6171875</v>
      </c>
      <c r="AH158" t="s">
        <v>158</v>
      </c>
    </row>
    <row r="159" spans="1:34" x14ac:dyDescent="0.25">
      <c r="A159">
        <v>102</v>
      </c>
      <c r="B159" s="36">
        <v>43943</v>
      </c>
      <c r="C159" s="24">
        <f t="shared" si="7"/>
        <v>43943.335821759269</v>
      </c>
      <c r="D159" t="s">
        <v>43</v>
      </c>
      <c r="E159">
        <v>2</v>
      </c>
      <c r="F159" t="s">
        <v>309</v>
      </c>
      <c r="G159" s="24">
        <f t="shared" si="6"/>
        <v>43943.335821759269</v>
      </c>
      <c r="H159" t="s">
        <v>31</v>
      </c>
      <c r="I159" t="s">
        <v>74</v>
      </c>
      <c r="N159" t="s">
        <v>299</v>
      </c>
      <c r="AD159" t="s">
        <v>196</v>
      </c>
      <c r="AE159" s="2">
        <v>43943.627488425933</v>
      </c>
      <c r="AF159" t="s">
        <v>158</v>
      </c>
      <c r="AG159" s="2">
        <v>43943.627488425933</v>
      </c>
      <c r="AH159" t="s">
        <v>158</v>
      </c>
    </row>
    <row r="160" spans="1:34" x14ac:dyDescent="0.25">
      <c r="A160">
        <v>128</v>
      </c>
      <c r="B160" s="36">
        <v>43943</v>
      </c>
      <c r="C160" s="24">
        <f t="shared" si="7"/>
        <v>43943.355914351865</v>
      </c>
      <c r="D160" t="s">
        <v>43</v>
      </c>
      <c r="E160">
        <v>1</v>
      </c>
      <c r="F160" t="s">
        <v>309</v>
      </c>
      <c r="G160" s="24">
        <f t="shared" si="6"/>
        <v>43943.355914351865</v>
      </c>
      <c r="H160" t="s">
        <v>31</v>
      </c>
      <c r="I160" t="s">
        <v>74</v>
      </c>
      <c r="N160" t="s">
        <v>299</v>
      </c>
      <c r="AD160" t="s">
        <v>233</v>
      </c>
      <c r="AE160" s="2">
        <v>43943.647581018529</v>
      </c>
      <c r="AF160" t="s">
        <v>158</v>
      </c>
      <c r="AG160" s="2">
        <v>43943.647581018529</v>
      </c>
      <c r="AH160" t="s">
        <v>158</v>
      </c>
    </row>
    <row r="161" spans="1:34" x14ac:dyDescent="0.25">
      <c r="A161">
        <v>131</v>
      </c>
      <c r="B161" s="36">
        <v>43943</v>
      </c>
      <c r="C161" s="24">
        <f t="shared" si="7"/>
        <v>43943.358495370383</v>
      </c>
      <c r="D161" t="s">
        <v>43</v>
      </c>
      <c r="E161">
        <v>1</v>
      </c>
      <c r="F161" t="s">
        <v>309</v>
      </c>
      <c r="G161" s="24">
        <f t="shared" si="6"/>
        <v>43943.358495370383</v>
      </c>
      <c r="H161" t="s">
        <v>31</v>
      </c>
      <c r="I161" t="s">
        <v>44</v>
      </c>
      <c r="N161" t="s">
        <v>299</v>
      </c>
      <c r="AD161" t="s">
        <v>236</v>
      </c>
      <c r="AE161" s="2">
        <v>43943.650162037047</v>
      </c>
      <c r="AF161" t="s">
        <v>158</v>
      </c>
      <c r="AG161" s="2">
        <v>43943.650162037047</v>
      </c>
      <c r="AH161" t="s">
        <v>158</v>
      </c>
    </row>
    <row r="162" spans="1:34" x14ac:dyDescent="0.25">
      <c r="A162">
        <v>133</v>
      </c>
      <c r="B162" s="36">
        <v>43943</v>
      </c>
      <c r="C162" s="24">
        <f t="shared" si="7"/>
        <v>43943.360949074078</v>
      </c>
      <c r="D162" t="s">
        <v>43</v>
      </c>
      <c r="E162">
        <v>1</v>
      </c>
      <c r="F162" t="s">
        <v>309</v>
      </c>
      <c r="G162" s="24">
        <f t="shared" ref="G162:G184" si="8">AE162-(7/24)</f>
        <v>43943.360949074078</v>
      </c>
      <c r="H162" t="s">
        <v>31</v>
      </c>
      <c r="I162" t="s">
        <v>74</v>
      </c>
      <c r="K162" t="s">
        <v>225</v>
      </c>
      <c r="N162" t="s">
        <v>299</v>
      </c>
      <c r="AD162" t="s">
        <v>238</v>
      </c>
      <c r="AE162" s="2">
        <v>43943.652615740742</v>
      </c>
      <c r="AF162" t="s">
        <v>158</v>
      </c>
      <c r="AG162" s="2">
        <v>43943.652615740742</v>
      </c>
      <c r="AH162" t="s">
        <v>158</v>
      </c>
    </row>
    <row r="163" spans="1:34" x14ac:dyDescent="0.25">
      <c r="A163">
        <v>32</v>
      </c>
      <c r="B163" s="36">
        <v>43943</v>
      </c>
      <c r="C163" s="24">
        <f t="shared" si="7"/>
        <v>43943.364270833335</v>
      </c>
      <c r="D163" t="s">
        <v>43</v>
      </c>
      <c r="E163">
        <v>1</v>
      </c>
      <c r="F163" t="s">
        <v>309</v>
      </c>
      <c r="G163" s="24">
        <f t="shared" si="8"/>
        <v>43943.364270833335</v>
      </c>
      <c r="H163" t="s">
        <v>31</v>
      </c>
      <c r="I163" t="s">
        <v>50</v>
      </c>
      <c r="N163" t="s">
        <v>311</v>
      </c>
      <c r="AD163" t="s">
        <v>95</v>
      </c>
      <c r="AE163" s="2">
        <v>43943.6559375</v>
      </c>
      <c r="AF163" t="s">
        <v>34</v>
      </c>
      <c r="AG163" s="2">
        <v>43943.6559375</v>
      </c>
      <c r="AH163" t="s">
        <v>34</v>
      </c>
    </row>
    <row r="164" spans="1:34" x14ac:dyDescent="0.25">
      <c r="A164">
        <v>153</v>
      </c>
      <c r="B164" s="36">
        <v>43943</v>
      </c>
      <c r="C164" s="24">
        <f t="shared" si="7"/>
        <v>43943.376932870378</v>
      </c>
      <c r="D164" t="s">
        <v>43</v>
      </c>
      <c r="E164">
        <v>2</v>
      </c>
      <c r="F164" t="s">
        <v>309</v>
      </c>
      <c r="G164" s="24">
        <f t="shared" si="8"/>
        <v>43943.376932870378</v>
      </c>
      <c r="H164" t="s">
        <v>31</v>
      </c>
      <c r="I164" t="s">
        <v>47</v>
      </c>
      <c r="N164" t="s">
        <v>299</v>
      </c>
      <c r="AD164" t="s">
        <v>263</v>
      </c>
      <c r="AE164" s="2">
        <v>43943.668599537043</v>
      </c>
      <c r="AF164" t="s">
        <v>158</v>
      </c>
      <c r="AG164" s="2">
        <v>43943.668599537043</v>
      </c>
      <c r="AH164" t="s">
        <v>158</v>
      </c>
    </row>
    <row r="165" spans="1:34" x14ac:dyDescent="0.25">
      <c r="A165">
        <v>159</v>
      </c>
      <c r="B165" s="36">
        <v>43943</v>
      </c>
      <c r="C165" s="24">
        <f t="shared" si="7"/>
        <v>43943.379409722227</v>
      </c>
      <c r="D165" t="s">
        <v>43</v>
      </c>
      <c r="E165">
        <v>1</v>
      </c>
      <c r="F165" t="s">
        <v>309</v>
      </c>
      <c r="G165" s="24">
        <f t="shared" si="8"/>
        <v>43943.379409722227</v>
      </c>
      <c r="H165" t="s">
        <v>31</v>
      </c>
      <c r="I165" t="s">
        <v>47</v>
      </c>
      <c r="N165" t="s">
        <v>299</v>
      </c>
      <c r="AD165" t="s">
        <v>269</v>
      </c>
      <c r="AE165" s="2">
        <v>43943.671076388891</v>
      </c>
      <c r="AF165" t="s">
        <v>158</v>
      </c>
      <c r="AG165" s="2">
        <v>43943.671076388891</v>
      </c>
      <c r="AH165" t="s">
        <v>158</v>
      </c>
    </row>
    <row r="166" spans="1:34" x14ac:dyDescent="0.25">
      <c r="A166">
        <v>43</v>
      </c>
      <c r="B166" s="36">
        <v>43943</v>
      </c>
      <c r="C166" s="24">
        <f t="shared" si="7"/>
        <v>43943.379722222235</v>
      </c>
      <c r="D166" t="s">
        <v>43</v>
      </c>
      <c r="E166">
        <v>2</v>
      </c>
      <c r="F166" t="s">
        <v>309</v>
      </c>
      <c r="G166" s="24">
        <f t="shared" si="8"/>
        <v>43943.379722222235</v>
      </c>
      <c r="H166" t="s">
        <v>31</v>
      </c>
      <c r="N166" t="s">
        <v>311</v>
      </c>
      <c r="AD166" t="s">
        <v>111</v>
      </c>
      <c r="AE166" s="2">
        <v>43943.671388888899</v>
      </c>
      <c r="AF166" t="s">
        <v>34</v>
      </c>
      <c r="AG166" s="2">
        <v>43943.671388888899</v>
      </c>
      <c r="AH166" t="s">
        <v>34</v>
      </c>
    </row>
    <row r="167" spans="1:34" x14ac:dyDescent="0.25">
      <c r="A167">
        <v>163</v>
      </c>
      <c r="B167" s="36">
        <v>43943</v>
      </c>
      <c r="C167" s="24">
        <f t="shared" si="7"/>
        <v>43943.385196759264</v>
      </c>
      <c r="D167" t="s">
        <v>43</v>
      </c>
      <c r="E167">
        <v>1</v>
      </c>
      <c r="F167" t="s">
        <v>309</v>
      </c>
      <c r="G167" s="24">
        <f t="shared" si="8"/>
        <v>43943.385196759264</v>
      </c>
      <c r="H167" t="s">
        <v>31</v>
      </c>
      <c r="I167" t="s">
        <v>47</v>
      </c>
      <c r="N167" t="s">
        <v>299</v>
      </c>
      <c r="AD167" t="s">
        <v>273</v>
      </c>
      <c r="AE167" s="2">
        <v>43943.676863425928</v>
      </c>
      <c r="AF167" t="s">
        <v>158</v>
      </c>
      <c r="AG167" s="2">
        <v>43943.676863425928</v>
      </c>
      <c r="AH167" t="s">
        <v>158</v>
      </c>
    </row>
    <row r="168" spans="1:34" x14ac:dyDescent="0.25">
      <c r="A168">
        <v>57</v>
      </c>
      <c r="B168" s="36">
        <v>43943</v>
      </c>
      <c r="C168" s="24">
        <f t="shared" si="7"/>
        <v>43943.390104166669</v>
      </c>
      <c r="D168" t="s">
        <v>43</v>
      </c>
      <c r="E168">
        <v>1</v>
      </c>
      <c r="F168" t="s">
        <v>309</v>
      </c>
      <c r="G168" s="24">
        <f t="shared" si="8"/>
        <v>43943.390104166669</v>
      </c>
      <c r="H168" t="s">
        <v>31</v>
      </c>
      <c r="I168" t="s">
        <v>74</v>
      </c>
      <c r="N168" t="s">
        <v>311</v>
      </c>
      <c r="AD168" t="s">
        <v>130</v>
      </c>
      <c r="AE168" s="2">
        <v>43943.681770833333</v>
      </c>
      <c r="AF168" t="s">
        <v>34</v>
      </c>
      <c r="AG168" s="2">
        <v>43943.681770833333</v>
      </c>
      <c r="AH168" t="s">
        <v>34</v>
      </c>
    </row>
    <row r="169" spans="1:34" x14ac:dyDescent="0.25">
      <c r="A169">
        <v>178</v>
      </c>
      <c r="B169" s="36">
        <v>43943</v>
      </c>
      <c r="C169" s="24">
        <f t="shared" si="7"/>
        <v>43943.400092592594</v>
      </c>
      <c r="D169" t="s">
        <v>43</v>
      </c>
      <c r="E169">
        <v>1</v>
      </c>
      <c r="F169" t="s">
        <v>309</v>
      </c>
      <c r="G169" s="24">
        <f t="shared" si="8"/>
        <v>43943.400092592594</v>
      </c>
      <c r="H169" t="s">
        <v>31</v>
      </c>
      <c r="I169" t="s">
        <v>47</v>
      </c>
      <c r="N169" t="s">
        <v>299</v>
      </c>
      <c r="AD169" t="s">
        <v>292</v>
      </c>
      <c r="AE169" s="2">
        <v>43943.691759259258</v>
      </c>
      <c r="AF169" t="s">
        <v>158</v>
      </c>
      <c r="AG169" s="2">
        <v>43943.691759259258</v>
      </c>
      <c r="AH169" t="s">
        <v>158</v>
      </c>
    </row>
    <row r="170" spans="1:34" x14ac:dyDescent="0.25">
      <c r="A170">
        <v>145</v>
      </c>
      <c r="B170" s="36">
        <v>43943</v>
      </c>
      <c r="C170" s="24">
        <f t="shared" si="7"/>
        <v>43943.369872685187</v>
      </c>
      <c r="D170" t="s">
        <v>252</v>
      </c>
      <c r="E170">
        <v>1</v>
      </c>
      <c r="F170" t="s">
        <v>309</v>
      </c>
      <c r="G170" s="24">
        <f t="shared" si="8"/>
        <v>43943.369872685187</v>
      </c>
      <c r="H170" t="s">
        <v>31</v>
      </c>
      <c r="I170" t="s">
        <v>162</v>
      </c>
      <c r="N170" t="s">
        <v>299</v>
      </c>
      <c r="AD170" t="s">
        <v>253</v>
      </c>
      <c r="AE170" s="2">
        <v>43943.661539351851</v>
      </c>
      <c r="AF170" t="s">
        <v>158</v>
      </c>
      <c r="AG170" s="2">
        <v>43943.661539351851</v>
      </c>
      <c r="AH170" t="s">
        <v>158</v>
      </c>
    </row>
    <row r="171" spans="1:34" x14ac:dyDescent="0.25">
      <c r="A171">
        <v>158</v>
      </c>
      <c r="B171" s="36">
        <v>43943</v>
      </c>
      <c r="C171" s="24">
        <f t="shared" si="7"/>
        <v>43943.379270833335</v>
      </c>
      <c r="D171" t="s">
        <v>112</v>
      </c>
      <c r="E171">
        <v>1</v>
      </c>
      <c r="F171" t="s">
        <v>309</v>
      </c>
      <c r="G171" s="24">
        <f t="shared" si="8"/>
        <v>43943.379270833335</v>
      </c>
      <c r="H171" t="s">
        <v>31</v>
      </c>
      <c r="I171" t="s">
        <v>57</v>
      </c>
      <c r="N171" t="s">
        <v>299</v>
      </c>
      <c r="AD171" t="s">
        <v>268</v>
      </c>
      <c r="AE171" s="2">
        <v>43943.670937499999</v>
      </c>
      <c r="AF171" t="s">
        <v>158</v>
      </c>
      <c r="AG171" s="2">
        <v>43943.670937499999</v>
      </c>
      <c r="AH171" t="s">
        <v>158</v>
      </c>
    </row>
    <row r="172" spans="1:34" x14ac:dyDescent="0.25">
      <c r="A172">
        <v>44</v>
      </c>
      <c r="B172" s="36">
        <v>43943</v>
      </c>
      <c r="C172" s="24">
        <f t="shared" si="7"/>
        <v>43943.379907407412</v>
      </c>
      <c r="D172" t="s">
        <v>112</v>
      </c>
      <c r="E172">
        <v>1</v>
      </c>
      <c r="F172" t="s">
        <v>309</v>
      </c>
      <c r="G172" s="24">
        <f t="shared" si="8"/>
        <v>43943.379907407412</v>
      </c>
      <c r="H172" t="s">
        <v>31</v>
      </c>
      <c r="N172" t="s">
        <v>311</v>
      </c>
      <c r="AD172" t="s">
        <v>113</v>
      </c>
      <c r="AE172" s="2">
        <v>43943.671574074076</v>
      </c>
      <c r="AF172" t="s">
        <v>34</v>
      </c>
      <c r="AG172" s="2">
        <v>43943.671574074076</v>
      </c>
      <c r="AH172" t="s">
        <v>34</v>
      </c>
    </row>
    <row r="173" spans="1:34" x14ac:dyDescent="0.25">
      <c r="A173">
        <v>91</v>
      </c>
      <c r="B173" s="36">
        <v>43943</v>
      </c>
      <c r="C173" s="24">
        <f t="shared" si="7"/>
        <v>43943.323518518519</v>
      </c>
      <c r="D173" t="s">
        <v>181</v>
      </c>
      <c r="E173">
        <v>3</v>
      </c>
      <c r="F173" t="s">
        <v>309</v>
      </c>
      <c r="G173" s="24">
        <f t="shared" si="8"/>
        <v>43943.323518518519</v>
      </c>
      <c r="H173" t="s">
        <v>31</v>
      </c>
      <c r="I173" t="s">
        <v>162</v>
      </c>
      <c r="N173" t="s">
        <v>299</v>
      </c>
      <c r="AD173" t="s">
        <v>182</v>
      </c>
      <c r="AE173" s="2">
        <v>43943.615185185183</v>
      </c>
      <c r="AF173" t="s">
        <v>158</v>
      </c>
      <c r="AG173" s="2">
        <v>43943.615185185183</v>
      </c>
      <c r="AH173" t="s">
        <v>158</v>
      </c>
    </row>
    <row r="174" spans="1:34" x14ac:dyDescent="0.25">
      <c r="A174">
        <v>95</v>
      </c>
      <c r="B174" s="36">
        <v>43943</v>
      </c>
      <c r="C174" s="24">
        <f t="shared" si="7"/>
        <v>43943.328020833338</v>
      </c>
      <c r="D174" t="s">
        <v>181</v>
      </c>
      <c r="E174">
        <v>2</v>
      </c>
      <c r="F174" t="s">
        <v>309</v>
      </c>
      <c r="G174" s="24">
        <f t="shared" si="8"/>
        <v>43943.328020833338</v>
      </c>
      <c r="H174" t="s">
        <v>31</v>
      </c>
      <c r="I174" t="s">
        <v>162</v>
      </c>
      <c r="N174" t="s">
        <v>299</v>
      </c>
      <c r="AD174" t="s">
        <v>186</v>
      </c>
      <c r="AE174" s="2">
        <v>43943.619687500002</v>
      </c>
      <c r="AF174" t="s">
        <v>158</v>
      </c>
      <c r="AG174" s="2">
        <v>43943.619687500002</v>
      </c>
      <c r="AH174" t="s">
        <v>158</v>
      </c>
    </row>
    <row r="175" spans="1:34" x14ac:dyDescent="0.25">
      <c r="A175">
        <v>146</v>
      </c>
      <c r="B175" s="36">
        <v>43943</v>
      </c>
      <c r="C175" s="24">
        <f t="shared" si="7"/>
        <v>43943.372453703705</v>
      </c>
      <c r="D175" t="s">
        <v>181</v>
      </c>
      <c r="E175">
        <v>10</v>
      </c>
      <c r="F175" t="s">
        <v>309</v>
      </c>
      <c r="G175" s="24">
        <f t="shared" si="8"/>
        <v>43943.372453703705</v>
      </c>
      <c r="H175" t="s">
        <v>31</v>
      </c>
      <c r="I175" t="s">
        <v>162</v>
      </c>
      <c r="N175" t="s">
        <v>299</v>
      </c>
      <c r="AD175" t="s">
        <v>254</v>
      </c>
      <c r="AE175" s="2">
        <v>43943.664120370369</v>
      </c>
      <c r="AF175" t="s">
        <v>158</v>
      </c>
      <c r="AG175" s="2">
        <v>43943.664120370369</v>
      </c>
      <c r="AH175" t="s">
        <v>158</v>
      </c>
    </row>
    <row r="176" spans="1:34" x14ac:dyDescent="0.25">
      <c r="A176">
        <v>109</v>
      </c>
      <c r="B176" s="36">
        <v>43943</v>
      </c>
      <c r="C176" s="24">
        <f t="shared" si="7"/>
        <v>43943.339884259272</v>
      </c>
      <c r="D176" t="s">
        <v>89</v>
      </c>
      <c r="E176">
        <v>1</v>
      </c>
      <c r="F176" t="s">
        <v>309</v>
      </c>
      <c r="G176" s="24">
        <f t="shared" si="8"/>
        <v>43943.339884259272</v>
      </c>
      <c r="H176" t="s">
        <v>31</v>
      </c>
      <c r="I176" t="s">
        <v>44</v>
      </c>
      <c r="N176" t="s">
        <v>299</v>
      </c>
      <c r="AD176" t="s">
        <v>204</v>
      </c>
      <c r="AE176" s="2">
        <v>43943.631550925937</v>
      </c>
      <c r="AF176" t="s">
        <v>158</v>
      </c>
      <c r="AG176" s="2">
        <v>43943.631550925937</v>
      </c>
      <c r="AH176" t="s">
        <v>158</v>
      </c>
    </row>
    <row r="177" spans="1:34" x14ac:dyDescent="0.25">
      <c r="A177">
        <v>28</v>
      </c>
      <c r="B177" s="36">
        <v>43943</v>
      </c>
      <c r="C177" s="24">
        <f t="shared" si="7"/>
        <v>43943.357256944444</v>
      </c>
      <c r="D177" t="s">
        <v>89</v>
      </c>
      <c r="E177">
        <v>2</v>
      </c>
      <c r="F177" t="s">
        <v>309</v>
      </c>
      <c r="G177" s="24">
        <f t="shared" si="8"/>
        <v>43943.357256944444</v>
      </c>
      <c r="H177" t="s">
        <v>31</v>
      </c>
      <c r="I177" t="s">
        <v>50</v>
      </c>
      <c r="N177" t="s">
        <v>311</v>
      </c>
      <c r="AD177" t="s">
        <v>90</v>
      </c>
      <c r="AE177" s="2">
        <v>43943.648923611108</v>
      </c>
      <c r="AF177" t="s">
        <v>34</v>
      </c>
      <c r="AG177" s="2">
        <v>43943.66814814815</v>
      </c>
      <c r="AH177" t="s">
        <v>34</v>
      </c>
    </row>
    <row r="178" spans="1:34" x14ac:dyDescent="0.25">
      <c r="A178">
        <v>70</v>
      </c>
      <c r="B178" s="36">
        <v>43943</v>
      </c>
      <c r="C178" s="24">
        <f t="shared" si="7"/>
        <v>43943.402094907418</v>
      </c>
      <c r="D178" t="s">
        <v>89</v>
      </c>
      <c r="E178">
        <v>1</v>
      </c>
      <c r="F178" t="s">
        <v>309</v>
      </c>
      <c r="G178" s="24">
        <f t="shared" si="8"/>
        <v>43943.402094907418</v>
      </c>
      <c r="H178" t="s">
        <v>31</v>
      </c>
      <c r="I178" t="s">
        <v>44</v>
      </c>
      <c r="N178" t="s">
        <v>311</v>
      </c>
      <c r="AD178" t="s">
        <v>150</v>
      </c>
      <c r="AE178" s="2">
        <v>43943.693761574083</v>
      </c>
      <c r="AF178" t="s">
        <v>34</v>
      </c>
      <c r="AG178" s="2">
        <v>43943.693761574083</v>
      </c>
      <c r="AH178" t="s">
        <v>34</v>
      </c>
    </row>
    <row r="179" spans="1:34" x14ac:dyDescent="0.25">
      <c r="A179">
        <v>2</v>
      </c>
      <c r="B179" s="36">
        <v>43943</v>
      </c>
      <c r="C179" s="24">
        <f t="shared" si="7"/>
        <v>43943.310543981483</v>
      </c>
      <c r="D179" t="s">
        <v>35</v>
      </c>
      <c r="E179">
        <v>9</v>
      </c>
      <c r="F179" t="s">
        <v>309</v>
      </c>
      <c r="G179" s="24">
        <f t="shared" si="8"/>
        <v>43943.310543981483</v>
      </c>
      <c r="H179" t="s">
        <v>31</v>
      </c>
      <c r="I179" t="s">
        <v>32</v>
      </c>
      <c r="N179" t="s">
        <v>311</v>
      </c>
      <c r="AD179" t="s">
        <v>36</v>
      </c>
      <c r="AE179" s="2">
        <v>43943.602210648147</v>
      </c>
      <c r="AF179" t="s">
        <v>34</v>
      </c>
      <c r="AG179" s="2">
        <v>43943.602210648147</v>
      </c>
      <c r="AH179" t="s">
        <v>34</v>
      </c>
    </row>
    <row r="180" spans="1:34" x14ac:dyDescent="0.25">
      <c r="A180">
        <v>79</v>
      </c>
      <c r="B180" s="36">
        <v>43943</v>
      </c>
      <c r="C180" s="24">
        <f t="shared" si="7"/>
        <v>43943.312465277777</v>
      </c>
      <c r="D180" t="s">
        <v>35</v>
      </c>
      <c r="E180">
        <v>13</v>
      </c>
      <c r="F180" t="s">
        <v>309</v>
      </c>
      <c r="G180" s="24">
        <f t="shared" si="8"/>
        <v>43943.312465277777</v>
      </c>
      <c r="H180" t="s">
        <v>102</v>
      </c>
      <c r="I180" t="s">
        <v>162</v>
      </c>
      <c r="N180" t="s">
        <v>299</v>
      </c>
      <c r="AD180" t="s">
        <v>165</v>
      </c>
      <c r="AE180" s="2">
        <v>43943.604131944441</v>
      </c>
      <c r="AF180" t="s">
        <v>158</v>
      </c>
      <c r="AG180" s="2">
        <v>43943.604131944441</v>
      </c>
      <c r="AH180" t="s">
        <v>158</v>
      </c>
    </row>
    <row r="181" spans="1:34" x14ac:dyDescent="0.25">
      <c r="A181">
        <v>48</v>
      </c>
      <c r="B181" s="36">
        <v>43943</v>
      </c>
      <c r="C181" s="24">
        <f t="shared" si="7"/>
        <v>43943.384421296309</v>
      </c>
      <c r="D181" t="s">
        <v>117</v>
      </c>
      <c r="E181">
        <v>2</v>
      </c>
      <c r="F181" t="s">
        <v>309</v>
      </c>
      <c r="G181" s="24">
        <f t="shared" si="8"/>
        <v>43943.384421296309</v>
      </c>
      <c r="H181" t="s">
        <v>31</v>
      </c>
      <c r="I181" t="s">
        <v>74</v>
      </c>
      <c r="N181" t="s">
        <v>311</v>
      </c>
      <c r="AD181" t="s">
        <v>118</v>
      </c>
      <c r="AE181" s="2">
        <v>43943.676087962973</v>
      </c>
      <c r="AF181" t="s">
        <v>34</v>
      </c>
      <c r="AG181" s="2">
        <v>43943.676087962973</v>
      </c>
      <c r="AH181" t="s">
        <v>34</v>
      </c>
    </row>
    <row r="182" spans="1:34" x14ac:dyDescent="0.25">
      <c r="A182">
        <v>72</v>
      </c>
      <c r="B182" s="36">
        <v>43943</v>
      </c>
      <c r="C182" s="24">
        <f t="shared" si="7"/>
        <v>43943.406585648168</v>
      </c>
      <c r="D182" t="s">
        <v>153</v>
      </c>
      <c r="E182">
        <v>1</v>
      </c>
      <c r="F182" t="s">
        <v>309</v>
      </c>
      <c r="G182" s="24">
        <f t="shared" si="8"/>
        <v>43943.406585648168</v>
      </c>
      <c r="H182" t="s">
        <v>31</v>
      </c>
      <c r="I182" t="s">
        <v>57</v>
      </c>
      <c r="N182" t="s">
        <v>311</v>
      </c>
      <c r="AD182" t="s">
        <v>154</v>
      </c>
      <c r="AE182" s="2">
        <v>43943.698252314833</v>
      </c>
      <c r="AF182" t="s">
        <v>34</v>
      </c>
      <c r="AG182" s="2">
        <v>43943.698252314833</v>
      </c>
      <c r="AH182" t="s">
        <v>34</v>
      </c>
    </row>
    <row r="183" spans="1:34" x14ac:dyDescent="0.25">
      <c r="A183">
        <v>73</v>
      </c>
      <c r="B183" s="36">
        <v>43943</v>
      </c>
      <c r="C183" s="24">
        <f t="shared" si="7"/>
        <v>43943.409074074087</v>
      </c>
      <c r="D183" t="s">
        <v>153</v>
      </c>
      <c r="E183">
        <v>1</v>
      </c>
      <c r="F183" t="s">
        <v>309</v>
      </c>
      <c r="G183" s="24">
        <f t="shared" si="8"/>
        <v>43943.409074074087</v>
      </c>
      <c r="H183" t="s">
        <v>31</v>
      </c>
      <c r="I183" t="s">
        <v>57</v>
      </c>
      <c r="N183" t="s">
        <v>311</v>
      </c>
      <c r="AD183" t="s">
        <v>155</v>
      </c>
      <c r="AE183" s="2">
        <v>43943.700740740751</v>
      </c>
      <c r="AF183" t="s">
        <v>34</v>
      </c>
      <c r="AG183" s="2">
        <v>43943.700740740751</v>
      </c>
      <c r="AH183" t="s">
        <v>34</v>
      </c>
    </row>
    <row r="184" spans="1:34" x14ac:dyDescent="0.25">
      <c r="A184">
        <v>15</v>
      </c>
      <c r="B184" s="36">
        <v>43943</v>
      </c>
      <c r="C184" s="24">
        <f t="shared" si="7"/>
        <v>43943.339722222227</v>
      </c>
      <c r="D184" t="s">
        <v>67</v>
      </c>
      <c r="E184">
        <v>1</v>
      </c>
      <c r="F184" t="s">
        <v>309</v>
      </c>
      <c r="G184" s="24">
        <f t="shared" si="8"/>
        <v>43943.339722222227</v>
      </c>
      <c r="H184" t="s">
        <v>31</v>
      </c>
      <c r="I184" t="s">
        <v>60</v>
      </c>
      <c r="N184" t="s">
        <v>311</v>
      </c>
      <c r="AD184" t="s">
        <v>68</v>
      </c>
      <c r="AE184" s="2">
        <v>43943.631388888891</v>
      </c>
      <c r="AF184" t="s">
        <v>34</v>
      </c>
      <c r="AG184" s="2">
        <v>43943.631388888891</v>
      </c>
      <c r="AH184" t="s">
        <v>34</v>
      </c>
    </row>
  </sheetData>
  <autoFilter ref="A1:AH184" xr:uid="{F058C84E-14D0-4B3C-97EC-9B2D77E741B3}"/>
  <sortState xmlns:xlrd2="http://schemas.microsoft.com/office/spreadsheetml/2017/richdata2" ref="A2:AH184">
    <sortCondition ref="D2:D184"/>
    <sortCondition ref="G2:G184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0981-E57C-4999-A34C-1A1D4CB76A85}">
  <dimension ref="A1:G64"/>
  <sheetViews>
    <sheetView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C13" sqref="C13"/>
    </sheetView>
  </sheetViews>
  <sheetFormatPr defaultRowHeight="15" x14ac:dyDescent="0.25"/>
  <cols>
    <col min="1" max="1" width="28.140625" bestFit="1" customWidth="1"/>
    <col min="2" max="2" width="15.5703125" bestFit="1" customWidth="1"/>
    <col min="3" max="3" width="20" bestFit="1" customWidth="1"/>
    <col min="4" max="4" width="8.140625" bestFit="1" customWidth="1"/>
    <col min="5" max="5" width="14.85546875" bestFit="1" customWidth="1"/>
    <col min="6" max="6" width="20" bestFit="1" customWidth="1"/>
    <col min="7" max="7" width="8.42578125" bestFit="1" customWidth="1"/>
    <col min="8" max="8" width="10.7109375" bestFit="1" customWidth="1"/>
  </cols>
  <sheetData>
    <row r="1" spans="1:7" x14ac:dyDescent="0.25">
      <c r="D1" s="34" t="s">
        <v>307</v>
      </c>
      <c r="E1" s="32" t="s">
        <v>306</v>
      </c>
      <c r="F1" s="32"/>
      <c r="G1" s="32"/>
    </row>
    <row r="2" spans="1:7" ht="15.75" thickBot="1" x14ac:dyDescent="0.3">
      <c r="D2" s="35"/>
      <c r="E2" s="33"/>
      <c r="F2" s="33"/>
      <c r="G2" s="33"/>
    </row>
    <row r="3" spans="1:7" x14ac:dyDescent="0.25">
      <c r="A3" s="3" t="s">
        <v>302</v>
      </c>
      <c r="B3" s="3" t="s">
        <v>303</v>
      </c>
      <c r="D3" s="7"/>
      <c r="E3" s="27"/>
      <c r="F3" s="27"/>
      <c r="G3" s="27"/>
    </row>
    <row r="4" spans="1:7" x14ac:dyDescent="0.25">
      <c r="B4" t="s">
        <v>31</v>
      </c>
      <c r="D4" s="7" t="s">
        <v>304</v>
      </c>
      <c r="E4" s="5" t="s">
        <v>102</v>
      </c>
      <c r="F4" s="5"/>
      <c r="G4" s="5" t="s">
        <v>305</v>
      </c>
    </row>
    <row r="5" spans="1:7" x14ac:dyDescent="0.25">
      <c r="A5" s="3" t="s">
        <v>300</v>
      </c>
      <c r="B5" t="s">
        <v>299</v>
      </c>
      <c r="C5" t="s">
        <v>311</v>
      </c>
      <c r="D5" s="7"/>
      <c r="E5" s="5" t="s">
        <v>299</v>
      </c>
      <c r="F5" s="5" t="s">
        <v>311</v>
      </c>
      <c r="G5" s="5"/>
    </row>
    <row r="6" spans="1:7" x14ac:dyDescent="0.25">
      <c r="A6" s="4" t="s">
        <v>148</v>
      </c>
      <c r="B6" s="10">
        <v>11</v>
      </c>
      <c r="C6" s="11">
        <v>7</v>
      </c>
      <c r="D6" s="12">
        <v>18</v>
      </c>
      <c r="E6" s="28"/>
      <c r="F6" s="28"/>
      <c r="G6" s="13"/>
    </row>
    <row r="7" spans="1:7" x14ac:dyDescent="0.25">
      <c r="A7" s="4" t="s">
        <v>71</v>
      </c>
      <c r="B7" s="14">
        <v>8</v>
      </c>
      <c r="C7" s="15">
        <v>2</v>
      </c>
      <c r="D7" s="16">
        <v>10</v>
      </c>
      <c r="E7" s="29"/>
      <c r="F7" s="29"/>
      <c r="G7" s="17"/>
    </row>
    <row r="8" spans="1:7" x14ac:dyDescent="0.25">
      <c r="A8" s="4" t="s">
        <v>54</v>
      </c>
      <c r="B8" s="14">
        <v>4</v>
      </c>
      <c r="C8" s="15">
        <v>5</v>
      </c>
      <c r="D8" s="16">
        <v>9</v>
      </c>
      <c r="E8" s="29"/>
      <c r="F8" s="29"/>
      <c r="G8" s="17"/>
    </row>
    <row r="9" spans="1:7" x14ac:dyDescent="0.25">
      <c r="A9" s="4" t="s">
        <v>62</v>
      </c>
      <c r="B9" s="14"/>
      <c r="C9" s="15">
        <v>1</v>
      </c>
      <c r="D9" s="16">
        <v>1</v>
      </c>
      <c r="E9" s="29"/>
      <c r="F9" s="29"/>
      <c r="G9" s="17"/>
    </row>
    <row r="10" spans="1:7" x14ac:dyDescent="0.25">
      <c r="A10" s="4" t="s">
        <v>214</v>
      </c>
      <c r="B10" s="14">
        <v>4</v>
      </c>
      <c r="C10" s="15"/>
      <c r="D10" s="16">
        <v>4</v>
      </c>
      <c r="E10" s="29"/>
      <c r="F10" s="29"/>
      <c r="G10" s="17"/>
    </row>
    <row r="11" spans="1:7" x14ac:dyDescent="0.25">
      <c r="A11" s="4" t="s">
        <v>239</v>
      </c>
      <c r="B11" s="14">
        <v>2</v>
      </c>
      <c r="C11" s="15"/>
      <c r="D11" s="16">
        <v>2</v>
      </c>
      <c r="E11" s="29"/>
      <c r="F11" s="29"/>
      <c r="G11" s="17"/>
    </row>
    <row r="12" spans="1:7" x14ac:dyDescent="0.25">
      <c r="A12" s="4" t="s">
        <v>37</v>
      </c>
      <c r="B12" s="14">
        <v>1</v>
      </c>
      <c r="C12" s="15">
        <v>1</v>
      </c>
      <c r="D12" s="16">
        <v>2</v>
      </c>
      <c r="E12" s="29">
        <v>1</v>
      </c>
      <c r="F12" s="29"/>
      <c r="G12" s="17">
        <v>1</v>
      </c>
    </row>
    <row r="13" spans="1:7" x14ac:dyDescent="0.25">
      <c r="A13" s="4" t="s">
        <v>210</v>
      </c>
      <c r="B13" s="14">
        <v>3</v>
      </c>
      <c r="C13" s="15"/>
      <c r="D13" s="16">
        <v>3</v>
      </c>
      <c r="E13" s="29"/>
      <c r="F13" s="29"/>
      <c r="G13" s="17"/>
    </row>
    <row r="14" spans="1:7" x14ac:dyDescent="0.25">
      <c r="A14" s="4" t="s">
        <v>220</v>
      </c>
      <c r="B14" s="14">
        <v>2</v>
      </c>
      <c r="C14" s="15"/>
      <c r="D14" s="16">
        <v>2</v>
      </c>
      <c r="E14" s="29"/>
      <c r="F14" s="29"/>
      <c r="G14" s="17"/>
    </row>
    <row r="15" spans="1:7" x14ac:dyDescent="0.25">
      <c r="A15" s="4" t="s">
        <v>280</v>
      </c>
      <c r="B15" s="14">
        <v>1</v>
      </c>
      <c r="C15" s="15"/>
      <c r="D15" s="16">
        <v>1</v>
      </c>
      <c r="E15" s="29"/>
      <c r="F15" s="29"/>
      <c r="G15" s="17"/>
    </row>
    <row r="16" spans="1:7" x14ac:dyDescent="0.25">
      <c r="A16" s="4" t="s">
        <v>52</v>
      </c>
      <c r="B16" s="14"/>
      <c r="C16" s="15">
        <v>8</v>
      </c>
      <c r="D16" s="16">
        <v>8</v>
      </c>
      <c r="E16" s="29"/>
      <c r="F16" s="29"/>
      <c r="G16" s="17"/>
    </row>
    <row r="17" spans="1:7" x14ac:dyDescent="0.25">
      <c r="A17" s="4" t="s">
        <v>256</v>
      </c>
      <c r="B17" s="14">
        <v>3</v>
      </c>
      <c r="C17" s="15"/>
      <c r="D17" s="16">
        <v>3</v>
      </c>
      <c r="E17" s="29"/>
      <c r="F17" s="29"/>
      <c r="G17" s="17"/>
    </row>
    <row r="18" spans="1:7" x14ac:dyDescent="0.25">
      <c r="A18" s="4" t="s">
        <v>92</v>
      </c>
      <c r="B18" s="14"/>
      <c r="C18" s="15">
        <v>2</v>
      </c>
      <c r="D18" s="16">
        <v>2</v>
      </c>
      <c r="E18" s="29"/>
      <c r="F18" s="29"/>
      <c r="G18" s="17"/>
    </row>
    <row r="19" spans="1:7" x14ac:dyDescent="0.25">
      <c r="A19" s="4" t="s">
        <v>69</v>
      </c>
      <c r="B19" s="14"/>
      <c r="C19" s="15">
        <v>5</v>
      </c>
      <c r="D19" s="16">
        <v>5</v>
      </c>
      <c r="E19" s="29"/>
      <c r="F19" s="29"/>
      <c r="G19" s="17"/>
    </row>
    <row r="20" spans="1:7" x14ac:dyDescent="0.25">
      <c r="A20" s="4" t="s">
        <v>126</v>
      </c>
      <c r="B20" s="14">
        <v>6</v>
      </c>
      <c r="C20" s="15">
        <v>2</v>
      </c>
      <c r="D20" s="16">
        <v>8</v>
      </c>
      <c r="E20" s="29"/>
      <c r="F20" s="29"/>
      <c r="G20" s="17"/>
    </row>
    <row r="21" spans="1:7" x14ac:dyDescent="0.25">
      <c r="A21" s="4" t="s">
        <v>124</v>
      </c>
      <c r="B21" s="14">
        <v>1</v>
      </c>
      <c r="C21" s="15">
        <v>1</v>
      </c>
      <c r="D21" s="16">
        <v>2</v>
      </c>
      <c r="E21" s="29"/>
      <c r="F21" s="29"/>
      <c r="G21" s="17"/>
    </row>
    <row r="22" spans="1:7" x14ac:dyDescent="0.25">
      <c r="A22" s="4" t="s">
        <v>56</v>
      </c>
      <c r="B22" s="14">
        <v>80</v>
      </c>
      <c r="C22" s="15">
        <v>215</v>
      </c>
      <c r="D22" s="16">
        <v>295</v>
      </c>
      <c r="E22" s="29">
        <v>135</v>
      </c>
      <c r="F22" s="29">
        <v>25</v>
      </c>
      <c r="G22" s="17">
        <v>160</v>
      </c>
    </row>
    <row r="23" spans="1:7" x14ac:dyDescent="0.25">
      <c r="A23" s="4" t="s">
        <v>46</v>
      </c>
      <c r="B23" s="14">
        <v>2</v>
      </c>
      <c r="C23" s="15">
        <v>8</v>
      </c>
      <c r="D23" s="16">
        <v>10</v>
      </c>
      <c r="E23" s="29"/>
      <c r="F23" s="29"/>
      <c r="G23" s="17"/>
    </row>
    <row r="24" spans="1:7" x14ac:dyDescent="0.25">
      <c r="A24" s="4" t="s">
        <v>172</v>
      </c>
      <c r="B24" s="14">
        <v>2</v>
      </c>
      <c r="C24" s="15"/>
      <c r="D24" s="16">
        <v>2</v>
      </c>
      <c r="E24" s="29">
        <v>2</v>
      </c>
      <c r="F24" s="29"/>
      <c r="G24" s="17">
        <v>2</v>
      </c>
    </row>
    <row r="25" spans="1:7" x14ac:dyDescent="0.25">
      <c r="A25" s="4" t="s">
        <v>136</v>
      </c>
      <c r="B25" s="14"/>
      <c r="C25" s="15">
        <v>1</v>
      </c>
      <c r="D25" s="16">
        <v>1</v>
      </c>
      <c r="E25" s="29"/>
      <c r="F25" s="29"/>
      <c r="G25" s="17"/>
    </row>
    <row r="26" spans="1:7" x14ac:dyDescent="0.25">
      <c r="A26" s="4" t="s">
        <v>218</v>
      </c>
      <c r="B26" s="14">
        <v>2</v>
      </c>
      <c r="C26" s="15"/>
      <c r="D26" s="16">
        <v>2</v>
      </c>
      <c r="E26" s="29"/>
      <c r="F26" s="29"/>
      <c r="G26" s="17"/>
    </row>
    <row r="27" spans="1:7" x14ac:dyDescent="0.25">
      <c r="A27" s="4" t="s">
        <v>59</v>
      </c>
      <c r="B27" s="14"/>
      <c r="C27" s="15">
        <v>28</v>
      </c>
      <c r="D27" s="16">
        <v>28</v>
      </c>
      <c r="E27" s="29">
        <v>11</v>
      </c>
      <c r="F27" s="29"/>
      <c r="G27" s="17">
        <v>11</v>
      </c>
    </row>
    <row r="28" spans="1:7" x14ac:dyDescent="0.25">
      <c r="A28" s="4" t="s">
        <v>64</v>
      </c>
      <c r="B28" s="14">
        <v>8</v>
      </c>
      <c r="C28" s="15">
        <v>3</v>
      </c>
      <c r="D28" s="16">
        <v>11</v>
      </c>
      <c r="E28" s="29"/>
      <c r="F28" s="29"/>
      <c r="G28" s="17"/>
    </row>
    <row r="29" spans="1:7" x14ac:dyDescent="0.25">
      <c r="A29" s="4" t="s">
        <v>174</v>
      </c>
      <c r="B29" s="14">
        <v>2</v>
      </c>
      <c r="C29" s="15"/>
      <c r="D29" s="16">
        <v>2</v>
      </c>
      <c r="E29" s="29"/>
      <c r="F29" s="29"/>
      <c r="G29" s="17"/>
    </row>
    <row r="30" spans="1:7" x14ac:dyDescent="0.25">
      <c r="A30" s="4" t="s">
        <v>120</v>
      </c>
      <c r="B30" s="14">
        <v>4</v>
      </c>
      <c r="C30" s="15">
        <v>1</v>
      </c>
      <c r="D30" s="16">
        <v>5</v>
      </c>
      <c r="E30" s="29"/>
      <c r="F30" s="29"/>
      <c r="G30" s="17"/>
    </row>
    <row r="31" spans="1:7" x14ac:dyDescent="0.25">
      <c r="A31" s="4" t="s">
        <v>230</v>
      </c>
      <c r="B31" s="14">
        <v>1</v>
      </c>
      <c r="C31" s="15"/>
      <c r="D31" s="16">
        <v>1</v>
      </c>
      <c r="E31" s="29"/>
      <c r="F31" s="29"/>
      <c r="G31" s="17"/>
    </row>
    <row r="32" spans="1:7" x14ac:dyDescent="0.25">
      <c r="A32" s="4" t="s">
        <v>216</v>
      </c>
      <c r="B32" s="14">
        <v>1</v>
      </c>
      <c r="C32" s="15"/>
      <c r="D32" s="16">
        <v>1</v>
      </c>
      <c r="E32" s="29"/>
      <c r="F32" s="29"/>
      <c r="G32" s="17"/>
    </row>
    <row r="33" spans="1:7" x14ac:dyDescent="0.25">
      <c r="A33" s="4" t="s">
        <v>100</v>
      </c>
      <c r="B33" s="14">
        <v>12</v>
      </c>
      <c r="C33" s="15">
        <v>8</v>
      </c>
      <c r="D33" s="16">
        <v>20</v>
      </c>
      <c r="E33" s="29"/>
      <c r="F33" s="29"/>
      <c r="G33" s="17"/>
    </row>
    <row r="34" spans="1:7" x14ac:dyDescent="0.25">
      <c r="A34" s="4" t="s">
        <v>107</v>
      </c>
      <c r="B34" s="14">
        <v>6</v>
      </c>
      <c r="C34" s="15">
        <v>2</v>
      </c>
      <c r="D34" s="16">
        <v>8</v>
      </c>
      <c r="E34" s="29"/>
      <c r="F34" s="29"/>
      <c r="G34" s="17"/>
    </row>
    <row r="35" spans="1:7" x14ac:dyDescent="0.25">
      <c r="A35" s="4" t="s">
        <v>41</v>
      </c>
      <c r="B35" s="14">
        <v>1</v>
      </c>
      <c r="C35" s="15">
        <v>16</v>
      </c>
      <c r="D35" s="16">
        <v>17</v>
      </c>
      <c r="E35" s="29">
        <v>2</v>
      </c>
      <c r="F35" s="29"/>
      <c r="G35" s="17">
        <v>2</v>
      </c>
    </row>
    <row r="36" spans="1:7" x14ac:dyDescent="0.25">
      <c r="A36" s="4" t="s">
        <v>49</v>
      </c>
      <c r="B36" s="14"/>
      <c r="C36" s="15">
        <v>3</v>
      </c>
      <c r="D36" s="16">
        <v>3</v>
      </c>
      <c r="E36" s="29"/>
      <c r="F36" s="29"/>
      <c r="G36" s="17"/>
    </row>
    <row r="37" spans="1:7" x14ac:dyDescent="0.25">
      <c r="A37" s="4" t="s">
        <v>30</v>
      </c>
      <c r="B37" s="14">
        <v>28</v>
      </c>
      <c r="C37" s="15">
        <v>32</v>
      </c>
      <c r="D37" s="16">
        <v>60</v>
      </c>
      <c r="E37" s="29"/>
      <c r="F37" s="29"/>
      <c r="G37" s="17"/>
    </row>
    <row r="38" spans="1:7" x14ac:dyDescent="0.25">
      <c r="A38" s="4" t="s">
        <v>140</v>
      </c>
      <c r="B38" s="14"/>
      <c r="C38" s="15">
        <v>1</v>
      </c>
      <c r="D38" s="16">
        <v>1</v>
      </c>
      <c r="E38" s="29"/>
      <c r="F38" s="29"/>
      <c r="G38" s="17"/>
    </row>
    <row r="39" spans="1:7" x14ac:dyDescent="0.25">
      <c r="A39" s="4" t="s">
        <v>187</v>
      </c>
      <c r="B39" s="14">
        <v>8</v>
      </c>
      <c r="C39" s="15">
        <v>8</v>
      </c>
      <c r="D39" s="16">
        <v>16</v>
      </c>
      <c r="E39" s="29"/>
      <c r="F39" s="29"/>
      <c r="G39" s="17"/>
    </row>
    <row r="40" spans="1:7" x14ac:dyDescent="0.25">
      <c r="A40" s="4" t="s">
        <v>138</v>
      </c>
      <c r="B40" s="14">
        <v>3</v>
      </c>
      <c r="C40" s="15">
        <v>1</v>
      </c>
      <c r="D40" s="16">
        <v>4</v>
      </c>
      <c r="E40" s="29"/>
      <c r="F40" s="29"/>
      <c r="G40" s="17"/>
    </row>
    <row r="41" spans="1:7" x14ac:dyDescent="0.25">
      <c r="A41" s="4" t="s">
        <v>160</v>
      </c>
      <c r="B41" s="14">
        <v>2</v>
      </c>
      <c r="C41" s="15"/>
      <c r="D41" s="16">
        <v>2</v>
      </c>
      <c r="E41" s="29"/>
      <c r="F41" s="29"/>
      <c r="G41" s="17"/>
    </row>
    <row r="42" spans="1:7" x14ac:dyDescent="0.25">
      <c r="A42" s="4" t="s">
        <v>207</v>
      </c>
      <c r="B42" s="14">
        <v>1</v>
      </c>
      <c r="C42" s="15"/>
      <c r="D42" s="16">
        <v>1</v>
      </c>
      <c r="E42" s="29"/>
      <c r="F42" s="29"/>
      <c r="G42" s="17"/>
    </row>
    <row r="43" spans="1:7" x14ac:dyDescent="0.25">
      <c r="A43" s="4" t="s">
        <v>200</v>
      </c>
      <c r="B43" s="14">
        <v>1</v>
      </c>
      <c r="C43" s="15"/>
      <c r="D43" s="16">
        <v>1</v>
      </c>
      <c r="E43" s="29"/>
      <c r="F43" s="29"/>
      <c r="G43" s="17"/>
    </row>
    <row r="44" spans="1:7" x14ac:dyDescent="0.25">
      <c r="A44" s="4" t="s">
        <v>258</v>
      </c>
      <c r="B44" s="14">
        <v>2</v>
      </c>
      <c r="C44" s="15"/>
      <c r="D44" s="16">
        <v>2</v>
      </c>
      <c r="E44" s="29"/>
      <c r="F44" s="29"/>
      <c r="G44" s="17"/>
    </row>
    <row r="45" spans="1:7" x14ac:dyDescent="0.25">
      <c r="A45" s="4" t="s">
        <v>134</v>
      </c>
      <c r="B45" s="14"/>
      <c r="C45" s="15">
        <v>1</v>
      </c>
      <c r="D45" s="16">
        <v>1</v>
      </c>
      <c r="E45" s="29"/>
      <c r="F45" s="29"/>
      <c r="G45" s="17"/>
    </row>
    <row r="46" spans="1:7" x14ac:dyDescent="0.25">
      <c r="A46" s="4" t="s">
        <v>151</v>
      </c>
      <c r="B46" s="14"/>
      <c r="C46" s="15">
        <v>1</v>
      </c>
      <c r="D46" s="16">
        <v>1</v>
      </c>
      <c r="E46" s="29"/>
      <c r="F46" s="29"/>
      <c r="G46" s="17"/>
    </row>
    <row r="47" spans="1:7" x14ac:dyDescent="0.25">
      <c r="A47" s="4" t="s">
        <v>109</v>
      </c>
      <c r="B47" s="14">
        <v>5</v>
      </c>
      <c r="C47" s="15">
        <v>10</v>
      </c>
      <c r="D47" s="16">
        <v>15</v>
      </c>
      <c r="E47" s="29"/>
      <c r="F47" s="29"/>
      <c r="G47" s="17"/>
    </row>
    <row r="48" spans="1:7" x14ac:dyDescent="0.25">
      <c r="A48" s="4" t="s">
        <v>146</v>
      </c>
      <c r="B48" s="14">
        <v>8</v>
      </c>
      <c r="C48" s="15">
        <v>1</v>
      </c>
      <c r="D48" s="16">
        <v>9</v>
      </c>
      <c r="E48" s="29"/>
      <c r="F48" s="29"/>
      <c r="G48" s="17"/>
    </row>
    <row r="49" spans="1:7" x14ac:dyDescent="0.25">
      <c r="A49" s="4" t="s">
        <v>97</v>
      </c>
      <c r="B49" s="14">
        <v>1</v>
      </c>
      <c r="C49" s="15">
        <v>5</v>
      </c>
      <c r="D49" s="16">
        <v>6</v>
      </c>
      <c r="E49" s="29"/>
      <c r="F49" s="29"/>
      <c r="G49" s="17"/>
    </row>
    <row r="50" spans="1:7" x14ac:dyDescent="0.25">
      <c r="A50" s="4" t="s">
        <v>142</v>
      </c>
      <c r="B50" s="14">
        <v>4</v>
      </c>
      <c r="C50" s="15">
        <v>1</v>
      </c>
      <c r="D50" s="16">
        <v>5</v>
      </c>
      <c r="E50" s="29"/>
      <c r="F50" s="29"/>
      <c r="G50" s="17"/>
    </row>
    <row r="51" spans="1:7" x14ac:dyDescent="0.25">
      <c r="A51" s="4" t="s">
        <v>286</v>
      </c>
      <c r="B51" s="14">
        <v>2</v>
      </c>
      <c r="C51" s="15"/>
      <c r="D51" s="16">
        <v>2</v>
      </c>
      <c r="E51" s="29"/>
      <c r="F51" s="29"/>
      <c r="G51" s="17"/>
    </row>
    <row r="52" spans="1:7" x14ac:dyDescent="0.25">
      <c r="A52" s="4" t="s">
        <v>169</v>
      </c>
      <c r="B52" s="14">
        <v>1</v>
      </c>
      <c r="C52" s="15"/>
      <c r="D52" s="16">
        <v>1</v>
      </c>
      <c r="E52" s="29"/>
      <c r="F52" s="29"/>
      <c r="G52" s="17"/>
    </row>
    <row r="53" spans="1:7" x14ac:dyDescent="0.25">
      <c r="A53" s="4" t="s">
        <v>39</v>
      </c>
      <c r="B53" s="14">
        <v>9</v>
      </c>
      <c r="C53" s="15">
        <v>2</v>
      </c>
      <c r="D53" s="16">
        <v>11</v>
      </c>
      <c r="E53" s="29"/>
      <c r="F53" s="29"/>
      <c r="G53" s="17"/>
    </row>
    <row r="54" spans="1:7" x14ac:dyDescent="0.25">
      <c r="A54" s="4" t="s">
        <v>191</v>
      </c>
      <c r="B54" s="14">
        <v>3</v>
      </c>
      <c r="C54" s="15"/>
      <c r="D54" s="16">
        <v>3</v>
      </c>
      <c r="E54" s="29"/>
      <c r="F54" s="29"/>
      <c r="G54" s="17"/>
    </row>
    <row r="55" spans="1:7" x14ac:dyDescent="0.25">
      <c r="A55" s="4" t="s">
        <v>43</v>
      </c>
      <c r="B55" s="14">
        <v>12</v>
      </c>
      <c r="C55" s="15">
        <v>5</v>
      </c>
      <c r="D55" s="16">
        <v>17</v>
      </c>
      <c r="E55" s="29"/>
      <c r="F55" s="29"/>
      <c r="G55" s="17"/>
    </row>
    <row r="56" spans="1:7" x14ac:dyDescent="0.25">
      <c r="A56" s="4" t="s">
        <v>252</v>
      </c>
      <c r="B56" s="14">
        <v>1</v>
      </c>
      <c r="C56" s="15"/>
      <c r="D56" s="16">
        <v>1</v>
      </c>
      <c r="E56" s="29"/>
      <c r="F56" s="29"/>
      <c r="G56" s="17"/>
    </row>
    <row r="57" spans="1:7" x14ac:dyDescent="0.25">
      <c r="A57" s="4" t="s">
        <v>112</v>
      </c>
      <c r="B57" s="14">
        <v>1</v>
      </c>
      <c r="C57" s="15">
        <v>1</v>
      </c>
      <c r="D57" s="16">
        <v>2</v>
      </c>
      <c r="E57" s="29"/>
      <c r="F57" s="29"/>
      <c r="G57" s="17"/>
    </row>
    <row r="58" spans="1:7" x14ac:dyDescent="0.25">
      <c r="A58" s="4" t="s">
        <v>181</v>
      </c>
      <c r="B58" s="14">
        <v>15</v>
      </c>
      <c r="C58" s="15"/>
      <c r="D58" s="16">
        <v>15</v>
      </c>
      <c r="E58" s="29"/>
      <c r="F58" s="29"/>
      <c r="G58" s="17"/>
    </row>
    <row r="59" spans="1:7" x14ac:dyDescent="0.25">
      <c r="A59" s="4" t="s">
        <v>89</v>
      </c>
      <c r="B59" s="14">
        <v>1</v>
      </c>
      <c r="C59" s="15">
        <v>3</v>
      </c>
      <c r="D59" s="16">
        <v>4</v>
      </c>
      <c r="E59" s="29"/>
      <c r="F59" s="29"/>
      <c r="G59" s="17"/>
    </row>
    <row r="60" spans="1:7" x14ac:dyDescent="0.25">
      <c r="A60" s="4" t="s">
        <v>35</v>
      </c>
      <c r="B60" s="14"/>
      <c r="C60" s="15">
        <v>9</v>
      </c>
      <c r="D60" s="16">
        <v>9</v>
      </c>
      <c r="E60" s="29">
        <v>13</v>
      </c>
      <c r="F60" s="29"/>
      <c r="G60" s="17">
        <v>13</v>
      </c>
    </row>
    <row r="61" spans="1:7" x14ac:dyDescent="0.25">
      <c r="A61" s="4" t="s">
        <v>117</v>
      </c>
      <c r="B61" s="14"/>
      <c r="C61" s="15">
        <v>2</v>
      </c>
      <c r="D61" s="16">
        <v>2</v>
      </c>
      <c r="E61" s="29"/>
      <c r="F61" s="29"/>
      <c r="G61" s="17"/>
    </row>
    <row r="62" spans="1:7" x14ac:dyDescent="0.25">
      <c r="A62" s="4" t="s">
        <v>153</v>
      </c>
      <c r="B62" s="14"/>
      <c r="C62" s="15">
        <v>2</v>
      </c>
      <c r="D62" s="16">
        <v>2</v>
      </c>
      <c r="E62" s="29"/>
      <c r="F62" s="29"/>
      <c r="G62" s="17"/>
    </row>
    <row r="63" spans="1:7" x14ac:dyDescent="0.25">
      <c r="A63" s="4" t="s">
        <v>67</v>
      </c>
      <c r="B63" s="18"/>
      <c r="C63" s="19">
        <v>1</v>
      </c>
      <c r="D63" s="20">
        <v>1</v>
      </c>
      <c r="E63" s="30"/>
      <c r="F63" s="30"/>
      <c r="G63" s="21"/>
    </row>
    <row r="64" spans="1:7" x14ac:dyDescent="0.25">
      <c r="A64" s="4" t="s">
        <v>301</v>
      </c>
      <c r="B64" s="6">
        <v>275</v>
      </c>
      <c r="C64" s="6">
        <v>405</v>
      </c>
      <c r="D64" s="8">
        <v>680</v>
      </c>
      <c r="E64" s="26">
        <v>164</v>
      </c>
      <c r="F64" s="26">
        <v>25</v>
      </c>
      <c r="G64" s="9">
        <v>189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4D74-742D-4F42-BDDA-93032658CD9B}">
  <dimension ref="A1:B59"/>
  <sheetViews>
    <sheetView topLeftCell="A26" workbookViewId="0">
      <selection activeCell="B2" sqref="B2:B59"/>
    </sheetView>
  </sheetViews>
  <sheetFormatPr defaultRowHeight="15" x14ac:dyDescent="0.25"/>
  <cols>
    <col min="1" max="1" width="28.140625" bestFit="1" customWidth="1"/>
    <col min="2" max="2" width="12.85546875" bestFit="1" customWidth="1"/>
  </cols>
  <sheetData>
    <row r="1" spans="1:2" ht="15.75" thickBot="1" x14ac:dyDescent="0.3">
      <c r="A1" s="31" t="s">
        <v>316</v>
      </c>
      <c r="B1" s="31" t="s">
        <v>317</v>
      </c>
    </row>
    <row r="2" spans="1:2" x14ac:dyDescent="0.25">
      <c r="A2" s="4" t="s">
        <v>148</v>
      </c>
      <c r="B2" s="25">
        <v>18</v>
      </c>
    </row>
    <row r="3" spans="1:2" x14ac:dyDescent="0.25">
      <c r="A3" s="4" t="s">
        <v>71</v>
      </c>
      <c r="B3" s="25">
        <v>10</v>
      </c>
    </row>
    <row r="4" spans="1:2" x14ac:dyDescent="0.25">
      <c r="A4" s="4" t="s">
        <v>54</v>
      </c>
      <c r="B4" s="25">
        <v>9</v>
      </c>
    </row>
    <row r="5" spans="1:2" x14ac:dyDescent="0.25">
      <c r="A5" s="4" t="s">
        <v>62</v>
      </c>
      <c r="B5" s="25">
        <v>1</v>
      </c>
    </row>
    <row r="6" spans="1:2" x14ac:dyDescent="0.25">
      <c r="A6" s="4" t="s">
        <v>214</v>
      </c>
      <c r="B6" s="25">
        <v>4</v>
      </c>
    </row>
    <row r="7" spans="1:2" x14ac:dyDescent="0.25">
      <c r="A7" s="4" t="s">
        <v>239</v>
      </c>
      <c r="B7" s="25">
        <v>2</v>
      </c>
    </row>
    <row r="8" spans="1:2" x14ac:dyDescent="0.25">
      <c r="A8" s="4" t="s">
        <v>37</v>
      </c>
      <c r="B8" s="25">
        <v>2</v>
      </c>
    </row>
    <row r="9" spans="1:2" x14ac:dyDescent="0.25">
      <c r="A9" s="4" t="s">
        <v>210</v>
      </c>
      <c r="B9" s="25">
        <v>3</v>
      </c>
    </row>
    <row r="10" spans="1:2" x14ac:dyDescent="0.25">
      <c r="A10" s="4" t="s">
        <v>220</v>
      </c>
      <c r="B10" s="25">
        <v>2</v>
      </c>
    </row>
    <row r="11" spans="1:2" x14ac:dyDescent="0.25">
      <c r="A11" s="4" t="s">
        <v>280</v>
      </c>
      <c r="B11" s="25">
        <v>1</v>
      </c>
    </row>
    <row r="12" spans="1:2" x14ac:dyDescent="0.25">
      <c r="A12" s="4" t="s">
        <v>52</v>
      </c>
      <c r="B12" s="25">
        <v>8</v>
      </c>
    </row>
    <row r="13" spans="1:2" x14ac:dyDescent="0.25">
      <c r="A13" s="4" t="s">
        <v>256</v>
      </c>
      <c r="B13" s="25">
        <v>3</v>
      </c>
    </row>
    <row r="14" spans="1:2" x14ac:dyDescent="0.25">
      <c r="A14" s="4" t="s">
        <v>92</v>
      </c>
      <c r="B14" s="25">
        <v>2</v>
      </c>
    </row>
    <row r="15" spans="1:2" x14ac:dyDescent="0.25">
      <c r="A15" s="4" t="s">
        <v>69</v>
      </c>
      <c r="B15" s="25">
        <v>5</v>
      </c>
    </row>
    <row r="16" spans="1:2" x14ac:dyDescent="0.25">
      <c r="A16" s="4" t="s">
        <v>126</v>
      </c>
      <c r="B16" s="25">
        <v>8</v>
      </c>
    </row>
    <row r="17" spans="1:2" x14ac:dyDescent="0.25">
      <c r="A17" s="4" t="s">
        <v>124</v>
      </c>
      <c r="B17" s="25">
        <v>2</v>
      </c>
    </row>
    <row r="18" spans="1:2" x14ac:dyDescent="0.25">
      <c r="A18" s="4" t="s">
        <v>56</v>
      </c>
      <c r="B18" s="25">
        <v>295</v>
      </c>
    </row>
    <row r="19" spans="1:2" x14ac:dyDescent="0.25">
      <c r="A19" s="4" t="s">
        <v>46</v>
      </c>
      <c r="B19" s="25">
        <v>10</v>
      </c>
    </row>
    <row r="20" spans="1:2" x14ac:dyDescent="0.25">
      <c r="A20" s="4" t="s">
        <v>172</v>
      </c>
      <c r="B20" s="25">
        <v>2</v>
      </c>
    </row>
    <row r="21" spans="1:2" x14ac:dyDescent="0.25">
      <c r="A21" s="4" t="s">
        <v>136</v>
      </c>
      <c r="B21" s="25">
        <v>1</v>
      </c>
    </row>
    <row r="22" spans="1:2" x14ac:dyDescent="0.25">
      <c r="A22" s="4" t="s">
        <v>218</v>
      </c>
      <c r="B22" s="25">
        <v>2</v>
      </c>
    </row>
    <row r="23" spans="1:2" x14ac:dyDescent="0.25">
      <c r="A23" s="4" t="s">
        <v>59</v>
      </c>
      <c r="B23" s="25">
        <v>28</v>
      </c>
    </row>
    <row r="24" spans="1:2" x14ac:dyDescent="0.25">
      <c r="A24" s="4" t="s">
        <v>64</v>
      </c>
      <c r="B24" s="25">
        <v>11</v>
      </c>
    </row>
    <row r="25" spans="1:2" x14ac:dyDescent="0.25">
      <c r="A25" s="4" t="s">
        <v>174</v>
      </c>
      <c r="B25" s="25">
        <v>2</v>
      </c>
    </row>
    <row r="26" spans="1:2" x14ac:dyDescent="0.25">
      <c r="A26" s="4" t="s">
        <v>120</v>
      </c>
      <c r="B26" s="25">
        <v>5</v>
      </c>
    </row>
    <row r="27" spans="1:2" x14ac:dyDescent="0.25">
      <c r="A27" s="4" t="s">
        <v>230</v>
      </c>
      <c r="B27" s="25">
        <v>1</v>
      </c>
    </row>
    <row r="28" spans="1:2" x14ac:dyDescent="0.25">
      <c r="A28" s="4" t="s">
        <v>216</v>
      </c>
      <c r="B28" s="25">
        <v>1</v>
      </c>
    </row>
    <row r="29" spans="1:2" x14ac:dyDescent="0.25">
      <c r="A29" s="4" t="s">
        <v>100</v>
      </c>
      <c r="B29" s="25">
        <v>20</v>
      </c>
    </row>
    <row r="30" spans="1:2" x14ac:dyDescent="0.25">
      <c r="A30" s="4" t="s">
        <v>107</v>
      </c>
      <c r="B30" s="25">
        <v>8</v>
      </c>
    </row>
    <row r="31" spans="1:2" x14ac:dyDescent="0.25">
      <c r="A31" s="4" t="s">
        <v>41</v>
      </c>
      <c r="B31" s="25">
        <v>17</v>
      </c>
    </row>
    <row r="32" spans="1:2" x14ac:dyDescent="0.25">
      <c r="A32" s="4" t="s">
        <v>49</v>
      </c>
      <c r="B32" s="25">
        <v>3</v>
      </c>
    </row>
    <row r="33" spans="1:2" x14ac:dyDescent="0.25">
      <c r="A33" s="4" t="s">
        <v>30</v>
      </c>
      <c r="B33" s="25">
        <v>60</v>
      </c>
    </row>
    <row r="34" spans="1:2" x14ac:dyDescent="0.25">
      <c r="A34" s="4" t="s">
        <v>140</v>
      </c>
      <c r="B34" s="25">
        <v>1</v>
      </c>
    </row>
    <row r="35" spans="1:2" x14ac:dyDescent="0.25">
      <c r="A35" s="4" t="s">
        <v>187</v>
      </c>
      <c r="B35" s="25">
        <v>16</v>
      </c>
    </row>
    <row r="36" spans="1:2" x14ac:dyDescent="0.25">
      <c r="A36" s="4" t="s">
        <v>138</v>
      </c>
      <c r="B36" s="25">
        <v>4</v>
      </c>
    </row>
    <row r="37" spans="1:2" x14ac:dyDescent="0.25">
      <c r="A37" s="4" t="s">
        <v>160</v>
      </c>
      <c r="B37" s="25">
        <v>2</v>
      </c>
    </row>
    <row r="38" spans="1:2" x14ac:dyDescent="0.25">
      <c r="A38" s="4" t="s">
        <v>207</v>
      </c>
      <c r="B38" s="25">
        <v>1</v>
      </c>
    </row>
    <row r="39" spans="1:2" x14ac:dyDescent="0.25">
      <c r="A39" s="4" t="s">
        <v>200</v>
      </c>
      <c r="B39" s="25">
        <v>1</v>
      </c>
    </row>
    <row r="40" spans="1:2" x14ac:dyDescent="0.25">
      <c r="A40" s="4" t="s">
        <v>258</v>
      </c>
      <c r="B40" s="25">
        <v>2</v>
      </c>
    </row>
    <row r="41" spans="1:2" x14ac:dyDescent="0.25">
      <c r="A41" s="4" t="s">
        <v>134</v>
      </c>
      <c r="B41" s="25">
        <v>1</v>
      </c>
    </row>
    <row r="42" spans="1:2" x14ac:dyDescent="0.25">
      <c r="A42" s="4" t="s">
        <v>151</v>
      </c>
      <c r="B42" s="25">
        <v>1</v>
      </c>
    </row>
    <row r="43" spans="1:2" x14ac:dyDescent="0.25">
      <c r="A43" s="4" t="s">
        <v>109</v>
      </c>
      <c r="B43" s="25">
        <v>15</v>
      </c>
    </row>
    <row r="44" spans="1:2" x14ac:dyDescent="0.25">
      <c r="A44" s="4" t="s">
        <v>146</v>
      </c>
      <c r="B44" s="25">
        <v>9</v>
      </c>
    </row>
    <row r="45" spans="1:2" x14ac:dyDescent="0.25">
      <c r="A45" s="4" t="s">
        <v>97</v>
      </c>
      <c r="B45" s="25">
        <v>6</v>
      </c>
    </row>
    <row r="46" spans="1:2" x14ac:dyDescent="0.25">
      <c r="A46" s="4" t="s">
        <v>142</v>
      </c>
      <c r="B46" s="25">
        <v>5</v>
      </c>
    </row>
    <row r="47" spans="1:2" x14ac:dyDescent="0.25">
      <c r="A47" s="4" t="s">
        <v>286</v>
      </c>
      <c r="B47" s="25">
        <v>2</v>
      </c>
    </row>
    <row r="48" spans="1:2" x14ac:dyDescent="0.25">
      <c r="A48" s="4" t="s">
        <v>169</v>
      </c>
      <c r="B48" s="25">
        <v>1</v>
      </c>
    </row>
    <row r="49" spans="1:2" x14ac:dyDescent="0.25">
      <c r="A49" s="4" t="s">
        <v>39</v>
      </c>
      <c r="B49" s="25">
        <v>11</v>
      </c>
    </row>
    <row r="50" spans="1:2" x14ac:dyDescent="0.25">
      <c r="A50" s="4" t="s">
        <v>191</v>
      </c>
      <c r="B50" s="25">
        <v>3</v>
      </c>
    </row>
    <row r="51" spans="1:2" x14ac:dyDescent="0.25">
      <c r="A51" s="4" t="s">
        <v>43</v>
      </c>
      <c r="B51" s="25">
        <v>17</v>
      </c>
    </row>
    <row r="52" spans="1:2" x14ac:dyDescent="0.25">
      <c r="A52" s="4" t="s">
        <v>252</v>
      </c>
      <c r="B52" s="25">
        <v>1</v>
      </c>
    </row>
    <row r="53" spans="1:2" x14ac:dyDescent="0.25">
      <c r="A53" s="4" t="s">
        <v>112</v>
      </c>
      <c r="B53" s="25">
        <v>2</v>
      </c>
    </row>
    <row r="54" spans="1:2" x14ac:dyDescent="0.25">
      <c r="A54" s="4" t="s">
        <v>181</v>
      </c>
      <c r="B54" s="25">
        <v>15</v>
      </c>
    </row>
    <row r="55" spans="1:2" x14ac:dyDescent="0.25">
      <c r="A55" s="4" t="s">
        <v>89</v>
      </c>
      <c r="B55" s="25">
        <v>4</v>
      </c>
    </row>
    <row r="56" spans="1:2" x14ac:dyDescent="0.25">
      <c r="A56" s="4" t="s">
        <v>35</v>
      </c>
      <c r="B56" s="25">
        <v>9</v>
      </c>
    </row>
    <row r="57" spans="1:2" x14ac:dyDescent="0.25">
      <c r="A57" s="4" t="s">
        <v>117</v>
      </c>
      <c r="B57" s="25">
        <v>2</v>
      </c>
    </row>
    <row r="58" spans="1:2" x14ac:dyDescent="0.25">
      <c r="A58" s="4" t="s">
        <v>153</v>
      </c>
      <c r="B58" s="25">
        <v>2</v>
      </c>
    </row>
    <row r="59" spans="1:2" x14ac:dyDescent="0.25">
      <c r="A59" s="4" t="s">
        <v>67</v>
      </c>
      <c r="B59" s="2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NCOS_Bird_Survey_Data_2020_0422</vt:lpstr>
      <vt:lpstr>Ptable</vt:lpstr>
      <vt:lpstr>Final_Totals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2020-04-22T13:46:01Z</dcterms:created>
  <dcterms:modified xsi:type="dcterms:W3CDTF">2021-03-23T21:35:56Z</dcterms:modified>
</cp:coreProperties>
</file>