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E2B53BEC-6BC8-4CB2-95A8-4E1CCC65A5B4}" xr6:coauthVersionLast="46" xr6:coauthVersionMax="46" xr10:uidLastSave="{00000000-0000-0000-0000-000000000000}"/>
  <bookViews>
    <workbookView xWindow="15240" yWindow="45" windowWidth="13590" windowHeight="15300" xr2:uid="{00000000-000D-0000-FFFF-FFFF00000000}"/>
  </bookViews>
  <sheets>
    <sheet name="NCOS_Bird_Survey_Data_2020-0710" sheetId="1" r:id="rId1"/>
    <sheet name="PTable" sheetId="2" r:id="rId2"/>
    <sheet name="Final_Count" sheetId="3" r:id="rId3"/>
  </sheets>
  <definedNames>
    <definedName name="_xlnm._FilterDatabase" localSheetId="0" hidden="1">'NCOS_Bird_Survey_Data_2020-0710'!$A$1:$AF$142</definedName>
  </definedNames>
  <calcPr calcId="191029"/>
  <pivotCaches>
    <pivotCache cacheId="4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3" i="1" l="1"/>
  <c r="C141" i="1"/>
  <c r="C4" i="1"/>
  <c r="C103" i="1"/>
  <c r="C35" i="1"/>
  <c r="C121" i="1"/>
  <c r="C12" i="1"/>
  <c r="C101" i="1"/>
  <c r="C5" i="1"/>
  <c r="C13" i="1"/>
  <c r="C82" i="1"/>
  <c r="C92" i="1"/>
  <c r="C83" i="1"/>
  <c r="C68" i="1"/>
  <c r="C86" i="1"/>
  <c r="C142" i="1"/>
  <c r="C2" i="1"/>
  <c r="C69" i="1"/>
  <c r="C14" i="1"/>
  <c r="C21" i="1"/>
  <c r="C52" i="1"/>
  <c r="C44" i="1"/>
  <c r="C6" i="1"/>
  <c r="C41" i="1"/>
  <c r="C132" i="1"/>
  <c r="C109" i="1"/>
  <c r="C23" i="1"/>
  <c r="C48" i="1"/>
  <c r="C93" i="1"/>
  <c r="C100" i="1"/>
  <c r="C57" i="1"/>
  <c r="C137" i="1"/>
  <c r="C99" i="1"/>
  <c r="C36" i="1"/>
  <c r="C84" i="1"/>
  <c r="C110" i="1"/>
  <c r="C22" i="1"/>
  <c r="C87" i="1"/>
  <c r="C122" i="1"/>
  <c r="C123" i="1"/>
  <c r="C45" i="1"/>
  <c r="C111" i="1"/>
  <c r="C133" i="1"/>
  <c r="C124" i="1"/>
  <c r="C70" i="1"/>
  <c r="C85" i="1"/>
  <c r="C138" i="1"/>
  <c r="C49" i="1"/>
  <c r="C37" i="1"/>
  <c r="C88" i="1"/>
  <c r="C115" i="1"/>
  <c r="C102" i="1"/>
  <c r="C125" i="1"/>
  <c r="C107" i="1"/>
  <c r="C53" i="1"/>
  <c r="C108" i="1"/>
  <c r="C94" i="1"/>
  <c r="C29" i="1"/>
  <c r="C7" i="1"/>
  <c r="C15" i="1"/>
  <c r="C64" i="1"/>
  <c r="C71" i="1"/>
  <c r="C104" i="1"/>
  <c r="C126" i="1"/>
  <c r="C46" i="1"/>
  <c r="C136" i="1"/>
  <c r="C59" i="1"/>
  <c r="C95" i="1"/>
  <c r="C105" i="1"/>
  <c r="C112" i="1"/>
  <c r="C118" i="1"/>
  <c r="C31" i="1"/>
  <c r="C8" i="1"/>
  <c r="C38" i="1"/>
  <c r="C16" i="1"/>
  <c r="C54" i="1"/>
  <c r="C65" i="1"/>
  <c r="C72" i="1"/>
  <c r="C73" i="1"/>
  <c r="C32" i="1"/>
  <c r="C3" i="1"/>
  <c r="C47" i="1"/>
  <c r="C66" i="1"/>
  <c r="C58" i="1"/>
  <c r="C55" i="1"/>
  <c r="C27" i="1"/>
  <c r="C127" i="1"/>
  <c r="C96" i="1"/>
  <c r="C97" i="1"/>
  <c r="C119" i="1"/>
  <c r="C28" i="1"/>
  <c r="C50" i="1"/>
  <c r="C106" i="1"/>
  <c r="C24" i="1"/>
  <c r="C17" i="1"/>
  <c r="C9" i="1"/>
  <c r="C128" i="1"/>
  <c r="C18" i="1"/>
  <c r="C79" i="1"/>
  <c r="C40" i="1"/>
  <c r="C98" i="1"/>
  <c r="C60" i="1"/>
  <c r="C30" i="1"/>
  <c r="C120" i="1"/>
  <c r="C33" i="1"/>
  <c r="C10" i="1"/>
  <c r="C89" i="1"/>
  <c r="C39" i="1"/>
  <c r="C61" i="1"/>
  <c r="C74" i="1"/>
  <c r="C129" i="1"/>
  <c r="C116" i="1"/>
  <c r="C130" i="1"/>
  <c r="C77" i="1"/>
  <c r="C113" i="1"/>
  <c r="C51" i="1"/>
  <c r="C131" i="1"/>
  <c r="C19" i="1"/>
  <c r="C34" i="1"/>
  <c r="C20" i="1"/>
  <c r="C90" i="1"/>
  <c r="C134" i="1"/>
  <c r="C42" i="1"/>
  <c r="C62" i="1"/>
  <c r="C75" i="1"/>
  <c r="C25" i="1"/>
  <c r="C76" i="1"/>
  <c r="C26" i="1"/>
  <c r="C78" i="1"/>
  <c r="C91" i="1"/>
  <c r="C114" i="1"/>
  <c r="C140" i="1"/>
  <c r="C80" i="1"/>
  <c r="C63" i="1"/>
  <c r="C11" i="1"/>
  <c r="C135" i="1"/>
  <c r="C117" i="1"/>
</calcChain>
</file>

<file path=xl/sharedStrings.xml><?xml version="1.0" encoding="utf-8"?>
<sst xmlns="http://schemas.openxmlformats.org/spreadsheetml/2006/main" count="1117" uniqueCount="258">
  <si>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</si>
  <si>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</si>
  <si>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</si>
  <si>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</si>
  <si>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</si>
  <si>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</si>
  <si>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</si>
  <si>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</si>
  <si>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</si>
  <si>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</si>
  <si>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</si>
  <si>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</si>
  <si>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</si>
  <si>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</si>
  <si>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</si>
  <si>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</si>
  <si>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</si>
  <si>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</si>
  <si>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</si>
  <si>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</si>
  <si>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</si>
  <si>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</si>
  <si>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</si>
  <si>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</si>
  <si>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</si>
  <si>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</si>
  <si>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</si>
  <si>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</si>
  <si>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</si>
  <si>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</si>
  <si>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Snowy Egret</t>
  </si>
  <si>
    <t>No</t>
  </si>
  <si>
    <t>Water - Wading</t>
  </si>
  <si>
    <t>7:00</t>
  </si>
  <si>
    <t>Fog</t>
  </si>
  <si>
    <t>None</t>
  </si>
  <si>
    <t>{41501204-8d87-45cb-aeb2-5aca87470b27}</t>
  </si>
  <si>
    <t>ccber_user</t>
  </si>
  <si>
    <t>Cliff Swallow</t>
  </si>
  <si>
    <t>Air</t>
  </si>
  <si>
    <t>{3e616cfd-dbe4-4d83-b183-1576d1338431}</t>
  </si>
  <si>
    <t>White-tailed Kite</t>
  </si>
  <si>
    <t>Vegetation - Tree</t>
  </si>
  <si>
    <t>{f13413db-8e05-476b-872e-34ea99d6f6d6}</t>
  </si>
  <si>
    <t>American Crow</t>
  </si>
  <si>
    <t>Bare ground</t>
  </si>
  <si>
    <t>{ab9505b8-657a-433b-8eb2-48b0fddc88a3}</t>
  </si>
  <si>
    <t>Red-shouldered Hawk</t>
  </si>
  <si>
    <t>Other</t>
  </si>
  <si>
    <t>telephone pole</t>
  </si>
  <si>
    <t>{a942b9c2-18ea-49e5-afbe-9d45889762b7}</t>
  </si>
  <si>
    <t>California Towhee</t>
  </si>
  <si>
    <t>Vegetation - Shrub</t>
  </si>
  <si>
    <t>{a8df3714-6348-4359-8a23-cfc759ddf1db}</t>
  </si>
  <si>
    <t>Song Sparrow</t>
  </si>
  <si>
    <t>juveh</t>
  </si>
  <si>
    <t>{c6406ec7-5428-45fd-917b-4913ecc9086d}</t>
  </si>
  <si>
    <t>Anna's Hummingbird</t>
  </si>
  <si>
    <t>{b64341aa-413c-464e-8772-40704ff66f71}</t>
  </si>
  <si>
    <t>Pacific-slope Flycatcher</t>
  </si>
  <si>
    <t>{6420d9d1-1230-4c69-9b35-d1df0dae6e29}</t>
  </si>
  <si>
    <t>{3a168bb5-b86e-4025-9f80-dbd47e06ad57}</t>
  </si>
  <si>
    <t>{3a7952d0-4866-40e1-a14e-31abd49b1852}</t>
  </si>
  <si>
    <t>Lark Sparrow</t>
  </si>
  <si>
    <t>Habitat Feature - Snag</t>
  </si>
  <si>
    <t>{434389cd-8676-4e7c-9f8a-2c7c31dd0e2d}</t>
  </si>
  <si>
    <t>Loggerhead Shrike</t>
  </si>
  <si>
    <t>{70272f46-7e9f-484d-90d8-816e93e5d1cc}</t>
  </si>
  <si>
    <t>{af949691-410a-4bd8-be08-9b18b9a68038}</t>
  </si>
  <si>
    <t>House Finch</t>
  </si>
  <si>
    <t>{256c003e-5741-4a8d-8624-99a720d34a46}</t>
  </si>
  <si>
    <t>Lesser Goldfinch</t>
  </si>
  <si>
    <t>{f573bda1-890f-4efc-b4bc-671502041bc4}</t>
  </si>
  <si>
    <t>Wrentit</t>
  </si>
  <si>
    <t>{59a74cab-fa83-450f-918d-6738ab01e85c}</t>
  </si>
  <si>
    <t>Allen's Hummingbird</t>
  </si>
  <si>
    <t>{e4120e62-08d4-4cb9-a394-5d70b32b3d8b}</t>
  </si>
  <si>
    <t>Fence</t>
  </si>
  <si>
    <t>{bdd7e6d0-6549-4de6-b444-c16b771a656e}</t>
  </si>
  <si>
    <t>{dffd9854-78cf-4644-a8c6-3ccd1b86e412}</t>
  </si>
  <si>
    <t>Bewick's Wren</t>
  </si>
  <si>
    <t>{02e2bf8e-dfca-481f-92b8-a35da325697a}</t>
  </si>
  <si>
    <t>Cooper's Hawk</t>
  </si>
  <si>
    <t>{3ceb8288-09e2-476d-a21a-439bc7499088}</t>
  </si>
  <si>
    <t>{fbdb0127-65e4-49ff-b524-ae183ac26b93}</t>
  </si>
  <si>
    <t>{bf91d379-762e-4636-9d9c-4eeac7d546ef}</t>
  </si>
  <si>
    <t>Cassin's Kingbird</t>
  </si>
  <si>
    <t>{05327ce6-7f6f-4a66-b188-b7c74fc90e40}</t>
  </si>
  <si>
    <t>Western Bluebird</t>
  </si>
  <si>
    <t>{d8ffad1a-c89b-48cb-9435-cd312a80e492}</t>
  </si>
  <si>
    <t>Rock Pigeon (Feral Pigeon)</t>
  </si>
  <si>
    <t>{f9d77989-abaf-4bf2-a601-016b0c5dd08b}</t>
  </si>
  <si>
    <t>Black Phoebe</t>
  </si>
  <si>
    <t>{0c0553c4-50e1-47cf-8d15-4da2c05da60d}</t>
  </si>
  <si>
    <t>Common Yellowthroat</t>
  </si>
  <si>
    <t>{d3925426-dfa2-4b54-97fb-d70fd831bf08}</t>
  </si>
  <si>
    <t>Yes</t>
  </si>
  <si>
    <t>{345acf7b-efc0-417f-9839-29fe4cd9771d}</t>
  </si>
  <si>
    <t>Northern Mockingbird</t>
  </si>
  <si>
    <t>{508fd31d-1781-4632-b901-99282b694219}</t>
  </si>
  <si>
    <t>European Starling</t>
  </si>
  <si>
    <t>{d9ee4119-b597-43b1-abe2-b7438b775d1e}</t>
  </si>
  <si>
    <t>Western Kingbird</t>
  </si>
  <si>
    <t>{599aed92-a116-4dda-8882-6d85665d15b3}</t>
  </si>
  <si>
    <t>Mourning Dove</t>
  </si>
  <si>
    <t>{e1b7e721-0633-4a73-a679-d97e386aa764}</t>
  </si>
  <si>
    <t>{3b6bd1a0-1735-41f2-a24d-7af6c401ecaa}</t>
  </si>
  <si>
    <t>{cc9d800e-20f6-489c-95ca-4e600bb04525}</t>
  </si>
  <si>
    <t>{61e10ce0-c96d-4361-b751-0956e20bf0b2}</t>
  </si>
  <si>
    <t>{6a09c922-40ff-4c43-b7f6-b2aa5b96d3a4}</t>
  </si>
  <si>
    <t>{3f4dfb5c-50ca-4708-a81b-4c2987715752}</t>
  </si>
  <si>
    <t>{83807085-3548-480f-b99d-e63b2746b50f}</t>
  </si>
  <si>
    <t>{e912b9af-5b45-4a74-9842-e0f40a29f270}</t>
  </si>
  <si>
    <t>{82a59a0d-b5c5-4feb-a716-b12341fc3c39}</t>
  </si>
  <si>
    <t>{8578d249-ef43-4068-bef7-bf448cc1ba77}</t>
  </si>
  <si>
    <t>{6bda60d3-69f5-4ab4-bc60-a0f4b3e50cfa}</t>
  </si>
  <si>
    <t>Vegetation - Herbaceous</t>
  </si>
  <si>
    <t>{baac8f8f-dc0c-49ab-9553-e784cd95e0c9}</t>
  </si>
  <si>
    <t>{4bf9acdc-ae5d-4303-ace0-1a03767c3dad}</t>
  </si>
  <si>
    <t>{ff915105-aebf-45de-a4cf-a69e420e305b}</t>
  </si>
  <si>
    <t>{bbbd7025-1e6d-495a-b1d9-091c0cf6d4d3}</t>
  </si>
  <si>
    <t>{1c07adcb-9f43-4ed9-b6cb-6602f934f56c}</t>
  </si>
  <si>
    <t>{94a341be-cd4e-45c1-9c57-408a0d1aba9a}</t>
  </si>
  <si>
    <t>{289cc7ad-9f94-4030-a1a7-eb75ff96665b}</t>
  </si>
  <si>
    <t>Scaly-breasted Munia</t>
  </si>
  <si>
    <t>{a7da496f-26f2-4c4e-838b-caf6dc6d1a82}</t>
  </si>
  <si>
    <t>{07baab21-171e-4649-9683-6cb5b6ca1b3a}</t>
  </si>
  <si>
    <t>{40149efa-ea55-45bc-be11-48375d2f6a21}</t>
  </si>
  <si>
    <t>Red-tailed Hawk</t>
  </si>
  <si>
    <t>{eb9226b5-e361-4c70-9710-5be4b1818a9a}</t>
  </si>
  <si>
    <t>{1591fe33-c0db-42f1-8720-e49c5f2fd45c}</t>
  </si>
  <si>
    <t>{07ea7540-fb04-43ab-bfc4-631b441093fe}</t>
  </si>
  <si>
    <t>Mallard</t>
  </si>
  <si>
    <t>Water - Floating</t>
  </si>
  <si>
    <t>{c0deeb7c-6540-420d-ab90-4bbfed041b34}</t>
  </si>
  <si>
    <t>clark@ccber.ucsb.edu_ucsb</t>
  </si>
  <si>
    <t>Black-necked Stilt</t>
  </si>
  <si>
    <t>Mud</t>
  </si>
  <si>
    <t>{08dfe347-1133-433e-bc27-d1983a4e0c75}</t>
  </si>
  <si>
    <t>Flyover</t>
  </si>
  <si>
    <t>{cd74a9de-6e5b-46c2-ba77-2e93feddc6a2}</t>
  </si>
  <si>
    <t>{9a707b95-3bea-4552-add5-a253e02dd417}</t>
  </si>
  <si>
    <t>Hooded Oriole</t>
  </si>
  <si>
    <t>{17bc164a-d378-4ea6-accc-820387e634d5}</t>
  </si>
  <si>
    <t>telephone line</t>
  </si>
  <si>
    <t>{26107dc9-28c9-4295-8e6c-c78962c50d28}</t>
  </si>
  <si>
    <t>{c5a5281a-f8f4-473d-8cb3-e37a48a7c1b5}</t>
  </si>
  <si>
    <t>{fbd38a41-bd55-455a-9396-f7a96761fc6b}</t>
  </si>
  <si>
    <t>{98c81087-646b-4046-9be3-772cdc52a294}</t>
  </si>
  <si>
    <t>Western Gull</t>
  </si>
  <si>
    <t>{ed8aebf4-5c13-4746-8cb5-751838b72665}</t>
  </si>
  <si>
    <t>Great Egret</t>
  </si>
  <si>
    <t>{9cd2d5ff-19b0-433f-8ff1-286b7015e1bf}</t>
  </si>
  <si>
    <t>{a4aa5d7f-e548-4f46-ae8c-9a48adfb2e3a}</t>
  </si>
  <si>
    <t>{e8362b6b-cd78-4887-8392-3a08b924bf94}</t>
  </si>
  <si>
    <t>Bridge</t>
  </si>
  <si>
    <t>{661e8957-1915-4ce8-957c-ef88ac47b40c}</t>
  </si>
  <si>
    <t>{a0dc1e0e-b15e-49e2-a347-ad6dc65dcbb0}</t>
  </si>
  <si>
    <t>Bushtit</t>
  </si>
  <si>
    <t>{6b04ba02-ea3f-4c79-aea5-2d54293f60ab}</t>
  </si>
  <si>
    <t>{56ece57c-28b1-4413-a2a9-8fe6f115ff1b}</t>
  </si>
  <si>
    <t>{23a5ba9c-2e52-411d-82d5-dfeeac8a93e9}</t>
  </si>
  <si>
    <t>{a28a471d-fac5-448f-98a3-659347387909}</t>
  </si>
  <si>
    <t>Downy Woodpecker</t>
  </si>
  <si>
    <t>{64d8805a-35b2-46aa-b166-35b844502db2}</t>
  </si>
  <si>
    <t>{049ab6a5-91a6-4ef2-b53b-885ed8188206}</t>
  </si>
  <si>
    <t>{78f2b5af-71aa-43ff-b529-f978169d89fa}</t>
  </si>
  <si>
    <t>{026e1acf-993c-4ec2-8d2e-59991d8ce457}</t>
  </si>
  <si>
    <t>{16618a5f-f430-4ae4-aea2-ef365aa41dcb}</t>
  </si>
  <si>
    <t>{c004a716-5ee8-4dfc-81eb-849c7b7d078b}</t>
  </si>
  <si>
    <t>{e41537c2-ec51-4cea-9fc8-4ab3fca219b7}</t>
  </si>
  <si>
    <t>{94070b7d-fda4-499a-bf9c-1fffccda2f0d}</t>
  </si>
  <si>
    <t>Great Blue Heron</t>
  </si>
  <si>
    <t>{659d1611-9a85-4af7-8ffd-1867f9e009a4}</t>
  </si>
  <si>
    <t>{de699cd0-fe3f-43c9-9794-6c2e97b5b90c}</t>
  </si>
  <si>
    <t>Black-crowned Night-Heron</t>
  </si>
  <si>
    <t>{e3dee070-1cb2-4d7f-b67f-244dbb981c38}</t>
  </si>
  <si>
    <t>{4cbdfe1a-548b-4bd7-9293-542eb44347e7}</t>
  </si>
  <si>
    <t>{25bcc706-168a-42eb-bc9c-aab3e32ff80d}</t>
  </si>
  <si>
    <t>{808a1f85-bdb9-47e3-a1d2-7e9c4c185f6a}</t>
  </si>
  <si>
    <t>{14604d42-4798-46b2-a662-bd75742a7420}</t>
  </si>
  <si>
    <t>{c707bc6c-3589-4ddd-9cea-48ae4ba139d1}</t>
  </si>
  <si>
    <t>{03821e5d-18a7-4d24-95ee-af69d9a2adfa}</t>
  </si>
  <si>
    <t>{0478ba69-31a6-4e5b-b508-55ad5710dd1f}</t>
  </si>
  <si>
    <t>{e2e682ae-0895-443d-96e1-a4b71e2f97db}</t>
  </si>
  <si>
    <t>{22e8c452-a538-4486-a0bc-91da491b6062}</t>
  </si>
  <si>
    <t>{838f9777-cebb-4449-8cc2-b9e7ede1f712}</t>
  </si>
  <si>
    <t>{90bde217-4a8a-48a7-8cb2-add6e124a40c}</t>
  </si>
  <si>
    <t>{7aab24a2-52e0-4ddf-adbc-b5a91d7ddc55}</t>
  </si>
  <si>
    <t>Killdeer</t>
  </si>
  <si>
    <t>{0072c75b-52df-49a1-b866-285d49a9ef0a}</t>
  </si>
  <si>
    <t>Canada Goose</t>
  </si>
  <si>
    <t>{45a81a14-d210-4f18-8e03-be4e252db3ab}</t>
  </si>
  <si>
    <t>{6bb0da50-73b6-46d5-b435-a06fa75b0940}</t>
  </si>
  <si>
    <t>{4e9bff32-4536-4ab8-b57b-145b4720512e}</t>
  </si>
  <si>
    <t>{4e2e4adc-8860-473d-8234-e0cdb998263e}</t>
  </si>
  <si>
    <t>{0768ac16-d831-4cd9-a550-fd55eec52b46}</t>
  </si>
  <si>
    <t>{08eff8c1-4787-47d2-86c9-b02ee91fa350}</t>
  </si>
  <si>
    <t>{d9dc1dc5-73c2-4905-bf11-e0ca9e79a6b8}</t>
  </si>
  <si>
    <t>{64376cad-91a0-4c34-8876-b943de62c989}</t>
  </si>
  <si>
    <t>{3f5db884-1bb5-4cf4-b344-c0af51b9bce8}</t>
  </si>
  <si>
    <t>Greater Yellowlegs</t>
  </si>
  <si>
    <t>{2ddab9ba-7e41-4cab-97cc-f1a5b92091eb}</t>
  </si>
  <si>
    <t>{ef9ac68b-0074-472f-99a4-0acb56dc401d}</t>
  </si>
  <si>
    <t>{8e88c031-06c8-4c62-ae4e-ec733e29035b}</t>
  </si>
  <si>
    <t>{d19b8cc1-92bf-4688-8cce-c845701d2e4f}</t>
  </si>
  <si>
    <t>{efe57617-7344-4f89-ae40-81d29f119af2}</t>
  </si>
  <si>
    <t>House Sparrow</t>
  </si>
  <si>
    <t>{137968d5-bcba-41ee-959e-e9e626b85857}</t>
  </si>
  <si>
    <t>{339a467c-07b4-4cbf-bca2-10760c1f5eb5}</t>
  </si>
  <si>
    <t>{dc4806df-188d-49cc-b40f-ee66173ba5b4}</t>
  </si>
  <si>
    <t>{49effc1c-49df-442e-b4a5-c1a78c2ab47f}</t>
  </si>
  <si>
    <t>{565089f9-2c23-4658-a4e5-7431679774a3}</t>
  </si>
  <si>
    <t>{74b69168-abc4-49f2-8ac0-d1ecb3ed81f6}</t>
  </si>
  <si>
    <t>{2ce30958-f12c-4969-a538-052d5baf08a3}</t>
  </si>
  <si>
    <t>{856f499f-fa82-49d9-8c3e-6c56c50066ac}</t>
  </si>
  <si>
    <t>{69bfb522-0f9d-4a73-b28e-3e5d97911f6f}</t>
  </si>
  <si>
    <t>{4194c2f4-cf98-4f2a-a2c4-b72d414df2d7}</t>
  </si>
  <si>
    <t>{ace4e50b-1778-4e86-989e-8f87ab2525b8}</t>
  </si>
  <si>
    <t>{f31f36d4-17da-43e8-87dc-4522780beba8}</t>
  </si>
  <si>
    <t>{d545e43c-7c82-4fff-8d89-4b0c3d8bb9c5}</t>
  </si>
  <si>
    <t>{05afcd08-68e6-463f-8035-431ecdc514b7}</t>
  </si>
  <si>
    <t>{ae4eddc2-e1ba-4c55-90e6-76d37b1ba4e6}</t>
  </si>
  <si>
    <t>{c6ac6074-b41f-4da6-91f4-32c514f09b39}</t>
  </si>
  <si>
    <t>{365aa25d-4f4b-4c9c-b69f-b51e7f08e95f}</t>
  </si>
  <si>
    <t>Building</t>
  </si>
  <si>
    <t>{7cd93981-ca08-474b-afb9-91718ec6834b}</t>
  </si>
  <si>
    <t>Western Sandpiper</t>
  </si>
  <si>
    <t>{09b4b444-6cb4-41f3-9c15-3c4d70ad0836}</t>
  </si>
  <si>
    <t>{def0f065-bbd3-4088-b039-2b1de4ab69f7}</t>
  </si>
  <si>
    <t>{c85c5340-46b4-453b-ae3b-b7b3f3687c80}</t>
  </si>
  <si>
    <t>{b3dcf341-eb71-4a3b-ac53-2c70040cf485}</t>
  </si>
  <si>
    <t>10:00</t>
  </si>
  <si>
    <t>High</t>
  </si>
  <si>
    <t>{7699f2bb-ba7a-4bd9-b1be-6857827a9734}</t>
  </si>
  <si>
    <t>Time</t>
  </si>
  <si>
    <t>Date</t>
  </si>
  <si>
    <t>Count originally blank. Assumed to be 1.</t>
  </si>
  <si>
    <t>WEST: Mark, Lisa, Beau</t>
  </si>
  <si>
    <t>EAST: Darwin, Conor, Steven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</si>
  <si>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</si>
  <si>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</si>
  <si>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</si>
  <si>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</si>
  <si>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</si>
  <si>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</si>
  <si>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</si>
  <si>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</si>
  <si>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Observation is outside of survey area and is therefore considered not part of formal NCOS bird survey, but kept in spatial data for record.</t>
  </si>
  <si>
    <t>Changed Repeat Observation from No to Yes following survey review.</t>
  </si>
  <si>
    <t>Observation added following survey review. Spatial data unavailable, but was seen in trees on EEM.</t>
  </si>
  <si>
    <t>Count changed from 5 to 4 following survey review.</t>
  </si>
  <si>
    <t>On bat box in Whittier Parcel. Changed Repeat Observation from No to Yes following survey review.</t>
  </si>
  <si>
    <t>Observation added following survey review. Spatial data unavailable, but was seen on EEM in the middle of the former mustard patch.</t>
  </si>
  <si>
    <t>Observation added following survey review. Spatial data not available, but considered to be in the "northwest arm".</t>
  </si>
  <si>
    <t>Observation added following survey review.</t>
  </si>
  <si>
    <t>Common Name</t>
  </si>
  <si>
    <t>Final True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</si>
</sst>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"/>
    <numFmt numFmtId="165" formatCode="h:mm;@"/>
  </numFmts>
  <fonts count="8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66"/>
        <bgColor indexed="64"/>
      </patternFill>
    </fill>
    <fill>
      <patternFill patternType="solid">
        <fgColor rgb="FF00CC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14" fontId="2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 applyProtection="1">
      <alignment horizontal="left"/>
    </xf>
    <xf numFmtId="1" fontId="2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165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0" fillId="0" borderId="0" xfId="0" pivotButton="1"/>
    <xf numFmtId="0" fontId="0" fillId="3" borderId="0" xfId="0" applyFill="1"/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0" fillId="3" borderId="0" xfId="0" applyFill="1" applyAlignment="1">
      <alignment horizontal="center"/>
    </xf>
    <xf numFmtId="0" fontId="0" fillId="0" borderId="2" xfId="0" applyNumberFormat="1" applyBorder="1" applyAlignment="1">
      <alignment horizontal="center"/>
    </xf>
    <xf numFmtId="0" fontId="7" fillId="4" borderId="3" xfId="0" applyNumberFormat="1" applyFont="1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7" fillId="4" borderId="6" xfId="0" applyNumberFormat="1" applyFont="1" applyFill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7" fillId="4" borderId="9" xfId="0" applyNumberFormat="1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3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alignment horizontal="center"/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ont>
        <b/>
        <family val="2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00CC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026.47465625" createdVersion="6" refreshedVersion="6" minRefreshableVersion="3" recordCount="141" xr:uid="{C95D86FD-736F-47C7-916E-815A879C1DE6}">
  <cacheSource type="worksheet">
    <worksheetSource ref="A1:L142" sheet="NCOS_Bird_Survey_Data_2020-0710"/>
  </cacheSource>
  <cacheFields count="12">
    <cacheField name="OBJECTID" numFmtId="0">
      <sharedItems containsString="0" containsBlank="1" containsNumber="1" containsInteger="1" minValue="1" maxValue="138"/>
    </cacheField>
    <cacheField name="Date" numFmtId="14">
      <sharedItems containsSemiMixedTypes="0" containsNonDate="0" containsDate="1" containsString="0" minDate="2020-07-10T00:00:00" maxDate="2020-07-11T00:00:00"/>
    </cacheField>
    <cacheField name="Time" numFmtId="0">
      <sharedItems containsNonDate="0" containsDate="1" containsString="0" containsBlank="1" minDate="2020-07-10T06:55:42" maxDate="2020-07-10T09:55:03"/>
    </cacheField>
    <cacheField name="Species" numFmtId="0">
      <sharedItems count="42">
        <s v="Snowy Egret"/>
        <s v="Cliff Swallow"/>
        <s v="White-tailed Kite"/>
        <s v="American Crow"/>
        <s v="Red-shouldered Hawk"/>
        <s v="California Towhee"/>
        <s v="Song Sparrow"/>
        <s v="Anna's Hummingbird"/>
        <s v="Pacific-slope Flycatcher"/>
        <s v="Lark Sparrow"/>
        <s v="Loggerhead Shrike"/>
        <s v="House Finch"/>
        <s v="Lesser Goldfinch"/>
        <s v="Wrentit"/>
        <s v="Allen's Hummingbird"/>
        <s v="Bewick's Wren"/>
        <s v="Cooper's Hawk"/>
        <s v="Cassin's Kingbird"/>
        <s v="Western Bluebird"/>
        <s v="Rock Pigeon (Feral Pigeon)"/>
        <s v="Black Phoebe"/>
        <s v="Common Yellowthroat"/>
        <s v="Northern Mockingbird"/>
        <s v="European Starling"/>
        <s v="Western Kingbird"/>
        <s v="Mourning Dove"/>
        <s v="Scaly-breasted Munia"/>
        <s v="Red-tailed Hawk"/>
        <s v="Mallard"/>
        <s v="Black-necked Stilt"/>
        <s v="Hooded Oriole"/>
        <s v="Western Gull"/>
        <s v="Great Egret"/>
        <s v="Bushtit"/>
        <s v="Downy Woodpecker"/>
        <s v="Great Blue Heron"/>
        <s v="Black-crowned Night-Heron"/>
        <s v="Killdeer"/>
        <s v="Canada Goose"/>
        <s v="Greater Yellowlegs"/>
        <s v="House Sparrow"/>
        <s v="Western Sandpiper"/>
      </sharedItems>
    </cacheField>
    <cacheField name="Count" numFmtId="0">
      <sharedItems containsSemiMixedTypes="0" containsString="0" containsNumber="1" containsInteger="1" minValue="1" maxValue="2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5.3" maxValue="5.3"/>
    </cacheField>
    <cacheField name="Observers" numFmtId="0">
      <sharedItems count="2">
        <s v="WEST: Mark, Lisa, Beau"/>
        <s v="EAST: Darwin, Conor, Stev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n v="1"/>
    <d v="2020-07-10T00:00:00"/>
    <d v="2020-07-10T06:55:42"/>
    <x v="0"/>
    <n v="2"/>
    <x v="0"/>
    <s v="Water - Wading"/>
    <m/>
    <m/>
    <m/>
    <n v="5.3"/>
    <x v="0"/>
  </r>
  <r>
    <n v="2"/>
    <d v="2020-07-10T00:00:00"/>
    <d v="2020-07-10T06:57:53"/>
    <x v="1"/>
    <n v="3"/>
    <x v="0"/>
    <s v="Air"/>
    <m/>
    <m/>
    <m/>
    <m/>
    <x v="0"/>
  </r>
  <r>
    <n v="3"/>
    <d v="2020-07-10T00:00:00"/>
    <d v="2020-07-10T07:08:25"/>
    <x v="2"/>
    <n v="2"/>
    <x v="0"/>
    <s v="Vegetation - Tree"/>
    <m/>
    <m/>
    <s v="Observation is outside of survey area and is therefore considered not part of formal NCOS bird survey, but kept in spatial data for record."/>
    <m/>
    <x v="0"/>
  </r>
  <r>
    <n v="4"/>
    <d v="2020-07-10T00:00:00"/>
    <d v="2020-07-10T07:09:51"/>
    <x v="3"/>
    <n v="2"/>
    <x v="0"/>
    <s v="Bare ground"/>
    <m/>
    <m/>
    <m/>
    <m/>
    <x v="0"/>
  </r>
  <r>
    <n v="5"/>
    <d v="2020-07-10T00:00:00"/>
    <d v="2020-07-10T07:16:40"/>
    <x v="4"/>
    <n v="1"/>
    <x v="0"/>
    <s v="Other"/>
    <m/>
    <m/>
    <s v="telephone pole"/>
    <m/>
    <x v="0"/>
  </r>
  <r>
    <n v="6"/>
    <d v="2020-07-10T00:00:00"/>
    <d v="2020-07-10T07:18:17"/>
    <x v="5"/>
    <n v="1"/>
    <x v="0"/>
    <s v="Vegetation - Shrub"/>
    <m/>
    <m/>
    <m/>
    <m/>
    <x v="0"/>
  </r>
  <r>
    <n v="7"/>
    <d v="2020-07-10T00:00:00"/>
    <d v="2020-07-10T07:19:17"/>
    <x v="6"/>
    <n v="3"/>
    <x v="0"/>
    <s v="Vegetation - Shrub"/>
    <m/>
    <m/>
    <s v="juveh"/>
    <m/>
    <x v="0"/>
  </r>
  <r>
    <n v="8"/>
    <d v="2020-07-10T00:00:00"/>
    <d v="2020-07-10T07:20:02"/>
    <x v="7"/>
    <n v="1"/>
    <x v="0"/>
    <s v="Vegetation - Tree"/>
    <m/>
    <m/>
    <m/>
    <m/>
    <x v="0"/>
  </r>
  <r>
    <n v="9"/>
    <d v="2020-07-10T00:00:00"/>
    <d v="2020-07-10T07:21:49"/>
    <x v="8"/>
    <n v="1"/>
    <x v="0"/>
    <s v="Vegetation - Tree"/>
    <m/>
    <m/>
    <m/>
    <m/>
    <x v="0"/>
  </r>
  <r>
    <n v="10"/>
    <d v="2020-07-10T00:00:00"/>
    <d v="2020-07-10T07:24:09"/>
    <x v="3"/>
    <n v="9"/>
    <x v="0"/>
    <s v="Bare ground"/>
    <m/>
    <m/>
    <m/>
    <m/>
    <x v="0"/>
  </r>
  <r>
    <n v="11"/>
    <d v="2020-07-10T00:00:00"/>
    <d v="2020-07-10T07:31:42"/>
    <x v="7"/>
    <n v="1"/>
    <x v="0"/>
    <s v="Air"/>
    <m/>
    <m/>
    <m/>
    <m/>
    <x v="0"/>
  </r>
  <r>
    <n v="12"/>
    <d v="2020-07-10T00:00:00"/>
    <d v="2020-07-10T07:37:51"/>
    <x v="9"/>
    <n v="1"/>
    <x v="0"/>
    <s v="Habitat Feature - Snag"/>
    <m/>
    <m/>
    <m/>
    <m/>
    <x v="0"/>
  </r>
  <r>
    <n v="13"/>
    <d v="2020-07-10T00:00:00"/>
    <d v="2020-07-10T07:41:00"/>
    <x v="10"/>
    <n v="1"/>
    <x v="0"/>
    <s v="Vegetation - Shrub"/>
    <m/>
    <m/>
    <m/>
    <m/>
    <x v="0"/>
  </r>
  <r>
    <n v="14"/>
    <d v="2020-07-10T00:00:00"/>
    <d v="2020-07-10T07:42:03"/>
    <x v="9"/>
    <n v="1"/>
    <x v="0"/>
    <s v="Habitat Feature - Snag"/>
    <m/>
    <m/>
    <m/>
    <m/>
    <x v="0"/>
  </r>
  <r>
    <n v="15"/>
    <d v="2020-07-10T00:00:00"/>
    <d v="2020-07-10T07:44:27"/>
    <x v="11"/>
    <n v="2"/>
    <x v="0"/>
    <s v="Vegetation - Shrub"/>
    <m/>
    <m/>
    <m/>
    <m/>
    <x v="0"/>
  </r>
  <r>
    <n v="16"/>
    <d v="2020-07-10T00:00:00"/>
    <d v="2020-07-10T07:51:17"/>
    <x v="12"/>
    <n v="2"/>
    <x v="0"/>
    <s v="Air"/>
    <m/>
    <m/>
    <m/>
    <m/>
    <x v="0"/>
  </r>
  <r>
    <n v="17"/>
    <d v="2020-07-10T00:00:00"/>
    <d v="2020-07-10T07:52:39"/>
    <x v="13"/>
    <n v="1"/>
    <x v="0"/>
    <s v="Vegetation - Shrub"/>
    <m/>
    <m/>
    <m/>
    <m/>
    <x v="0"/>
  </r>
  <r>
    <n v="18"/>
    <d v="2020-07-10T00:00:00"/>
    <d v="2020-07-10T07:59:10"/>
    <x v="14"/>
    <n v="1"/>
    <x v="0"/>
    <s v="Air"/>
    <m/>
    <m/>
    <m/>
    <m/>
    <x v="0"/>
  </r>
  <r>
    <n v="19"/>
    <d v="2020-07-10T00:00:00"/>
    <d v="2020-07-10T08:01:47"/>
    <x v="11"/>
    <n v="1"/>
    <x v="0"/>
    <s v="Fence"/>
    <m/>
    <m/>
    <m/>
    <m/>
    <x v="0"/>
  </r>
  <r>
    <n v="20"/>
    <d v="2020-07-10T00:00:00"/>
    <d v="2020-07-10T08:04:12"/>
    <x v="7"/>
    <n v="1"/>
    <x v="0"/>
    <s v="Vegetation - Tree"/>
    <m/>
    <m/>
    <m/>
    <m/>
    <x v="0"/>
  </r>
  <r>
    <n v="21"/>
    <d v="2020-07-10T00:00:00"/>
    <d v="2020-07-10T08:06:48"/>
    <x v="15"/>
    <n v="2"/>
    <x v="0"/>
    <s v="Vegetation - Tree"/>
    <m/>
    <m/>
    <m/>
    <m/>
    <x v="0"/>
  </r>
  <r>
    <n v="22"/>
    <d v="2020-07-10T00:00:00"/>
    <d v="2020-07-10T08:10:08"/>
    <x v="16"/>
    <n v="1"/>
    <x v="0"/>
    <s v="Vegetation - Shrub"/>
    <m/>
    <m/>
    <m/>
    <m/>
    <x v="0"/>
  </r>
  <r>
    <n v="23"/>
    <d v="2020-07-10T00:00:00"/>
    <d v="2020-07-10T08:13:33"/>
    <x v="1"/>
    <n v="2"/>
    <x v="0"/>
    <s v="Air"/>
    <m/>
    <m/>
    <m/>
    <m/>
    <x v="0"/>
  </r>
  <r>
    <n v="24"/>
    <d v="2020-07-10T00:00:00"/>
    <d v="2020-07-10T08:23:42"/>
    <x v="3"/>
    <n v="2"/>
    <x v="0"/>
    <s v="Air"/>
    <m/>
    <m/>
    <m/>
    <m/>
    <x v="0"/>
  </r>
  <r>
    <n v="25"/>
    <d v="2020-07-10T00:00:00"/>
    <d v="2020-07-10T08:32:00"/>
    <x v="17"/>
    <n v="2"/>
    <x v="0"/>
    <s v="Vegetation - Shrub"/>
    <m/>
    <m/>
    <m/>
    <m/>
    <x v="0"/>
  </r>
  <r>
    <n v="26"/>
    <d v="2020-07-10T00:00:00"/>
    <d v="2020-07-10T08:27:51"/>
    <x v="18"/>
    <n v="1"/>
    <x v="0"/>
    <s v="Habitat Feature - Snag"/>
    <m/>
    <m/>
    <m/>
    <m/>
    <x v="0"/>
  </r>
  <r>
    <n v="27"/>
    <d v="2020-07-10T00:00:00"/>
    <d v="2020-07-10T08:29:23"/>
    <x v="19"/>
    <n v="1"/>
    <x v="0"/>
    <s v="Air"/>
    <m/>
    <m/>
    <m/>
    <m/>
    <x v="0"/>
  </r>
  <r>
    <n v="28"/>
    <d v="2020-07-10T00:00:00"/>
    <d v="2020-07-10T08:32:14"/>
    <x v="20"/>
    <n v="1"/>
    <x v="0"/>
    <s v="Fence"/>
    <m/>
    <m/>
    <s v="Count originally blank. Assumed to be 1."/>
    <m/>
    <x v="0"/>
  </r>
  <r>
    <n v="29"/>
    <d v="2020-07-10T00:00:00"/>
    <d v="2020-07-10T08:35:14"/>
    <x v="21"/>
    <n v="2"/>
    <x v="0"/>
    <s v="Vegetation - Shrub"/>
    <m/>
    <m/>
    <m/>
    <m/>
    <x v="0"/>
  </r>
  <r>
    <n v="30"/>
    <d v="2020-07-10T00:00:00"/>
    <d v="2020-07-10T08:35:34"/>
    <x v="10"/>
    <n v="1"/>
    <x v="1"/>
    <m/>
    <m/>
    <m/>
    <m/>
    <m/>
    <x v="0"/>
  </r>
  <r>
    <n v="31"/>
    <d v="2020-07-10T00:00:00"/>
    <d v="2020-07-10T08:35:56"/>
    <x v="22"/>
    <n v="1"/>
    <x v="0"/>
    <s v="Vegetation - Tree"/>
    <m/>
    <m/>
    <m/>
    <m/>
    <x v="0"/>
  </r>
  <r>
    <n v="32"/>
    <d v="2020-07-10T00:00:00"/>
    <d v="2020-07-10T08:36:29"/>
    <x v="23"/>
    <n v="6"/>
    <x v="0"/>
    <s v="Vegetation - Tree"/>
    <m/>
    <m/>
    <m/>
    <m/>
    <x v="0"/>
  </r>
  <r>
    <n v="33"/>
    <d v="2020-07-10T00:00:00"/>
    <d v="2020-07-10T08:36:41"/>
    <x v="24"/>
    <n v="1"/>
    <x v="0"/>
    <s v="Vegetation - Tree"/>
    <m/>
    <m/>
    <m/>
    <m/>
    <x v="0"/>
  </r>
  <r>
    <n v="34"/>
    <d v="2020-07-10T00:00:00"/>
    <d v="2020-07-10T08:37:34"/>
    <x v="25"/>
    <n v="4"/>
    <x v="0"/>
    <s v="Vegetation - Tree"/>
    <m/>
    <m/>
    <m/>
    <m/>
    <x v="0"/>
  </r>
  <r>
    <n v="35"/>
    <d v="2020-07-10T00:00:00"/>
    <d v="2020-07-10T08:37:46"/>
    <x v="5"/>
    <n v="1"/>
    <x v="0"/>
    <s v="Vegetation - Shrub"/>
    <m/>
    <m/>
    <m/>
    <m/>
    <x v="0"/>
  </r>
  <r>
    <n v="36"/>
    <d v="2020-07-10T00:00:00"/>
    <d v="2020-07-10T08:38:03"/>
    <x v="9"/>
    <n v="1"/>
    <x v="0"/>
    <s v="Vegetation - Tree"/>
    <m/>
    <m/>
    <m/>
    <m/>
    <x v="0"/>
  </r>
  <r>
    <n v="37"/>
    <d v="2020-07-10T00:00:00"/>
    <d v="2020-07-10T08:39:51"/>
    <x v="19"/>
    <n v="2"/>
    <x v="0"/>
    <s v="Air"/>
    <m/>
    <m/>
    <m/>
    <m/>
    <x v="0"/>
  </r>
  <r>
    <n v="38"/>
    <d v="2020-07-10T00:00:00"/>
    <d v="2020-07-10T08:40:37"/>
    <x v="15"/>
    <n v="1"/>
    <x v="0"/>
    <s v="Vegetation - Tree"/>
    <m/>
    <m/>
    <m/>
    <m/>
    <x v="0"/>
  </r>
  <r>
    <n v="39"/>
    <d v="2020-07-10T00:00:00"/>
    <d v="2020-07-10T08:42:52"/>
    <x v="12"/>
    <n v="1"/>
    <x v="0"/>
    <s v="Vegetation - Shrub"/>
    <m/>
    <m/>
    <m/>
    <m/>
    <x v="0"/>
  </r>
  <r>
    <n v="40"/>
    <d v="2020-07-10T00:00:00"/>
    <d v="2020-07-10T08:43:52"/>
    <x v="6"/>
    <n v="1"/>
    <x v="0"/>
    <s v="Vegetation - Shrub"/>
    <m/>
    <m/>
    <m/>
    <m/>
    <x v="0"/>
  </r>
  <r>
    <n v="41"/>
    <d v="2020-07-10T00:00:00"/>
    <d v="2020-07-10T08:44:20"/>
    <x v="6"/>
    <n v="2"/>
    <x v="0"/>
    <s v="Vegetation - Shrub"/>
    <m/>
    <m/>
    <m/>
    <m/>
    <x v="0"/>
  </r>
  <r>
    <n v="42"/>
    <d v="2020-07-10T00:00:00"/>
    <d v="2020-07-10T08:45:04"/>
    <x v="1"/>
    <n v="15"/>
    <x v="0"/>
    <s v="Air"/>
    <m/>
    <m/>
    <m/>
    <m/>
    <x v="0"/>
  </r>
  <r>
    <n v="43"/>
    <d v="2020-07-10T00:00:00"/>
    <d v="2020-07-10T08:45:39"/>
    <x v="19"/>
    <n v="15"/>
    <x v="0"/>
    <s v="Air"/>
    <m/>
    <m/>
    <m/>
    <m/>
    <x v="0"/>
  </r>
  <r>
    <n v="44"/>
    <d v="2020-07-10T00:00:00"/>
    <d v="2020-07-10T08:47:07"/>
    <x v="18"/>
    <n v="1"/>
    <x v="0"/>
    <s v="Fence"/>
    <m/>
    <m/>
    <m/>
    <m/>
    <x v="0"/>
  </r>
  <r>
    <n v="45"/>
    <d v="2020-07-10T00:00:00"/>
    <d v="2020-07-10T08:50:19"/>
    <x v="6"/>
    <n v="3"/>
    <x v="0"/>
    <s v="Vegetation - Herbaceous"/>
    <m/>
    <m/>
    <m/>
    <m/>
    <x v="0"/>
  </r>
  <r>
    <n v="46"/>
    <d v="2020-07-10T00:00:00"/>
    <d v="2020-07-10T08:51:35"/>
    <x v="11"/>
    <n v="1"/>
    <x v="0"/>
    <s v="Bare ground"/>
    <m/>
    <m/>
    <m/>
    <m/>
    <x v="0"/>
  </r>
  <r>
    <n v="47"/>
    <d v="2020-07-10T00:00:00"/>
    <d v="2020-07-10T08:56:54"/>
    <x v="9"/>
    <n v="4"/>
    <x v="0"/>
    <s v="Bare ground"/>
    <m/>
    <m/>
    <m/>
    <m/>
    <x v="0"/>
  </r>
  <r>
    <n v="48"/>
    <d v="2020-07-10T00:00:00"/>
    <d v="2020-07-10T08:57:10"/>
    <x v="24"/>
    <n v="2"/>
    <x v="0"/>
    <s v="Vegetation - Shrub"/>
    <m/>
    <m/>
    <m/>
    <m/>
    <x v="0"/>
  </r>
  <r>
    <n v="49"/>
    <d v="2020-07-10T00:00:00"/>
    <d v="2020-07-10T08:57:23"/>
    <x v="21"/>
    <n v="1"/>
    <x v="0"/>
    <s v="Vegetation - Herbaceous"/>
    <m/>
    <m/>
    <m/>
    <m/>
    <x v="0"/>
  </r>
  <r>
    <n v="50"/>
    <d v="2020-07-10T00:00:00"/>
    <d v="2020-07-10T09:01:53"/>
    <x v="5"/>
    <n v="2"/>
    <x v="0"/>
    <s v="Bare ground"/>
    <m/>
    <m/>
    <m/>
    <m/>
    <x v="0"/>
  </r>
  <r>
    <n v="51"/>
    <d v="2020-07-10T00:00:00"/>
    <d v="2020-07-10T09:04:46"/>
    <x v="12"/>
    <n v="2"/>
    <x v="0"/>
    <s v="Vegetation - Herbaceous"/>
    <m/>
    <m/>
    <m/>
    <m/>
    <x v="0"/>
  </r>
  <r>
    <n v="52"/>
    <d v="2020-07-10T00:00:00"/>
    <d v="2020-07-10T09:06:08"/>
    <x v="26"/>
    <n v="4"/>
    <x v="0"/>
    <s v="Vegetation - Herbaceous"/>
    <m/>
    <m/>
    <s v="Count changed from 5 to 4 following survey review."/>
    <m/>
    <x v="0"/>
  </r>
  <r>
    <n v="53"/>
    <d v="2020-07-10T00:00:00"/>
    <d v="2020-07-10T09:05:47"/>
    <x v="8"/>
    <n v="1"/>
    <x v="0"/>
    <s v="Vegetation - Tree"/>
    <m/>
    <m/>
    <m/>
    <m/>
    <x v="0"/>
  </r>
  <r>
    <n v="54"/>
    <d v="2020-07-10T00:00:00"/>
    <d v="2020-07-10T09:06:39"/>
    <x v="6"/>
    <n v="1"/>
    <x v="0"/>
    <s v="Bare ground"/>
    <m/>
    <m/>
    <m/>
    <m/>
    <x v="0"/>
  </r>
  <r>
    <n v="55"/>
    <d v="2020-07-10T00:00:00"/>
    <d v="2020-07-10T09:17:12"/>
    <x v="27"/>
    <n v="1"/>
    <x v="0"/>
    <s v="Air"/>
    <m/>
    <m/>
    <m/>
    <m/>
    <x v="0"/>
  </r>
  <r>
    <n v="56"/>
    <d v="2020-07-10T00:00:00"/>
    <d v="2020-07-10T09:19:39"/>
    <x v="16"/>
    <n v="1"/>
    <x v="1"/>
    <s v="Air"/>
    <m/>
    <m/>
    <s v="Changed Repeat Observation from No to Yes following survey review."/>
    <m/>
    <x v="0"/>
  </r>
  <r>
    <n v="57"/>
    <d v="2020-07-10T00:00:00"/>
    <d v="2020-07-10T09:20:06"/>
    <x v="27"/>
    <n v="1"/>
    <x v="0"/>
    <s v="Habitat Feature - Snag"/>
    <m/>
    <m/>
    <m/>
    <m/>
    <x v="0"/>
  </r>
  <r>
    <n v="58"/>
    <d v="2020-07-10T00:00:00"/>
    <d v="2020-07-10T07:00:35"/>
    <x v="28"/>
    <n v="6"/>
    <x v="0"/>
    <s v="Water - Floating"/>
    <m/>
    <m/>
    <m/>
    <m/>
    <x v="1"/>
  </r>
  <r>
    <n v="59"/>
    <d v="2020-07-10T00:00:00"/>
    <d v="2020-07-10T07:05:37"/>
    <x v="29"/>
    <n v="2"/>
    <x v="0"/>
    <s v="Mud"/>
    <m/>
    <m/>
    <m/>
    <m/>
    <x v="1"/>
  </r>
  <r>
    <n v="60"/>
    <d v="2020-07-10T00:00:00"/>
    <d v="2020-07-10T07:08:51"/>
    <x v="3"/>
    <n v="2"/>
    <x v="0"/>
    <s v="Flyover"/>
    <m/>
    <m/>
    <m/>
    <m/>
    <x v="1"/>
  </r>
  <r>
    <n v="61"/>
    <d v="2020-07-10T00:00:00"/>
    <d v="2020-07-10T07:11:18"/>
    <x v="7"/>
    <n v="1"/>
    <x v="0"/>
    <s v="Vegetation - Shrub"/>
    <m/>
    <m/>
    <m/>
    <m/>
    <x v="1"/>
  </r>
  <r>
    <n v="62"/>
    <d v="2020-07-10T00:00:00"/>
    <d v="2020-07-10T07:11:28"/>
    <x v="30"/>
    <n v="1"/>
    <x v="0"/>
    <s v="Vegetation - Tree"/>
    <m/>
    <m/>
    <m/>
    <m/>
    <x v="1"/>
  </r>
  <r>
    <n v="63"/>
    <d v="2020-07-10T00:00:00"/>
    <d v="2020-07-10T07:12:10"/>
    <x v="11"/>
    <n v="15"/>
    <x v="0"/>
    <s v="Other"/>
    <m/>
    <m/>
    <s v="telephone line"/>
    <m/>
    <x v="1"/>
  </r>
  <r>
    <n v="64"/>
    <d v="2020-07-10T00:00:00"/>
    <d v="2020-07-10T07:14:12"/>
    <x v="4"/>
    <n v="1"/>
    <x v="0"/>
    <m/>
    <m/>
    <m/>
    <m/>
    <m/>
    <x v="1"/>
  </r>
  <r>
    <n v="65"/>
    <d v="2020-07-10T00:00:00"/>
    <d v="2020-07-10T07:15:44"/>
    <x v="6"/>
    <n v="1"/>
    <x v="0"/>
    <s v="Vegetation - Shrub"/>
    <m/>
    <m/>
    <m/>
    <m/>
    <x v="1"/>
  </r>
  <r>
    <n v="66"/>
    <d v="2020-07-10T00:00:00"/>
    <d v="2020-07-10T07:17:23"/>
    <x v="1"/>
    <n v="25"/>
    <x v="0"/>
    <s v="Mud"/>
    <m/>
    <m/>
    <m/>
    <m/>
    <x v="1"/>
  </r>
  <r>
    <n v="67"/>
    <d v="2020-07-10T00:00:00"/>
    <d v="2020-07-10T08:13:18"/>
    <x v="31"/>
    <n v="5"/>
    <x v="0"/>
    <s v="Mud"/>
    <m/>
    <m/>
    <m/>
    <m/>
    <x v="1"/>
  </r>
  <r>
    <n v="68"/>
    <d v="2020-07-10T00:00:00"/>
    <d v="2020-07-10T07:18:45"/>
    <x v="32"/>
    <n v="1"/>
    <x v="0"/>
    <s v="Water - Wading"/>
    <m/>
    <m/>
    <m/>
    <m/>
    <x v="1"/>
  </r>
  <r>
    <n v="69"/>
    <d v="2020-07-10T00:00:00"/>
    <d v="2020-07-10T07:19:12"/>
    <x v="28"/>
    <n v="6"/>
    <x v="0"/>
    <s v="Water - Floating"/>
    <m/>
    <m/>
    <m/>
    <m/>
    <x v="1"/>
  </r>
  <r>
    <n v="70"/>
    <d v="2020-07-10T00:00:00"/>
    <d v="2020-07-10T07:21:56"/>
    <x v="4"/>
    <n v="2"/>
    <x v="0"/>
    <s v="Vegetation - Tree"/>
    <m/>
    <m/>
    <m/>
    <m/>
    <x v="1"/>
  </r>
  <r>
    <n v="71"/>
    <d v="2020-07-10T00:00:00"/>
    <d v="2020-07-10T07:23:21"/>
    <x v="19"/>
    <n v="2"/>
    <x v="0"/>
    <s v="Bridge"/>
    <m/>
    <m/>
    <m/>
    <m/>
    <x v="1"/>
  </r>
  <r>
    <n v="72"/>
    <d v="2020-07-10T00:00:00"/>
    <d v="2020-07-10T07:23:45"/>
    <x v="0"/>
    <n v="1"/>
    <x v="0"/>
    <s v="Water - Wading"/>
    <m/>
    <m/>
    <m/>
    <m/>
    <x v="1"/>
  </r>
  <r>
    <n v="73"/>
    <d v="2020-07-10T00:00:00"/>
    <d v="2020-07-10T07:24:42"/>
    <x v="33"/>
    <n v="5"/>
    <x v="0"/>
    <s v="Vegetation - Shrub"/>
    <m/>
    <m/>
    <m/>
    <m/>
    <x v="1"/>
  </r>
  <r>
    <n v="74"/>
    <d v="2020-07-10T00:00:00"/>
    <d v="2020-07-10T07:26:53"/>
    <x v="3"/>
    <n v="1"/>
    <x v="0"/>
    <s v="Vegetation - Herbaceous"/>
    <m/>
    <m/>
    <m/>
    <m/>
    <x v="1"/>
  </r>
  <r>
    <n v="75"/>
    <d v="2020-07-10T00:00:00"/>
    <d v="2020-07-10T07:34:28"/>
    <x v="5"/>
    <n v="1"/>
    <x v="0"/>
    <s v="Vegetation - Shrub"/>
    <m/>
    <m/>
    <m/>
    <m/>
    <x v="1"/>
  </r>
  <r>
    <n v="76"/>
    <d v="2020-07-10T00:00:00"/>
    <d v="2020-07-10T07:35:15"/>
    <x v="7"/>
    <n v="2"/>
    <x v="0"/>
    <s v="Vegetation - Tree"/>
    <m/>
    <m/>
    <m/>
    <m/>
    <x v="1"/>
  </r>
  <r>
    <n v="77"/>
    <d v="2020-07-10T00:00:00"/>
    <d v="2020-07-10T07:35:28"/>
    <x v="34"/>
    <n v="1"/>
    <x v="0"/>
    <s v="Vegetation - Tree"/>
    <m/>
    <m/>
    <m/>
    <m/>
    <x v="1"/>
  </r>
  <r>
    <n v="78"/>
    <d v="2020-07-10T00:00:00"/>
    <d v="2020-07-10T07:35:50"/>
    <x v="30"/>
    <n v="2"/>
    <x v="0"/>
    <s v="Vegetation - Tree"/>
    <m/>
    <m/>
    <m/>
    <m/>
    <x v="1"/>
  </r>
  <r>
    <n v="79"/>
    <d v="2020-07-10T00:00:00"/>
    <d v="2020-07-10T07:39:35"/>
    <x v="11"/>
    <n v="4"/>
    <x v="0"/>
    <s v="Vegetation - Tree"/>
    <m/>
    <m/>
    <m/>
    <m/>
    <x v="1"/>
  </r>
  <r>
    <n v="80"/>
    <d v="2020-07-10T00:00:00"/>
    <d v="2020-07-10T07:39:23"/>
    <x v="11"/>
    <n v="4"/>
    <x v="0"/>
    <s v="Vegetation - Tree"/>
    <m/>
    <m/>
    <m/>
    <m/>
    <x v="1"/>
  </r>
  <r>
    <n v="81"/>
    <d v="2020-07-10T00:00:00"/>
    <d v="2020-07-10T07:42:29"/>
    <x v="33"/>
    <n v="5"/>
    <x v="0"/>
    <m/>
    <m/>
    <m/>
    <m/>
    <m/>
    <x v="1"/>
  </r>
  <r>
    <n v="82"/>
    <d v="2020-07-10T00:00:00"/>
    <d v="2020-07-10T07:43:43"/>
    <x v="14"/>
    <n v="2"/>
    <x v="0"/>
    <s v="Vegetation - Tree"/>
    <m/>
    <m/>
    <m/>
    <m/>
    <x v="1"/>
  </r>
  <r>
    <n v="83"/>
    <d v="2020-07-10T00:00:00"/>
    <d v="2020-07-10T07:44:06"/>
    <x v="1"/>
    <n v="5"/>
    <x v="0"/>
    <s v="Air"/>
    <m/>
    <m/>
    <m/>
    <m/>
    <x v="1"/>
  </r>
  <r>
    <n v="84"/>
    <d v="2020-07-10T00:00:00"/>
    <d v="2020-07-10T07:44:46"/>
    <x v="30"/>
    <n v="1"/>
    <x v="0"/>
    <s v="Vegetation - Tree"/>
    <m/>
    <m/>
    <m/>
    <m/>
    <x v="1"/>
  </r>
  <r>
    <n v="85"/>
    <d v="2020-07-10T00:00:00"/>
    <d v="2020-07-10T08:00:41"/>
    <x v="35"/>
    <n v="1"/>
    <x v="0"/>
    <s v="Water - Wading"/>
    <m/>
    <m/>
    <m/>
    <m/>
    <x v="1"/>
  </r>
  <r>
    <n v="86"/>
    <d v="2020-07-10T00:00:00"/>
    <d v="2020-07-10T07:52:34"/>
    <x v="34"/>
    <n v="1"/>
    <x v="0"/>
    <s v="Vegetation - Tree"/>
    <m/>
    <m/>
    <m/>
    <m/>
    <x v="1"/>
  </r>
  <r>
    <n v="87"/>
    <d v="2020-07-10T00:00:00"/>
    <d v="2020-07-10T07:57:24"/>
    <x v="36"/>
    <n v="1"/>
    <x v="0"/>
    <s v="Water - Wading"/>
    <m/>
    <m/>
    <m/>
    <m/>
    <x v="1"/>
  </r>
  <r>
    <n v="88"/>
    <d v="2020-07-10T00:00:00"/>
    <d v="2020-07-10T07:57:59"/>
    <x v="6"/>
    <n v="2"/>
    <x v="0"/>
    <s v="Vegetation - Herbaceous"/>
    <m/>
    <m/>
    <m/>
    <m/>
    <x v="1"/>
  </r>
  <r>
    <n v="89"/>
    <d v="2020-07-10T00:00:00"/>
    <d v="2020-07-10T07:59:37"/>
    <x v="28"/>
    <n v="25"/>
    <x v="0"/>
    <s v="Water - Floating"/>
    <m/>
    <m/>
    <m/>
    <m/>
    <x v="1"/>
  </r>
  <r>
    <n v="90"/>
    <d v="2020-07-10T00:00:00"/>
    <d v="2020-07-10T07:59:55"/>
    <x v="28"/>
    <n v="25"/>
    <x v="0"/>
    <m/>
    <m/>
    <m/>
    <m/>
    <m/>
    <x v="1"/>
  </r>
  <r>
    <n v="91"/>
    <d v="2020-07-10T00:00:00"/>
    <d v="2020-07-10T08:00:35"/>
    <x v="0"/>
    <n v="1"/>
    <x v="0"/>
    <s v="Water - Wading"/>
    <m/>
    <m/>
    <m/>
    <m/>
    <x v="1"/>
  </r>
  <r>
    <n v="92"/>
    <d v="2020-07-10T00:00:00"/>
    <d v="2020-07-10T08:02:04"/>
    <x v="36"/>
    <n v="1"/>
    <x v="0"/>
    <s v="Water - Wading"/>
    <m/>
    <m/>
    <m/>
    <m/>
    <x v="1"/>
  </r>
  <r>
    <n v="93"/>
    <d v="2020-07-10T00:00:00"/>
    <d v="2020-07-10T08:02:24"/>
    <x v="21"/>
    <n v="1"/>
    <x v="0"/>
    <s v="Vegetation - Herbaceous"/>
    <m/>
    <m/>
    <m/>
    <m/>
    <x v="1"/>
  </r>
  <r>
    <n v="94"/>
    <d v="2020-07-10T00:00:00"/>
    <d v="2020-07-10T08:03:31"/>
    <x v="4"/>
    <n v="1"/>
    <x v="1"/>
    <s v="Other"/>
    <m/>
    <m/>
    <s v="On bat box in Whittier Parcel. Changed Repeat Observation from No to Yes following survey review."/>
    <m/>
    <x v="1"/>
  </r>
  <r>
    <n v="95"/>
    <d v="2020-07-10T00:00:00"/>
    <d v="2020-07-10T08:07:49"/>
    <x v="20"/>
    <n v="1"/>
    <x v="0"/>
    <s v="Vegetation - Shrub"/>
    <m/>
    <m/>
    <m/>
    <m/>
    <x v="1"/>
  </r>
  <r>
    <n v="96"/>
    <d v="2020-07-10T00:00:00"/>
    <d v="2020-07-10T08:08:21"/>
    <x v="7"/>
    <n v="1"/>
    <x v="0"/>
    <s v="Vegetation - Tree"/>
    <m/>
    <m/>
    <m/>
    <m/>
    <x v="1"/>
  </r>
  <r>
    <n v="97"/>
    <d v="2020-07-10T00:00:00"/>
    <d v="2020-07-10T08:13:01"/>
    <x v="3"/>
    <n v="1"/>
    <x v="0"/>
    <s v="Vegetation - Tree"/>
    <m/>
    <m/>
    <m/>
    <m/>
    <x v="1"/>
  </r>
  <r>
    <n v="98"/>
    <d v="2020-07-10T00:00:00"/>
    <d v="2020-07-10T08:16:50"/>
    <x v="6"/>
    <n v="1"/>
    <x v="0"/>
    <s v="Vegetation - Shrub"/>
    <m/>
    <m/>
    <m/>
    <m/>
    <x v="1"/>
  </r>
  <r>
    <n v="99"/>
    <d v="2020-07-10T00:00:00"/>
    <d v="2020-07-10T08:17:04"/>
    <x v="7"/>
    <n v="1"/>
    <x v="0"/>
    <s v="Vegetation - Shrub"/>
    <m/>
    <m/>
    <m/>
    <m/>
    <x v="1"/>
  </r>
  <r>
    <n v="100"/>
    <d v="2020-07-10T00:00:00"/>
    <d v="2020-07-10T08:18:49"/>
    <x v="37"/>
    <n v="1"/>
    <x v="0"/>
    <s v="Mud"/>
    <m/>
    <m/>
    <m/>
    <m/>
    <x v="1"/>
  </r>
  <r>
    <n v="101"/>
    <d v="2020-07-10T00:00:00"/>
    <d v="2020-07-10T08:19:14"/>
    <x v="38"/>
    <n v="6"/>
    <x v="0"/>
    <s v="Water - Floating"/>
    <m/>
    <m/>
    <m/>
    <m/>
    <x v="1"/>
  </r>
  <r>
    <n v="102"/>
    <d v="2020-07-10T00:00:00"/>
    <d v="2020-07-10T08:21:30"/>
    <x v="28"/>
    <n v="11"/>
    <x v="0"/>
    <s v="Water - Floating"/>
    <m/>
    <m/>
    <m/>
    <m/>
    <x v="1"/>
  </r>
  <r>
    <n v="103"/>
    <d v="2020-07-10T00:00:00"/>
    <d v="2020-07-10T08:20:03"/>
    <x v="32"/>
    <n v="1"/>
    <x v="0"/>
    <s v="Water - Wading"/>
    <m/>
    <m/>
    <m/>
    <m/>
    <x v="1"/>
  </r>
  <r>
    <n v="104"/>
    <d v="2020-07-10T00:00:00"/>
    <d v="2020-07-10T08:20:54"/>
    <x v="29"/>
    <n v="2"/>
    <x v="0"/>
    <s v="Mud"/>
    <m/>
    <m/>
    <m/>
    <m/>
    <x v="1"/>
  </r>
  <r>
    <n v="105"/>
    <d v="2020-07-10T00:00:00"/>
    <d v="2020-07-10T08:21:07"/>
    <x v="0"/>
    <n v="1"/>
    <x v="0"/>
    <s v="Water - Wading"/>
    <m/>
    <m/>
    <m/>
    <m/>
    <x v="1"/>
  </r>
  <r>
    <n v="106"/>
    <d v="2020-07-10T00:00:00"/>
    <d v="2020-07-10T08:22:01"/>
    <x v="33"/>
    <n v="5"/>
    <x v="0"/>
    <s v="Vegetation - Shrub"/>
    <m/>
    <m/>
    <m/>
    <m/>
    <x v="1"/>
  </r>
  <r>
    <n v="107"/>
    <d v="2020-07-10T00:00:00"/>
    <d v="2020-07-10T08:22:47"/>
    <x v="3"/>
    <n v="2"/>
    <x v="0"/>
    <s v="Mud"/>
    <m/>
    <m/>
    <m/>
    <m/>
    <x v="1"/>
  </r>
  <r>
    <n v="108"/>
    <d v="2020-07-10T00:00:00"/>
    <d v="2020-07-10T08:23:20"/>
    <x v="12"/>
    <n v="1"/>
    <x v="0"/>
    <s v="Vegetation - Shrub"/>
    <m/>
    <m/>
    <m/>
    <m/>
    <x v="1"/>
  </r>
  <r>
    <n v="109"/>
    <d v="2020-07-10T00:00:00"/>
    <d v="2020-07-10T08:23:59"/>
    <x v="5"/>
    <n v="2"/>
    <x v="0"/>
    <s v="Vegetation - Shrub"/>
    <m/>
    <m/>
    <m/>
    <m/>
    <x v="1"/>
  </r>
  <r>
    <n v="110"/>
    <d v="2020-07-10T00:00:00"/>
    <d v="2020-07-10T08:24:35"/>
    <x v="39"/>
    <n v="1"/>
    <x v="0"/>
    <s v="Mud"/>
    <m/>
    <m/>
    <m/>
    <m/>
    <x v="1"/>
  </r>
  <r>
    <n v="111"/>
    <d v="2020-07-10T00:00:00"/>
    <d v="2020-07-10T08:27:49"/>
    <x v="11"/>
    <n v="10"/>
    <x v="0"/>
    <s v="Vegetation - Shrub"/>
    <m/>
    <m/>
    <m/>
    <m/>
    <x v="1"/>
  </r>
  <r>
    <n v="112"/>
    <d v="2020-07-10T00:00:00"/>
    <d v="2020-07-10T08:31:52"/>
    <x v="6"/>
    <n v="1"/>
    <x v="0"/>
    <s v="Bare ground"/>
    <m/>
    <m/>
    <m/>
    <m/>
    <x v="1"/>
  </r>
  <r>
    <n v="113"/>
    <d v="2020-07-10T00:00:00"/>
    <d v="2020-07-10T08:33:17"/>
    <x v="26"/>
    <n v="3"/>
    <x v="0"/>
    <s v="Vegetation - Tree"/>
    <m/>
    <m/>
    <m/>
    <m/>
    <x v="1"/>
  </r>
  <r>
    <n v="114"/>
    <d v="2020-07-10T00:00:00"/>
    <d v="2020-07-10T08:35:20"/>
    <x v="6"/>
    <n v="1"/>
    <x v="0"/>
    <s v="Mud"/>
    <m/>
    <m/>
    <m/>
    <m/>
    <x v="1"/>
  </r>
  <r>
    <n v="115"/>
    <d v="2020-07-10T00:00:00"/>
    <d v="2020-07-10T08:37:37"/>
    <x v="40"/>
    <n v="3"/>
    <x v="0"/>
    <s v="Vegetation - Herbaceous"/>
    <m/>
    <m/>
    <m/>
    <m/>
    <x v="1"/>
  </r>
  <r>
    <n v="116"/>
    <d v="2020-07-10T00:00:00"/>
    <d v="2020-07-10T08:36:45"/>
    <x v="19"/>
    <n v="1"/>
    <x v="0"/>
    <s v="Bare ground"/>
    <m/>
    <m/>
    <m/>
    <m/>
    <x v="1"/>
  </r>
  <r>
    <n v="117"/>
    <d v="2020-07-10T00:00:00"/>
    <d v="2020-07-10T08:37:19"/>
    <x v="21"/>
    <n v="1"/>
    <x v="0"/>
    <s v="Vegetation - Tree"/>
    <m/>
    <m/>
    <m/>
    <m/>
    <x v="1"/>
  </r>
  <r>
    <n v="118"/>
    <d v="2020-07-10T00:00:00"/>
    <d v="2020-07-10T08:37:59"/>
    <x v="6"/>
    <n v="1"/>
    <x v="0"/>
    <s v="Vegetation - Herbaceous"/>
    <m/>
    <m/>
    <m/>
    <m/>
    <x v="1"/>
  </r>
  <r>
    <n v="119"/>
    <d v="2020-07-10T00:00:00"/>
    <d v="2020-07-10T08:41:11"/>
    <x v="7"/>
    <n v="1"/>
    <x v="0"/>
    <s v="Vegetation - Tree"/>
    <m/>
    <m/>
    <m/>
    <m/>
    <x v="1"/>
  </r>
  <r>
    <n v="120"/>
    <d v="2020-07-10T00:00:00"/>
    <d v="2020-07-10T08:42:18"/>
    <x v="33"/>
    <n v="10"/>
    <x v="0"/>
    <s v="Vegetation - Herbaceous"/>
    <m/>
    <m/>
    <m/>
    <m/>
    <x v="1"/>
  </r>
  <r>
    <n v="121"/>
    <d v="2020-07-10T00:00:00"/>
    <d v="2020-07-10T08:43:37"/>
    <x v="7"/>
    <n v="2"/>
    <x v="0"/>
    <s v="Flyover"/>
    <m/>
    <m/>
    <m/>
    <m/>
    <x v="1"/>
  </r>
  <r>
    <n v="122"/>
    <d v="2020-07-10T00:00:00"/>
    <d v="2020-07-10T08:44:51"/>
    <x v="12"/>
    <n v="2"/>
    <x v="0"/>
    <s v="Vegetation - Herbaceous"/>
    <m/>
    <m/>
    <m/>
    <m/>
    <x v="1"/>
  </r>
  <r>
    <n v="123"/>
    <d v="2020-07-10T00:00:00"/>
    <d v="2020-07-10T08:55:00"/>
    <x v="18"/>
    <n v="4"/>
    <x v="0"/>
    <s v="Vegetation - Tree"/>
    <m/>
    <m/>
    <m/>
    <m/>
    <x v="1"/>
  </r>
  <r>
    <n v="124"/>
    <d v="2020-07-10T00:00:00"/>
    <d v="2020-07-10T08:45:23"/>
    <x v="17"/>
    <n v="1"/>
    <x v="0"/>
    <s v="Vegetation - Tree"/>
    <m/>
    <m/>
    <m/>
    <m/>
    <x v="1"/>
  </r>
  <r>
    <n v="125"/>
    <d v="2020-07-10T00:00:00"/>
    <d v="2020-07-10T08:45:40"/>
    <x v="39"/>
    <n v="1"/>
    <x v="0"/>
    <s v="Mud"/>
    <m/>
    <m/>
    <m/>
    <m/>
    <x v="1"/>
  </r>
  <r>
    <n v="126"/>
    <d v="2020-07-10T00:00:00"/>
    <d v="2020-07-10T08:47:03"/>
    <x v="11"/>
    <n v="4"/>
    <x v="0"/>
    <s v="Vegetation - Herbaceous"/>
    <m/>
    <m/>
    <m/>
    <m/>
    <x v="1"/>
  </r>
  <r>
    <n v="127"/>
    <d v="2020-07-10T00:00:00"/>
    <d v="2020-07-10T08:48:24"/>
    <x v="20"/>
    <n v="1"/>
    <x v="0"/>
    <s v="Vegetation - Shrub"/>
    <m/>
    <m/>
    <m/>
    <m/>
    <x v="1"/>
  </r>
  <r>
    <n v="128"/>
    <d v="2020-07-10T00:00:00"/>
    <d v="2020-07-10T08:49:25"/>
    <x v="11"/>
    <n v="10"/>
    <x v="0"/>
    <s v="Vegetation - Shrub"/>
    <m/>
    <m/>
    <m/>
    <m/>
    <x v="1"/>
  </r>
  <r>
    <n v="129"/>
    <d v="2020-07-10T00:00:00"/>
    <d v="2020-07-10T08:52:37"/>
    <x v="20"/>
    <n v="1"/>
    <x v="0"/>
    <s v="Fence"/>
    <m/>
    <m/>
    <m/>
    <m/>
    <x v="1"/>
  </r>
  <r>
    <n v="130"/>
    <d v="2020-07-10T00:00:00"/>
    <d v="2020-07-10T08:55:13"/>
    <x v="40"/>
    <n v="4"/>
    <x v="0"/>
    <s v="Vegetation - Herbaceous"/>
    <m/>
    <m/>
    <m/>
    <m/>
    <x v="1"/>
  </r>
  <r>
    <n v="131"/>
    <d v="2020-07-10T00:00:00"/>
    <d v="2020-07-10T08:55:25"/>
    <x v="12"/>
    <n v="2"/>
    <x v="0"/>
    <s v="Vegetation - Herbaceous"/>
    <m/>
    <m/>
    <m/>
    <m/>
    <x v="1"/>
  </r>
  <r>
    <n v="132"/>
    <d v="2020-07-10T00:00:00"/>
    <d v="2020-07-10T08:56:57"/>
    <x v="19"/>
    <n v="25"/>
    <x v="0"/>
    <s v="Building"/>
    <m/>
    <m/>
    <m/>
    <m/>
    <x v="1"/>
  </r>
  <r>
    <n v="133"/>
    <d v="2020-07-10T00:00:00"/>
    <d v="2020-07-10T09:33:49"/>
    <x v="41"/>
    <n v="8"/>
    <x v="0"/>
    <s v="Mud"/>
    <m/>
    <m/>
    <m/>
    <m/>
    <x v="1"/>
  </r>
  <r>
    <n v="134"/>
    <d v="2020-07-10T00:00:00"/>
    <d v="2020-07-10T09:34:09"/>
    <x v="37"/>
    <n v="1"/>
    <x v="0"/>
    <s v="Mud"/>
    <m/>
    <m/>
    <m/>
    <m/>
    <x v="1"/>
  </r>
  <r>
    <n v="135"/>
    <d v="2020-07-10T00:00:00"/>
    <d v="2020-07-10T09:35:29"/>
    <x v="39"/>
    <n v="3"/>
    <x v="0"/>
    <s v="Mud"/>
    <m/>
    <m/>
    <m/>
    <m/>
    <x v="1"/>
  </r>
  <r>
    <n v="136"/>
    <d v="2020-07-10T00:00:00"/>
    <d v="2020-07-10T09:38:38"/>
    <x v="3"/>
    <n v="3"/>
    <x v="0"/>
    <s v="Vegetation - Tree"/>
    <m/>
    <m/>
    <m/>
    <m/>
    <x v="1"/>
  </r>
  <r>
    <n v="137"/>
    <d v="2020-07-10T00:00:00"/>
    <d v="2020-07-10T09:55:03"/>
    <x v="18"/>
    <n v="1"/>
    <x v="0"/>
    <s v="Fence"/>
    <m/>
    <m/>
    <m/>
    <m/>
    <x v="1"/>
  </r>
  <r>
    <n v="138"/>
    <d v="2020-07-10T00:00:00"/>
    <m/>
    <x v="30"/>
    <n v="1"/>
    <x v="0"/>
    <s v="Vegetation - Tree"/>
    <m/>
    <m/>
    <s v="Observation added following survey review."/>
    <m/>
    <x v="0"/>
  </r>
  <r>
    <m/>
    <d v="2020-07-10T00:00:00"/>
    <m/>
    <x v="34"/>
    <n v="1"/>
    <x v="0"/>
    <s v="Vegetation - Tree"/>
    <m/>
    <m/>
    <s v="Observation added following survey review. Spatial data unavailable, but was seen in trees on EEM."/>
    <m/>
    <x v="0"/>
  </r>
  <r>
    <m/>
    <d v="2020-07-10T00:00:00"/>
    <m/>
    <x v="37"/>
    <n v="1"/>
    <x v="0"/>
    <m/>
    <m/>
    <m/>
    <s v="Observation added following survey review. Spatial data unavailable, but was seen on EEM in the middle of the former mustard patch."/>
    <m/>
    <x v="0"/>
  </r>
  <r>
    <m/>
    <d v="2020-07-10T00:00:00"/>
    <m/>
    <x v="24"/>
    <n v="2"/>
    <x v="0"/>
    <m/>
    <m/>
    <m/>
    <s v="Observation added following survey review. Spatial data not available, but considered to be in the &quot;northwest arm&quot;.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287E7-CB82-4CCA-945F-9F658C4540EC}" name="PivotTable1" cacheId="4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47" firstHeaderRow="1" firstDataRow="3" firstDataCol="1"/>
  <pivotFields count="12">
    <pivotField numFmtId="1" showAll="0"/>
    <pivotField numFmtId="14" showAll="0"/>
    <pivotField numFmtId="165" showAll="0"/>
    <pivotField axis="axisRow" showAll="0">
      <items count="43">
        <item x="14"/>
        <item x="3"/>
        <item x="7"/>
        <item x="15"/>
        <item x="20"/>
        <item x="36"/>
        <item x="29"/>
        <item x="33"/>
        <item x="5"/>
        <item x="38"/>
        <item x="17"/>
        <item x="1"/>
        <item x="21"/>
        <item x="16"/>
        <item x="34"/>
        <item x="23"/>
        <item x="35"/>
        <item x="32"/>
        <item x="39"/>
        <item x="30"/>
        <item x="11"/>
        <item x="40"/>
        <item x="37"/>
        <item x="9"/>
        <item x="12"/>
        <item x="10"/>
        <item x="28"/>
        <item x="25"/>
        <item x="22"/>
        <item x="8"/>
        <item x="4"/>
        <item x="27"/>
        <item x="19"/>
        <item x="26"/>
        <item x="0"/>
        <item x="6"/>
        <item x="18"/>
        <item x="31"/>
        <item x="24"/>
        <item x="41"/>
        <item h="1" x="2"/>
        <item x="1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20">
    <format dxfId="19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8">
      <pivotArea type="topRight" dataOnly="0" labelOnly="1" outline="0" offset="B1:C1" fieldPosition="0"/>
    </format>
    <format dxfId="17">
      <pivotArea dataOnly="0" labelOnly="1" fieldPosition="0">
        <references count="1">
          <reference field="5" count="1">
            <x v="1"/>
          </reference>
        </references>
      </pivotArea>
    </format>
    <format dxfId="16">
      <pivotArea dataOnly="0" labelOnly="1" fieldPosition="0">
        <references count="1">
          <reference field="5" count="1" defaultSubtotal="1">
            <x v="1"/>
          </reference>
        </references>
      </pivotArea>
    </format>
    <format dxfId="15">
      <pivotArea dataOnly="0" labelOnly="1" fieldPosition="0">
        <references count="2">
          <reference field="5" count="1" selected="0">
            <x v="1"/>
          </reference>
          <reference field="11" count="1">
            <x v="1"/>
          </reference>
        </references>
      </pivotArea>
    </format>
    <format dxfId="14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3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5" count="1" defaultSubtotal="1">
            <x v="0"/>
          </reference>
        </references>
      </pivotArea>
    </format>
    <format dxfId="10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9">
      <pivotArea type="topRight" dataOnly="0" labelOnly="1" outline="0" offset="A1" fieldPosition="0"/>
    </format>
    <format dxfId="8">
      <pivotArea dataOnly="0" labelOnly="1" fieldPosition="0">
        <references count="1">
          <reference field="5" count="1" defaultSubtotal="1">
            <x v="0"/>
          </reference>
        </references>
      </pivotArea>
    </format>
    <format dxfId="7">
      <pivotArea collapsedLevelsAreSubtotals="1" fieldPosition="0">
        <references count="2">
          <reference field="3" count="0"/>
          <reference field="5" count="1" selected="0" defaultSubtotal="1">
            <x v="0"/>
          </reference>
        </references>
      </pivotArea>
    </format>
    <format dxfId="6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5">
      <pivotArea type="topRight" dataOnly="0" labelOnly="1" outline="0" offset="A1" fieldPosition="0"/>
    </format>
    <format dxfId="4">
      <pivotArea dataOnly="0" labelOnly="1" fieldPosition="0">
        <references count="1">
          <reference field="5" count="1" defaultSubtotal="1">
            <x v="0"/>
          </reference>
        </references>
      </pivotArea>
    </format>
    <format dxfId="3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2">
      <pivotArea collapsedLevelsAreSubtotals="1" fieldPosition="0">
        <references count="1">
          <reference field="3" count="0"/>
        </references>
      </pivotArea>
    </format>
    <format dxfId="1">
      <pivotArea dataOnly="0" labelOnly="1" fieldPosition="0">
        <references count="1">
          <reference field="3" count="0"/>
        </references>
      </pivotArea>
    </format>
    <format dxfId="0">
      <pivotArea outline="0" collapsedLevelsAreSubtotals="1" fieldPosition="0">
        <references count="2">
          <reference field="5" count="1" selected="0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42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2.75" x14ac:dyDescent="0.2"/>
  <cols>
    <col min="1" max="1" width="10.140625" style="9" bestFit="1" customWidth="1"/>
    <col min="2" max="2" width="10.140625" style="6" bestFit="1" customWidth="1"/>
    <col min="3" max="3" width="16" style="6" customWidth="1"/>
    <col min="4" max="4" width="24.140625" bestFit="1" customWidth="1"/>
    <col min="5" max="5" width="6.28515625" style="6" bestFit="1" customWidth="1"/>
    <col min="6" max="6" width="19.140625" style="6" bestFit="1" customWidth="1"/>
    <col min="7" max="7" width="21.85546875" bestFit="1" customWidth="1"/>
    <col min="8" max="8" width="4.5703125" bestFit="1" customWidth="1"/>
    <col min="9" max="9" width="16.5703125" bestFit="1" customWidth="1"/>
    <col min="10" max="10" width="17.7109375" bestFit="1" customWidth="1"/>
    <col min="11" max="11" width="12" style="6" bestFit="1" customWidth="1"/>
    <col min="12" max="12" width="25.85546875" bestFit="1" customWidth="1"/>
    <col min="13" max="13" width="13.42578125" bestFit="1" customWidth="1"/>
    <col min="14" max="14" width="12.42578125" bestFit="1" customWidth="1"/>
    <col min="15" max="15" width="16.85546875" bestFit="1" customWidth="1"/>
    <col min="16" max="16" width="22.28515625" bestFit="1" customWidth="1"/>
    <col min="17" max="17" width="20.7109375" bestFit="1" customWidth="1"/>
    <col min="18" max="18" width="20" customWidth="1"/>
    <col min="19" max="19" width="22.5703125" bestFit="1" customWidth="1"/>
    <col min="20" max="20" width="12.85546875" bestFit="1" customWidth="1"/>
    <col min="21" max="21" width="16" customWidth="1"/>
    <col min="22" max="22" width="21.42578125" bestFit="1" customWidth="1"/>
    <col min="23" max="24" width="20" customWidth="1"/>
    <col min="25" max="25" width="21.7109375" bestFit="1" customWidth="1"/>
    <col min="26" max="26" width="12" bestFit="1" customWidth="1"/>
    <col min="27" max="27" width="13.5703125" bestFit="1" customWidth="1"/>
    <col min="28" max="29" width="16" customWidth="1"/>
    <col min="30" max="30" width="25" bestFit="1" customWidth="1"/>
    <col min="31" max="31" width="16" customWidth="1"/>
    <col min="32" max="32" width="25" bestFit="1" customWidth="1"/>
  </cols>
  <sheetData>
    <row r="1" spans="1:32" x14ac:dyDescent="0.2">
      <c r="A1" s="7" t="s">
        <v>0</v>
      </c>
      <c r="B1" s="1" t="s">
        <v>236</v>
      </c>
      <c r="C1" s="1" t="s">
        <v>235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">
      <c r="A2" s="8">
        <v>18</v>
      </c>
      <c r="B2" s="5">
        <v>44022</v>
      </c>
      <c r="C2" s="10">
        <f>AE2-(7/24)</f>
        <v>44022.332754629635</v>
      </c>
      <c r="D2" s="3" t="s">
        <v>75</v>
      </c>
      <c r="E2" s="11">
        <v>1</v>
      </c>
      <c r="F2" s="12" t="s">
        <v>31</v>
      </c>
      <c r="G2" s="3" t="s">
        <v>39</v>
      </c>
      <c r="H2" s="3"/>
      <c r="I2" s="3"/>
      <c r="J2" s="3"/>
      <c r="K2" s="12"/>
      <c r="L2" s="13" t="s">
        <v>238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76</v>
      </c>
      <c r="AC2" s="4">
        <v>44022.624421296299</v>
      </c>
      <c r="AD2" s="3" t="s">
        <v>37</v>
      </c>
      <c r="AE2" s="4">
        <v>44022.624421296299</v>
      </c>
      <c r="AF2" s="3" t="s">
        <v>37</v>
      </c>
    </row>
    <row r="3" spans="1:32" x14ac:dyDescent="0.2">
      <c r="A3" s="8">
        <v>82</v>
      </c>
      <c r="B3" s="5">
        <v>44022</v>
      </c>
      <c r="C3" s="10">
        <f>AE3-(7/24)</f>
        <v>44022.322025462963</v>
      </c>
      <c r="D3" s="3" t="s">
        <v>75</v>
      </c>
      <c r="E3" s="11">
        <v>2</v>
      </c>
      <c r="F3" s="12" t="s">
        <v>31</v>
      </c>
      <c r="G3" s="3" t="s">
        <v>42</v>
      </c>
      <c r="H3" s="3"/>
      <c r="I3" s="3"/>
      <c r="J3" s="3"/>
      <c r="K3" s="12"/>
      <c r="L3" s="13" t="s">
        <v>239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169</v>
      </c>
      <c r="AC3" s="4">
        <v>44022.613692129627</v>
      </c>
      <c r="AD3" s="3" t="s">
        <v>135</v>
      </c>
      <c r="AE3" s="4">
        <v>44022.613692129627</v>
      </c>
      <c r="AF3" s="3" t="s">
        <v>135</v>
      </c>
    </row>
    <row r="4" spans="1:32" x14ac:dyDescent="0.2">
      <c r="A4" s="8">
        <v>4</v>
      </c>
      <c r="B4" s="5">
        <v>44022</v>
      </c>
      <c r="C4" s="10">
        <f>AE4-(7/24)</f>
        <v>44022.298506944448</v>
      </c>
      <c r="D4" s="3" t="s">
        <v>44</v>
      </c>
      <c r="E4" s="11">
        <v>2</v>
      </c>
      <c r="F4" s="12" t="s">
        <v>31</v>
      </c>
      <c r="G4" s="3" t="s">
        <v>45</v>
      </c>
      <c r="H4" s="3"/>
      <c r="I4" s="3"/>
      <c r="J4" s="3"/>
      <c r="K4" s="12"/>
      <c r="L4" s="13" t="s">
        <v>238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46</v>
      </c>
      <c r="AC4" s="4">
        <v>44022.590173611112</v>
      </c>
      <c r="AD4" s="3" t="s">
        <v>37</v>
      </c>
      <c r="AE4" s="4">
        <v>44022.590173611112</v>
      </c>
      <c r="AF4" s="3" t="s">
        <v>37</v>
      </c>
    </row>
    <row r="5" spans="1:32" x14ac:dyDescent="0.2">
      <c r="A5" s="8">
        <v>10</v>
      </c>
      <c r="B5" s="5">
        <v>44022</v>
      </c>
      <c r="C5" s="10">
        <f>AE5-(7/24)</f>
        <v>44022.308437500003</v>
      </c>
      <c r="D5" s="3" t="s">
        <v>44</v>
      </c>
      <c r="E5" s="11">
        <v>9</v>
      </c>
      <c r="F5" s="12" t="s">
        <v>31</v>
      </c>
      <c r="G5" s="3" t="s">
        <v>45</v>
      </c>
      <c r="H5" s="3"/>
      <c r="I5" s="3"/>
      <c r="J5" s="3"/>
      <c r="K5" s="12"/>
      <c r="L5" s="13" t="s">
        <v>238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61</v>
      </c>
      <c r="AC5" s="4">
        <v>44022.600104166668</v>
      </c>
      <c r="AD5" s="3" t="s">
        <v>37</v>
      </c>
      <c r="AE5" s="4">
        <v>44022.600104166668</v>
      </c>
      <c r="AF5" s="3" t="s">
        <v>37</v>
      </c>
    </row>
    <row r="6" spans="1:32" x14ac:dyDescent="0.2">
      <c r="A6" s="8">
        <v>24</v>
      </c>
      <c r="B6" s="5">
        <v>44022</v>
      </c>
      <c r="C6" s="10">
        <f>AE6-(7/24)</f>
        <v>44022.349791666667</v>
      </c>
      <c r="D6" s="3" t="s">
        <v>44</v>
      </c>
      <c r="E6" s="11">
        <v>2</v>
      </c>
      <c r="F6" s="12" t="s">
        <v>31</v>
      </c>
      <c r="G6" s="3" t="s">
        <v>39</v>
      </c>
      <c r="H6" s="3"/>
      <c r="I6" s="3"/>
      <c r="J6" s="3"/>
      <c r="K6" s="12"/>
      <c r="L6" s="13" t="s">
        <v>238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85</v>
      </c>
      <c r="AC6" s="4">
        <v>44022.641458333332</v>
      </c>
      <c r="AD6" s="3" t="s">
        <v>37</v>
      </c>
      <c r="AE6" s="4">
        <v>44022.641458333332</v>
      </c>
      <c r="AF6" s="3" t="s">
        <v>37</v>
      </c>
    </row>
    <row r="7" spans="1:32" x14ac:dyDescent="0.2">
      <c r="A7" s="8">
        <v>60</v>
      </c>
      <c r="B7" s="5">
        <v>44022</v>
      </c>
      <c r="C7" s="10">
        <f>AE7-(7/24)</f>
        <v>44022.297812500001</v>
      </c>
      <c r="D7" s="3" t="s">
        <v>44</v>
      </c>
      <c r="E7" s="11">
        <v>2</v>
      </c>
      <c r="F7" s="12" t="s">
        <v>31</v>
      </c>
      <c r="G7" s="3" t="s">
        <v>139</v>
      </c>
      <c r="H7" s="3"/>
      <c r="I7" s="3"/>
      <c r="J7" s="3"/>
      <c r="K7" s="12"/>
      <c r="L7" s="13" t="s">
        <v>239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140</v>
      </c>
      <c r="AC7" s="4">
        <v>44022.589479166665</v>
      </c>
      <c r="AD7" s="3" t="s">
        <v>135</v>
      </c>
      <c r="AE7" s="4">
        <v>44022.589479166665</v>
      </c>
      <c r="AF7" s="3" t="s">
        <v>135</v>
      </c>
    </row>
    <row r="8" spans="1:32" x14ac:dyDescent="0.2">
      <c r="A8" s="8">
        <v>74</v>
      </c>
      <c r="B8" s="5">
        <v>44022</v>
      </c>
      <c r="C8" s="10">
        <f>AE8-(7/24)</f>
        <v>44022.310335648152</v>
      </c>
      <c r="D8" s="3" t="s">
        <v>44</v>
      </c>
      <c r="E8" s="11">
        <v>1</v>
      </c>
      <c r="F8" s="12" t="s">
        <v>31</v>
      </c>
      <c r="G8" s="3" t="s">
        <v>116</v>
      </c>
      <c r="H8" s="3"/>
      <c r="I8" s="3"/>
      <c r="J8" s="3"/>
      <c r="K8" s="12"/>
      <c r="L8" s="13" t="s">
        <v>239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160</v>
      </c>
      <c r="AC8" s="4">
        <v>44022.602002314816</v>
      </c>
      <c r="AD8" s="3" t="s">
        <v>135</v>
      </c>
      <c r="AE8" s="4">
        <v>44022.602002314816</v>
      </c>
      <c r="AF8" s="3" t="s">
        <v>135</v>
      </c>
    </row>
    <row r="9" spans="1:32" x14ac:dyDescent="0.2">
      <c r="A9" s="8">
        <v>97</v>
      </c>
      <c r="B9" s="5">
        <v>44022</v>
      </c>
      <c r="C9" s="10">
        <f>AE9-(7/24)</f>
        <v>44022.342372685191</v>
      </c>
      <c r="D9" s="3" t="s">
        <v>44</v>
      </c>
      <c r="E9" s="11">
        <v>1</v>
      </c>
      <c r="F9" s="12" t="s">
        <v>31</v>
      </c>
      <c r="G9" s="3" t="s">
        <v>42</v>
      </c>
      <c r="H9" s="3"/>
      <c r="I9" s="3"/>
      <c r="J9" s="3"/>
      <c r="K9" s="12"/>
      <c r="L9" s="13" t="s">
        <v>239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186</v>
      </c>
      <c r="AC9" s="4">
        <v>44022.634039351855</v>
      </c>
      <c r="AD9" s="3" t="s">
        <v>135</v>
      </c>
      <c r="AE9" s="4">
        <v>44022.634039351855</v>
      </c>
      <c r="AF9" s="3" t="s">
        <v>135</v>
      </c>
    </row>
    <row r="10" spans="1:32" x14ac:dyDescent="0.2">
      <c r="A10" s="8">
        <v>107</v>
      </c>
      <c r="B10" s="5">
        <v>44022</v>
      </c>
      <c r="C10" s="10">
        <f>AE10-(7/24)</f>
        <v>44022.349155092597</v>
      </c>
      <c r="D10" s="3" t="s">
        <v>44</v>
      </c>
      <c r="E10" s="11">
        <v>2</v>
      </c>
      <c r="F10" s="12" t="s">
        <v>31</v>
      </c>
      <c r="G10" s="3" t="s">
        <v>137</v>
      </c>
      <c r="H10" s="3"/>
      <c r="I10" s="3"/>
      <c r="J10" s="3"/>
      <c r="K10" s="12"/>
      <c r="L10" s="13" t="s">
        <v>239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198</v>
      </c>
      <c r="AC10" s="4">
        <v>44022.640821759262</v>
      </c>
      <c r="AD10" s="3" t="s">
        <v>135</v>
      </c>
      <c r="AE10" s="4">
        <v>44022.640821759262</v>
      </c>
      <c r="AF10" s="3" t="s">
        <v>135</v>
      </c>
    </row>
    <row r="11" spans="1:32" x14ac:dyDescent="0.2">
      <c r="A11" s="8">
        <v>136</v>
      </c>
      <c r="B11" s="5">
        <v>44022</v>
      </c>
      <c r="C11" s="10">
        <f>AE11-(7/24)</f>
        <v>44022.401828703703</v>
      </c>
      <c r="D11" s="3" t="s">
        <v>44</v>
      </c>
      <c r="E11" s="11">
        <v>3</v>
      </c>
      <c r="F11" s="12" t="s">
        <v>31</v>
      </c>
      <c r="G11" s="3" t="s">
        <v>42</v>
      </c>
      <c r="H11" s="3"/>
      <c r="I11" s="3"/>
      <c r="J11" s="3"/>
      <c r="K11" s="12"/>
      <c r="L11" s="13" t="s">
        <v>239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s">
        <v>231</v>
      </c>
      <c r="AC11" s="4">
        <v>44022.693495370368</v>
      </c>
      <c r="AD11" s="3" t="s">
        <v>135</v>
      </c>
      <c r="AE11" s="4">
        <v>44022.693495370368</v>
      </c>
      <c r="AF11" s="3" t="s">
        <v>135</v>
      </c>
    </row>
    <row r="12" spans="1:32" x14ac:dyDescent="0.2">
      <c r="A12" s="8">
        <v>8</v>
      </c>
      <c r="B12" s="5">
        <v>44022</v>
      </c>
      <c r="C12" s="10">
        <f>AE12-(7/24)</f>
        <v>44022.305578703708</v>
      </c>
      <c r="D12" s="3" t="s">
        <v>57</v>
      </c>
      <c r="E12" s="11">
        <v>1</v>
      </c>
      <c r="F12" s="12" t="s">
        <v>31</v>
      </c>
      <c r="G12" s="3" t="s">
        <v>42</v>
      </c>
      <c r="H12" s="3"/>
      <c r="I12" s="3"/>
      <c r="J12" s="3"/>
      <c r="K12" s="12"/>
      <c r="L12" s="13" t="s">
        <v>238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s">
        <v>58</v>
      </c>
      <c r="AC12" s="4">
        <v>44022.597245370373</v>
      </c>
      <c r="AD12" s="3" t="s">
        <v>37</v>
      </c>
      <c r="AE12" s="4">
        <v>44022.597245370373</v>
      </c>
      <c r="AF12" s="3" t="s">
        <v>37</v>
      </c>
    </row>
    <row r="13" spans="1:32" x14ac:dyDescent="0.2">
      <c r="A13" s="8">
        <v>11</v>
      </c>
      <c r="B13" s="5">
        <v>44022</v>
      </c>
      <c r="C13" s="10">
        <f>AE13-(7/24)</f>
        <v>44022.313680555555</v>
      </c>
      <c r="D13" s="3" t="s">
        <v>57</v>
      </c>
      <c r="E13" s="11">
        <v>1</v>
      </c>
      <c r="F13" s="12" t="s">
        <v>31</v>
      </c>
      <c r="G13" s="3" t="s">
        <v>39</v>
      </c>
      <c r="H13" s="3"/>
      <c r="I13" s="3"/>
      <c r="J13" s="3"/>
      <c r="K13" s="12"/>
      <c r="L13" s="13" t="s">
        <v>238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s">
        <v>62</v>
      </c>
      <c r="AC13" s="4">
        <v>44022.605347222219</v>
      </c>
      <c r="AD13" s="3" t="s">
        <v>37</v>
      </c>
      <c r="AE13" s="4">
        <v>44022.605347222219</v>
      </c>
      <c r="AF13" s="3" t="s">
        <v>37</v>
      </c>
    </row>
    <row r="14" spans="1:32" x14ac:dyDescent="0.2">
      <c r="A14" s="8">
        <v>20</v>
      </c>
      <c r="B14" s="5">
        <v>44022</v>
      </c>
      <c r="C14" s="10">
        <f>AE14-(7/24)</f>
        <v>44022.33625</v>
      </c>
      <c r="D14" s="3" t="s">
        <v>57</v>
      </c>
      <c r="E14" s="11">
        <v>1</v>
      </c>
      <c r="F14" s="12" t="s">
        <v>31</v>
      </c>
      <c r="G14" s="3" t="s">
        <v>42</v>
      </c>
      <c r="H14" s="3"/>
      <c r="I14" s="3"/>
      <c r="J14" s="3"/>
      <c r="K14" s="12"/>
      <c r="L14" s="13" t="s">
        <v>238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79</v>
      </c>
      <c r="AC14" s="4">
        <v>44022.627916666665</v>
      </c>
      <c r="AD14" s="3" t="s">
        <v>37</v>
      </c>
      <c r="AE14" s="4">
        <v>44022.627916666665</v>
      </c>
      <c r="AF14" s="3" t="s">
        <v>37</v>
      </c>
    </row>
    <row r="15" spans="1:32" x14ac:dyDescent="0.2">
      <c r="A15" s="8">
        <v>61</v>
      </c>
      <c r="B15" s="5">
        <v>44022</v>
      </c>
      <c r="C15" s="10">
        <f>AE15-(7/24)</f>
        <v>44022.299513888895</v>
      </c>
      <c r="D15" s="3" t="s">
        <v>57</v>
      </c>
      <c r="E15" s="11">
        <v>1</v>
      </c>
      <c r="F15" s="12" t="s">
        <v>31</v>
      </c>
      <c r="G15" s="3" t="s">
        <v>52</v>
      </c>
      <c r="H15" s="3"/>
      <c r="I15" s="3"/>
      <c r="J15" s="3"/>
      <c r="K15" s="12"/>
      <c r="L15" s="13" t="s">
        <v>239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s">
        <v>141</v>
      </c>
      <c r="AC15" s="4">
        <v>44022.591180555559</v>
      </c>
      <c r="AD15" s="3" t="s">
        <v>135</v>
      </c>
      <c r="AE15" s="4">
        <v>44022.591180555559</v>
      </c>
      <c r="AF15" s="3" t="s">
        <v>135</v>
      </c>
    </row>
    <row r="16" spans="1:32" x14ac:dyDescent="0.2">
      <c r="A16" s="8">
        <v>76</v>
      </c>
      <c r="B16" s="5">
        <v>44022</v>
      </c>
      <c r="C16" s="10">
        <f>AE16-(7/24)</f>
        <v>44022.316145833334</v>
      </c>
      <c r="D16" s="3" t="s">
        <v>57</v>
      </c>
      <c r="E16" s="11">
        <v>2</v>
      </c>
      <c r="F16" s="12" t="s">
        <v>31</v>
      </c>
      <c r="G16" s="3" t="s">
        <v>42</v>
      </c>
      <c r="H16" s="3"/>
      <c r="I16" s="3"/>
      <c r="J16" s="3"/>
      <c r="K16" s="12"/>
      <c r="L16" s="13" t="s">
        <v>239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s">
        <v>162</v>
      </c>
      <c r="AC16" s="4">
        <v>44022.607511574075</v>
      </c>
      <c r="AD16" s="3" t="s">
        <v>135</v>
      </c>
      <c r="AE16" s="4">
        <v>44022.607812499999</v>
      </c>
      <c r="AF16" s="3" t="s">
        <v>135</v>
      </c>
    </row>
    <row r="17" spans="1:32" x14ac:dyDescent="0.2">
      <c r="A17" s="8">
        <v>96</v>
      </c>
      <c r="B17" s="5">
        <v>44022</v>
      </c>
      <c r="C17" s="10">
        <f>AE17-(7/24)</f>
        <v>44022.339131944449</v>
      </c>
      <c r="D17" s="3" t="s">
        <v>57</v>
      </c>
      <c r="E17" s="11">
        <v>1</v>
      </c>
      <c r="F17" s="12" t="s">
        <v>31</v>
      </c>
      <c r="G17" s="3" t="s">
        <v>42</v>
      </c>
      <c r="H17" s="3"/>
      <c r="I17" s="3"/>
      <c r="J17" s="3"/>
      <c r="K17" s="12"/>
      <c r="L17" s="13" t="s">
        <v>239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185</v>
      </c>
      <c r="AC17" s="4">
        <v>44022.630798611113</v>
      </c>
      <c r="AD17" s="3" t="s">
        <v>135</v>
      </c>
      <c r="AE17" s="4">
        <v>44022.630798611113</v>
      </c>
      <c r="AF17" s="3" t="s">
        <v>135</v>
      </c>
    </row>
    <row r="18" spans="1:32" x14ac:dyDescent="0.2">
      <c r="A18" s="8">
        <v>99</v>
      </c>
      <c r="B18" s="5">
        <v>44022</v>
      </c>
      <c r="C18" s="10">
        <f>AE18-(7/24)</f>
        <v>44022.345185185186</v>
      </c>
      <c r="D18" s="3" t="s">
        <v>57</v>
      </c>
      <c r="E18" s="11">
        <v>1</v>
      </c>
      <c r="F18" s="12" t="s">
        <v>31</v>
      </c>
      <c r="G18" s="3" t="s">
        <v>52</v>
      </c>
      <c r="H18" s="3"/>
      <c r="I18" s="3"/>
      <c r="J18" s="3"/>
      <c r="K18" s="12"/>
      <c r="L18" s="13" t="s">
        <v>239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s">
        <v>188</v>
      </c>
      <c r="AC18" s="4">
        <v>44022.63685185185</v>
      </c>
      <c r="AD18" s="3" t="s">
        <v>135</v>
      </c>
      <c r="AE18" s="4">
        <v>44022.63685185185</v>
      </c>
      <c r="AF18" s="3" t="s">
        <v>135</v>
      </c>
    </row>
    <row r="19" spans="1:32" x14ac:dyDescent="0.2">
      <c r="A19" s="8">
        <v>119</v>
      </c>
      <c r="B19" s="5">
        <v>44022</v>
      </c>
      <c r="C19" s="10">
        <f>AE19-(7/24)</f>
        <v>44022.361932870372</v>
      </c>
      <c r="D19" s="3" t="s">
        <v>57</v>
      </c>
      <c r="E19" s="11">
        <v>1</v>
      </c>
      <c r="F19" s="12" t="s">
        <v>31</v>
      </c>
      <c r="G19" s="3" t="s">
        <v>42</v>
      </c>
      <c r="H19" s="3"/>
      <c r="I19" s="3"/>
      <c r="J19" s="3"/>
      <c r="K19" s="12"/>
      <c r="L19" s="13" t="s">
        <v>239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212</v>
      </c>
      <c r="AC19" s="4">
        <v>44022.653599537036</v>
      </c>
      <c r="AD19" s="3" t="s">
        <v>135</v>
      </c>
      <c r="AE19" s="4">
        <v>44022.653599537036</v>
      </c>
      <c r="AF19" s="3" t="s">
        <v>135</v>
      </c>
    </row>
    <row r="20" spans="1:32" x14ac:dyDescent="0.2">
      <c r="A20" s="8">
        <v>121</v>
      </c>
      <c r="B20" s="5">
        <v>44022</v>
      </c>
      <c r="C20" s="10">
        <f>AE20-(7/24)</f>
        <v>44022.363622685189</v>
      </c>
      <c r="D20" s="3" t="s">
        <v>57</v>
      </c>
      <c r="E20" s="11">
        <v>2</v>
      </c>
      <c r="F20" s="12" t="s">
        <v>31</v>
      </c>
      <c r="G20" s="3" t="s">
        <v>139</v>
      </c>
      <c r="H20" s="3"/>
      <c r="I20" s="3"/>
      <c r="J20" s="3"/>
      <c r="K20" s="12"/>
      <c r="L20" s="13" t="s">
        <v>239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s">
        <v>214</v>
      </c>
      <c r="AC20" s="4">
        <v>44022.655289351853</v>
      </c>
      <c r="AD20" s="3" t="s">
        <v>135</v>
      </c>
      <c r="AE20" s="4">
        <v>44022.655289351853</v>
      </c>
      <c r="AF20" s="3" t="s">
        <v>135</v>
      </c>
    </row>
    <row r="21" spans="1:32" x14ac:dyDescent="0.2">
      <c r="A21" s="8">
        <v>21</v>
      </c>
      <c r="B21" s="5">
        <v>44022</v>
      </c>
      <c r="C21" s="10">
        <f>AE21-(7/24)</f>
        <v>44022.338055555556</v>
      </c>
      <c r="D21" s="3" t="s">
        <v>80</v>
      </c>
      <c r="E21" s="11">
        <v>2</v>
      </c>
      <c r="F21" s="12" t="s">
        <v>31</v>
      </c>
      <c r="G21" s="3" t="s">
        <v>42</v>
      </c>
      <c r="H21" s="3"/>
      <c r="I21" s="3"/>
      <c r="J21" s="3"/>
      <c r="K21" s="12"/>
      <c r="L21" s="13" t="s">
        <v>238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 t="s">
        <v>81</v>
      </c>
      <c r="AC21" s="4">
        <v>44022.62972222222</v>
      </c>
      <c r="AD21" s="3" t="s">
        <v>37</v>
      </c>
      <c r="AE21" s="4">
        <v>44022.62972222222</v>
      </c>
      <c r="AF21" s="3" t="s">
        <v>37</v>
      </c>
    </row>
    <row r="22" spans="1:32" x14ac:dyDescent="0.2">
      <c r="A22" s="8">
        <v>38</v>
      </c>
      <c r="B22" s="5">
        <v>44022</v>
      </c>
      <c r="C22" s="10">
        <f>AE22-(7/24)</f>
        <v>44022.361539351856</v>
      </c>
      <c r="D22" s="3" t="s">
        <v>80</v>
      </c>
      <c r="E22" s="11">
        <v>1</v>
      </c>
      <c r="F22" s="12" t="s">
        <v>31</v>
      </c>
      <c r="G22" s="3" t="s">
        <v>42</v>
      </c>
      <c r="H22" s="3"/>
      <c r="I22" s="3"/>
      <c r="J22" s="3"/>
      <c r="K22" s="12"/>
      <c r="L22" s="13" t="s">
        <v>238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109</v>
      </c>
      <c r="AC22" s="4">
        <v>44022.65320601852</v>
      </c>
      <c r="AD22" s="3" t="s">
        <v>37</v>
      </c>
      <c r="AE22" s="4">
        <v>44022.65320601852</v>
      </c>
      <c r="AF22" s="3" t="s">
        <v>37</v>
      </c>
    </row>
    <row r="23" spans="1:32" x14ac:dyDescent="0.2">
      <c r="A23" s="8">
        <v>28</v>
      </c>
      <c r="B23" s="5">
        <v>44022</v>
      </c>
      <c r="C23" s="10">
        <f>AE23-(7/24)</f>
        <v>44022.355717592596</v>
      </c>
      <c r="D23" s="3" t="s">
        <v>92</v>
      </c>
      <c r="E23" s="12">
        <v>1</v>
      </c>
      <c r="F23" s="12" t="s">
        <v>31</v>
      </c>
      <c r="G23" s="3" t="s">
        <v>77</v>
      </c>
      <c r="H23" s="3"/>
      <c r="I23" s="3"/>
      <c r="J23" s="13" t="s">
        <v>237</v>
      </c>
      <c r="K23" s="12"/>
      <c r="L23" s="13" t="s">
        <v>238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 t="s">
        <v>93</v>
      </c>
      <c r="AC23" s="4">
        <v>44022.64738425926</v>
      </c>
      <c r="AD23" s="3" t="s">
        <v>37</v>
      </c>
      <c r="AE23" s="4">
        <v>44022.64738425926</v>
      </c>
      <c r="AF23" s="3" t="s">
        <v>37</v>
      </c>
    </row>
    <row r="24" spans="1:32" x14ac:dyDescent="0.2">
      <c r="A24" s="8">
        <v>95</v>
      </c>
      <c r="B24" s="5">
        <v>44022</v>
      </c>
      <c r="C24" s="10">
        <f>AE24-(7/24)</f>
        <v>44022.338761574079</v>
      </c>
      <c r="D24" s="3" t="s">
        <v>92</v>
      </c>
      <c r="E24" s="11">
        <v>1</v>
      </c>
      <c r="F24" s="12" t="s">
        <v>31</v>
      </c>
      <c r="G24" s="3" t="s">
        <v>52</v>
      </c>
      <c r="H24" s="3"/>
      <c r="I24" s="3"/>
      <c r="J24" s="3"/>
      <c r="K24" s="12"/>
      <c r="L24" s="13" t="s">
        <v>239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184</v>
      </c>
      <c r="AC24" s="4">
        <v>44022.630428240744</v>
      </c>
      <c r="AD24" s="3" t="s">
        <v>135</v>
      </c>
      <c r="AE24" s="4">
        <v>44022.630428240744</v>
      </c>
      <c r="AF24" s="3" t="s">
        <v>135</v>
      </c>
    </row>
    <row r="25" spans="1:32" x14ac:dyDescent="0.2">
      <c r="A25" s="8">
        <v>127</v>
      </c>
      <c r="B25" s="5">
        <v>44022</v>
      </c>
      <c r="C25" s="10">
        <f>AE25-(7/24)</f>
        <v>44022.366944444446</v>
      </c>
      <c r="D25" s="3" t="s">
        <v>92</v>
      </c>
      <c r="E25" s="11">
        <v>1</v>
      </c>
      <c r="F25" s="12" t="s">
        <v>31</v>
      </c>
      <c r="G25" s="3" t="s">
        <v>52</v>
      </c>
      <c r="H25" s="3"/>
      <c r="I25" s="3"/>
      <c r="J25" s="3"/>
      <c r="K25" s="12"/>
      <c r="L25" s="13" t="s">
        <v>239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 t="s">
        <v>220</v>
      </c>
      <c r="AC25" s="4">
        <v>44022.65861111111</v>
      </c>
      <c r="AD25" s="3" t="s">
        <v>135</v>
      </c>
      <c r="AE25" s="4">
        <v>44022.65861111111</v>
      </c>
      <c r="AF25" s="3" t="s">
        <v>135</v>
      </c>
    </row>
    <row r="26" spans="1:32" x14ac:dyDescent="0.2">
      <c r="A26" s="8">
        <v>129</v>
      </c>
      <c r="B26" s="5">
        <v>44022</v>
      </c>
      <c r="C26" s="10">
        <f>AE26-(7/24)</f>
        <v>44022.369872685187</v>
      </c>
      <c r="D26" s="3" t="s">
        <v>92</v>
      </c>
      <c r="E26" s="11">
        <v>1</v>
      </c>
      <c r="F26" s="12" t="s">
        <v>31</v>
      </c>
      <c r="G26" s="3" t="s">
        <v>77</v>
      </c>
      <c r="H26" s="3"/>
      <c r="I26" s="3"/>
      <c r="J26" s="3"/>
      <c r="K26" s="12"/>
      <c r="L26" s="13" t="s">
        <v>239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 t="s">
        <v>222</v>
      </c>
      <c r="AC26" s="4">
        <v>44022.661539351851</v>
      </c>
      <c r="AD26" s="3" t="s">
        <v>135</v>
      </c>
      <c r="AE26" s="4">
        <v>44022.661539351851</v>
      </c>
      <c r="AF26" s="3" t="s">
        <v>135</v>
      </c>
    </row>
    <row r="27" spans="1:32" x14ac:dyDescent="0.2">
      <c r="A27" s="8">
        <v>87</v>
      </c>
      <c r="B27" s="5">
        <v>44022</v>
      </c>
      <c r="C27" s="10">
        <f>AE27-(7/24)</f>
        <v>44022.33152777778</v>
      </c>
      <c r="D27" s="3" t="s">
        <v>175</v>
      </c>
      <c r="E27" s="11">
        <v>1</v>
      </c>
      <c r="F27" s="12" t="s">
        <v>31</v>
      </c>
      <c r="G27" s="3" t="s">
        <v>32</v>
      </c>
      <c r="H27" s="3"/>
      <c r="I27" s="3"/>
      <c r="J27" s="3"/>
      <c r="K27" s="12"/>
      <c r="L27" s="13" t="s">
        <v>239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176</v>
      </c>
      <c r="AC27" s="4">
        <v>44022.623194444444</v>
      </c>
      <c r="AD27" s="3" t="s">
        <v>135</v>
      </c>
      <c r="AE27" s="4">
        <v>44022.623194444444</v>
      </c>
      <c r="AF27" s="3" t="s">
        <v>135</v>
      </c>
    </row>
    <row r="28" spans="1:32" x14ac:dyDescent="0.2">
      <c r="A28" s="8">
        <v>92</v>
      </c>
      <c r="B28" s="5">
        <v>44022</v>
      </c>
      <c r="C28" s="10">
        <f>AE28-(7/24)</f>
        <v>44022.334768518522</v>
      </c>
      <c r="D28" s="3" t="s">
        <v>175</v>
      </c>
      <c r="E28" s="11">
        <v>1</v>
      </c>
      <c r="F28" s="12" t="s">
        <v>31</v>
      </c>
      <c r="G28" s="3" t="s">
        <v>32</v>
      </c>
      <c r="H28" s="3"/>
      <c r="I28" s="3"/>
      <c r="J28" s="3"/>
      <c r="K28" s="12"/>
      <c r="L28" s="13" t="s">
        <v>239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181</v>
      </c>
      <c r="AC28" s="4">
        <v>44022.626435185186</v>
      </c>
      <c r="AD28" s="3" t="s">
        <v>135</v>
      </c>
      <c r="AE28" s="4">
        <v>44022.626435185186</v>
      </c>
      <c r="AF28" s="3" t="s">
        <v>135</v>
      </c>
    </row>
    <row r="29" spans="1:32" x14ac:dyDescent="0.2">
      <c r="A29" s="8">
        <v>59</v>
      </c>
      <c r="B29" s="5">
        <v>44022</v>
      </c>
      <c r="C29" s="10">
        <f>AE29-(7/24)</f>
        <v>44022.295567129629</v>
      </c>
      <c r="D29" s="3" t="s">
        <v>136</v>
      </c>
      <c r="E29" s="11">
        <v>2</v>
      </c>
      <c r="F29" s="12" t="s">
        <v>31</v>
      </c>
      <c r="G29" s="3" t="s">
        <v>137</v>
      </c>
      <c r="H29" s="3"/>
      <c r="I29" s="3"/>
      <c r="J29" s="3"/>
      <c r="K29" s="12"/>
      <c r="L29" s="13" t="s">
        <v>239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138</v>
      </c>
      <c r="AC29" s="4">
        <v>44022.587233796294</v>
      </c>
      <c r="AD29" s="3" t="s">
        <v>135</v>
      </c>
      <c r="AE29" s="4">
        <v>44022.587233796294</v>
      </c>
      <c r="AF29" s="3" t="s">
        <v>135</v>
      </c>
    </row>
    <row r="30" spans="1:32" x14ac:dyDescent="0.2">
      <c r="A30" s="8">
        <v>104</v>
      </c>
      <c r="B30" s="5">
        <v>44022</v>
      </c>
      <c r="C30" s="10">
        <f>AE30-(7/24)</f>
        <v>44022.347847222227</v>
      </c>
      <c r="D30" s="3" t="s">
        <v>136</v>
      </c>
      <c r="E30" s="11">
        <v>2</v>
      </c>
      <c r="F30" s="12" t="s">
        <v>31</v>
      </c>
      <c r="G30" s="3" t="s">
        <v>137</v>
      </c>
      <c r="H30" s="3"/>
      <c r="I30" s="3"/>
      <c r="J30" s="3"/>
      <c r="K30" s="12"/>
      <c r="L30" s="13" t="s">
        <v>239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 t="s">
        <v>195</v>
      </c>
      <c r="AC30" s="4">
        <v>44022.639513888891</v>
      </c>
      <c r="AD30" s="3" t="s">
        <v>135</v>
      </c>
      <c r="AE30" s="4">
        <v>44022.639513888891</v>
      </c>
      <c r="AF30" s="3" t="s">
        <v>135</v>
      </c>
    </row>
    <row r="31" spans="1:32" x14ac:dyDescent="0.2">
      <c r="A31" s="8">
        <v>73</v>
      </c>
      <c r="B31" s="5">
        <v>44022</v>
      </c>
      <c r="C31" s="10">
        <f>AE31-(7/24)</f>
        <v>44022.30881944445</v>
      </c>
      <c r="D31" s="3" t="s">
        <v>158</v>
      </c>
      <c r="E31" s="11">
        <v>5</v>
      </c>
      <c r="F31" s="12" t="s">
        <v>31</v>
      </c>
      <c r="G31" s="3" t="s">
        <v>52</v>
      </c>
      <c r="H31" s="3"/>
      <c r="I31" s="3"/>
      <c r="J31" s="3"/>
      <c r="K31" s="12"/>
      <c r="L31" s="13" t="s">
        <v>239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 t="s">
        <v>159</v>
      </c>
      <c r="AC31" s="4">
        <v>44022.600486111114</v>
      </c>
      <c r="AD31" s="3" t="s">
        <v>135</v>
      </c>
      <c r="AE31" s="4">
        <v>44022.600486111114</v>
      </c>
      <c r="AF31" s="3" t="s">
        <v>135</v>
      </c>
    </row>
    <row r="32" spans="1:32" x14ac:dyDescent="0.2">
      <c r="A32" s="8">
        <v>81</v>
      </c>
      <c r="B32" s="5">
        <v>44022</v>
      </c>
      <c r="C32" s="10">
        <f>AE32-(7/24)</f>
        <v>44022.321168981485</v>
      </c>
      <c r="D32" s="3" t="s">
        <v>158</v>
      </c>
      <c r="E32" s="11">
        <v>5</v>
      </c>
      <c r="F32" s="12" t="s">
        <v>31</v>
      </c>
      <c r="G32" s="3"/>
      <c r="H32" s="3"/>
      <c r="I32" s="3"/>
      <c r="J32" s="3"/>
      <c r="K32" s="12"/>
      <c r="L32" s="13" t="s">
        <v>239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 t="s">
        <v>168</v>
      </c>
      <c r="AC32" s="4">
        <v>44022.612835648149</v>
      </c>
      <c r="AD32" s="3" t="s">
        <v>135</v>
      </c>
      <c r="AE32" s="4">
        <v>44022.612835648149</v>
      </c>
      <c r="AF32" s="3" t="s">
        <v>135</v>
      </c>
    </row>
    <row r="33" spans="1:32" x14ac:dyDescent="0.2">
      <c r="A33" s="8">
        <v>106</v>
      </c>
      <c r="B33" s="5">
        <v>44022</v>
      </c>
      <c r="C33" s="10">
        <f>AE33-(7/24)</f>
        <v>44022.348622685189</v>
      </c>
      <c r="D33" s="3" t="s">
        <v>158</v>
      </c>
      <c r="E33" s="11">
        <v>5</v>
      </c>
      <c r="F33" s="12" t="s">
        <v>31</v>
      </c>
      <c r="G33" s="3" t="s">
        <v>52</v>
      </c>
      <c r="H33" s="3"/>
      <c r="I33" s="3"/>
      <c r="J33" s="3"/>
      <c r="K33" s="12"/>
      <c r="L33" s="13" t="s">
        <v>239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 t="s">
        <v>197</v>
      </c>
      <c r="AC33" s="4">
        <v>44022.640289351853</v>
      </c>
      <c r="AD33" s="3" t="s">
        <v>135</v>
      </c>
      <c r="AE33" s="4">
        <v>44022.640289351853</v>
      </c>
      <c r="AF33" s="3" t="s">
        <v>135</v>
      </c>
    </row>
    <row r="34" spans="1:32" x14ac:dyDescent="0.2">
      <c r="A34" s="8">
        <v>120</v>
      </c>
      <c r="B34" s="5">
        <v>44022</v>
      </c>
      <c r="C34" s="10">
        <f>AE34-(7/24)</f>
        <v>44022.362708333334</v>
      </c>
      <c r="D34" s="3" t="s">
        <v>158</v>
      </c>
      <c r="E34" s="11">
        <v>10</v>
      </c>
      <c r="F34" s="12" t="s">
        <v>31</v>
      </c>
      <c r="G34" s="3" t="s">
        <v>116</v>
      </c>
      <c r="H34" s="3"/>
      <c r="I34" s="3"/>
      <c r="J34" s="3"/>
      <c r="K34" s="12"/>
      <c r="L34" s="13" t="s">
        <v>239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 t="s">
        <v>213</v>
      </c>
      <c r="AC34" s="4">
        <v>44022.654374999998</v>
      </c>
      <c r="AD34" s="3" t="s">
        <v>135</v>
      </c>
      <c r="AE34" s="4">
        <v>44022.654374999998</v>
      </c>
      <c r="AF34" s="3" t="s">
        <v>135</v>
      </c>
    </row>
    <row r="35" spans="1:32" x14ac:dyDescent="0.2">
      <c r="A35" s="8">
        <v>6</v>
      </c>
      <c r="B35" s="5">
        <v>44022</v>
      </c>
      <c r="C35" s="10">
        <f>AE35-(7/24)</f>
        <v>44022.30436342593</v>
      </c>
      <c r="D35" s="3" t="s">
        <v>51</v>
      </c>
      <c r="E35" s="11">
        <v>1</v>
      </c>
      <c r="F35" s="12" t="s">
        <v>31</v>
      </c>
      <c r="G35" s="3" t="s">
        <v>52</v>
      </c>
      <c r="H35" s="3"/>
      <c r="I35" s="3"/>
      <c r="J35" s="3"/>
      <c r="K35" s="12"/>
      <c r="L35" s="13" t="s">
        <v>238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 t="s">
        <v>53</v>
      </c>
      <c r="AC35" s="4">
        <v>44022.596030092594</v>
      </c>
      <c r="AD35" s="3" t="s">
        <v>37</v>
      </c>
      <c r="AE35" s="4">
        <v>44022.596030092594</v>
      </c>
      <c r="AF35" s="3" t="s">
        <v>37</v>
      </c>
    </row>
    <row r="36" spans="1:32" x14ac:dyDescent="0.2">
      <c r="A36" s="8">
        <v>35</v>
      </c>
      <c r="B36" s="5">
        <v>44022</v>
      </c>
      <c r="C36" s="10">
        <f>AE36-(7/24)</f>
        <v>44022.359560185185</v>
      </c>
      <c r="D36" s="3" t="s">
        <v>51</v>
      </c>
      <c r="E36" s="11">
        <v>1</v>
      </c>
      <c r="F36" s="12" t="s">
        <v>31</v>
      </c>
      <c r="G36" s="3" t="s">
        <v>52</v>
      </c>
      <c r="H36" s="3"/>
      <c r="I36" s="3"/>
      <c r="J36" s="3"/>
      <c r="K36" s="12"/>
      <c r="L36" s="13" t="s">
        <v>238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 t="s">
        <v>106</v>
      </c>
      <c r="AC36" s="4">
        <v>44022.651226851849</v>
      </c>
      <c r="AD36" s="3" t="s">
        <v>37</v>
      </c>
      <c r="AE36" s="4">
        <v>44022.651226851849</v>
      </c>
      <c r="AF36" s="3" t="s">
        <v>37</v>
      </c>
    </row>
    <row r="37" spans="1:32" x14ac:dyDescent="0.2">
      <c r="A37" s="8">
        <v>50</v>
      </c>
      <c r="B37" s="5">
        <v>44022</v>
      </c>
      <c r="C37" s="10">
        <f>AE37-(7/24)</f>
        <v>44022.376307870371</v>
      </c>
      <c r="D37" s="3" t="s">
        <v>51</v>
      </c>
      <c r="E37" s="11">
        <v>2</v>
      </c>
      <c r="F37" s="12" t="s">
        <v>31</v>
      </c>
      <c r="G37" s="3" t="s">
        <v>45</v>
      </c>
      <c r="H37" s="3"/>
      <c r="I37" s="3"/>
      <c r="J37" s="3"/>
      <c r="K37" s="12"/>
      <c r="L37" s="13" t="s">
        <v>238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 t="s">
        <v>122</v>
      </c>
      <c r="AC37" s="4">
        <v>44022.667974537035</v>
      </c>
      <c r="AD37" s="3" t="s">
        <v>37</v>
      </c>
      <c r="AE37" s="4">
        <v>44022.667974537035</v>
      </c>
      <c r="AF37" s="3" t="s">
        <v>37</v>
      </c>
    </row>
    <row r="38" spans="1:32" x14ac:dyDescent="0.2">
      <c r="A38" s="8">
        <v>75</v>
      </c>
      <c r="B38" s="5">
        <v>44022</v>
      </c>
      <c r="C38" s="10">
        <f>AE38-(7/24)</f>
        <v>44022.315601851857</v>
      </c>
      <c r="D38" s="3" t="s">
        <v>51</v>
      </c>
      <c r="E38" s="11">
        <v>1</v>
      </c>
      <c r="F38" s="12" t="s">
        <v>31</v>
      </c>
      <c r="G38" s="3" t="s">
        <v>52</v>
      </c>
      <c r="H38" s="3"/>
      <c r="I38" s="3"/>
      <c r="J38" s="3"/>
      <c r="K38" s="12"/>
      <c r="L38" s="13" t="s">
        <v>239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s">
        <v>161</v>
      </c>
      <c r="AC38" s="4">
        <v>44022.607268518521</v>
      </c>
      <c r="AD38" s="3" t="s">
        <v>135</v>
      </c>
      <c r="AE38" s="4">
        <v>44022.607268518521</v>
      </c>
      <c r="AF38" s="3" t="s">
        <v>135</v>
      </c>
    </row>
    <row r="39" spans="1:32" x14ac:dyDescent="0.2">
      <c r="A39" s="8">
        <v>109</v>
      </c>
      <c r="B39" s="5">
        <v>44022</v>
      </c>
      <c r="C39" s="10">
        <f>AE39-(7/24)</f>
        <v>44022.349988425929</v>
      </c>
      <c r="D39" s="3" t="s">
        <v>51</v>
      </c>
      <c r="E39" s="11">
        <v>2</v>
      </c>
      <c r="F39" s="12" t="s">
        <v>31</v>
      </c>
      <c r="G39" s="3" t="s">
        <v>52</v>
      </c>
      <c r="H39" s="3"/>
      <c r="I39" s="3"/>
      <c r="J39" s="3"/>
      <c r="K39" s="12"/>
      <c r="L39" s="13" t="s">
        <v>239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 t="s">
        <v>200</v>
      </c>
      <c r="AC39" s="4">
        <v>44022.641655092593</v>
      </c>
      <c r="AD39" s="3" t="s">
        <v>135</v>
      </c>
      <c r="AE39" s="4">
        <v>44022.641655092593</v>
      </c>
      <c r="AF39" s="3" t="s">
        <v>135</v>
      </c>
    </row>
    <row r="40" spans="1:32" x14ac:dyDescent="0.2">
      <c r="A40" s="8">
        <v>101</v>
      </c>
      <c r="B40" s="5">
        <v>44022</v>
      </c>
      <c r="C40" s="10">
        <f>AE40-(7/24)</f>
        <v>44022.346689814818</v>
      </c>
      <c r="D40" s="3" t="s">
        <v>191</v>
      </c>
      <c r="E40" s="11">
        <v>6</v>
      </c>
      <c r="F40" s="12" t="s">
        <v>31</v>
      </c>
      <c r="G40" s="3" t="s">
        <v>133</v>
      </c>
      <c r="H40" s="3"/>
      <c r="I40" s="3"/>
      <c r="J40" s="3"/>
      <c r="K40" s="12"/>
      <c r="L40" s="13" t="s">
        <v>239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192</v>
      </c>
      <c r="AC40" s="4">
        <v>44022.638356481482</v>
      </c>
      <c r="AD40" s="3" t="s">
        <v>135</v>
      </c>
      <c r="AE40" s="4">
        <v>44022.638356481482</v>
      </c>
      <c r="AF40" s="3" t="s">
        <v>135</v>
      </c>
    </row>
    <row r="41" spans="1:32" x14ac:dyDescent="0.2">
      <c r="A41" s="8">
        <v>25</v>
      </c>
      <c r="B41" s="5">
        <v>44022</v>
      </c>
      <c r="C41" s="10">
        <f>AE41-(7/24)</f>
        <v>44022.355555555558</v>
      </c>
      <c r="D41" s="3" t="s">
        <v>86</v>
      </c>
      <c r="E41" s="11">
        <v>2</v>
      </c>
      <c r="F41" s="12" t="s">
        <v>31</v>
      </c>
      <c r="G41" s="3" t="s">
        <v>52</v>
      </c>
      <c r="H41" s="3"/>
      <c r="I41" s="3"/>
      <c r="J41" s="3"/>
      <c r="K41" s="12"/>
      <c r="L41" s="13" t="s">
        <v>238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 t="s">
        <v>87</v>
      </c>
      <c r="AC41" s="4">
        <v>44022.64403935185</v>
      </c>
      <c r="AD41" s="3" t="s">
        <v>37</v>
      </c>
      <c r="AE41" s="4">
        <v>44022.647222222222</v>
      </c>
      <c r="AF41" s="3" t="s">
        <v>37</v>
      </c>
    </row>
    <row r="42" spans="1:32" x14ac:dyDescent="0.2">
      <c r="A42" s="8">
        <v>124</v>
      </c>
      <c r="B42" s="5">
        <v>44022</v>
      </c>
      <c r="C42" s="10">
        <f>AE42-(7/24)</f>
        <v>44022.364849537036</v>
      </c>
      <c r="D42" s="3" t="s">
        <v>86</v>
      </c>
      <c r="E42" s="11">
        <v>1</v>
      </c>
      <c r="F42" s="12" t="s">
        <v>31</v>
      </c>
      <c r="G42" s="3" t="s">
        <v>42</v>
      </c>
      <c r="H42" s="3"/>
      <c r="I42" s="3"/>
      <c r="J42" s="3"/>
      <c r="K42" s="12"/>
      <c r="L42" s="13" t="s">
        <v>239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 t="s">
        <v>217</v>
      </c>
      <c r="AC42" s="4">
        <v>44022.6565162037</v>
      </c>
      <c r="AD42" s="3" t="s">
        <v>135</v>
      </c>
      <c r="AE42" s="4">
        <v>44022.6565162037</v>
      </c>
      <c r="AF42" s="3" t="s">
        <v>135</v>
      </c>
    </row>
    <row r="43" spans="1:32" x14ac:dyDescent="0.2">
      <c r="A43" s="8">
        <v>2</v>
      </c>
      <c r="B43" s="5">
        <v>44022</v>
      </c>
      <c r="C43" s="10">
        <f>AE43-(7/24)</f>
        <v>44022.290196759262</v>
      </c>
      <c r="D43" s="3" t="s">
        <v>38</v>
      </c>
      <c r="E43" s="11">
        <v>3</v>
      </c>
      <c r="F43" s="12" t="s">
        <v>31</v>
      </c>
      <c r="G43" s="3" t="s">
        <v>39</v>
      </c>
      <c r="H43" s="3"/>
      <c r="I43" s="3"/>
      <c r="J43" s="3"/>
      <c r="K43" s="12"/>
      <c r="L43" s="13" t="s">
        <v>238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 t="s">
        <v>40</v>
      </c>
      <c r="AC43" s="4">
        <v>44022.581863425927</v>
      </c>
      <c r="AD43" s="3" t="s">
        <v>37</v>
      </c>
      <c r="AE43" s="4">
        <v>44022.581863425927</v>
      </c>
      <c r="AF43" s="3" t="s">
        <v>37</v>
      </c>
    </row>
    <row r="44" spans="1:32" x14ac:dyDescent="0.2">
      <c r="A44" s="8">
        <v>23</v>
      </c>
      <c r="B44" s="5">
        <v>44022</v>
      </c>
      <c r="C44" s="10">
        <f>AE44-(7/24)</f>
        <v>44022.34274305556</v>
      </c>
      <c r="D44" s="3" t="s">
        <v>38</v>
      </c>
      <c r="E44" s="11">
        <v>2</v>
      </c>
      <c r="F44" s="12" t="s">
        <v>31</v>
      </c>
      <c r="G44" s="3" t="s">
        <v>39</v>
      </c>
      <c r="H44" s="3"/>
      <c r="I44" s="3"/>
      <c r="J44" s="3"/>
      <c r="K44" s="12"/>
      <c r="L44" s="13" t="s">
        <v>238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 t="s">
        <v>84</v>
      </c>
      <c r="AC44" s="4">
        <v>44022.634409722225</v>
      </c>
      <c r="AD44" s="3" t="s">
        <v>37</v>
      </c>
      <c r="AE44" s="4">
        <v>44022.634409722225</v>
      </c>
      <c r="AF44" s="3" t="s">
        <v>37</v>
      </c>
    </row>
    <row r="45" spans="1:32" x14ac:dyDescent="0.2">
      <c r="A45" s="8">
        <v>42</v>
      </c>
      <c r="B45" s="5">
        <v>44022</v>
      </c>
      <c r="C45" s="10">
        <f>AE45-(7/24)</f>
        <v>44022.364629629636</v>
      </c>
      <c r="D45" s="3" t="s">
        <v>38</v>
      </c>
      <c r="E45" s="11">
        <v>15</v>
      </c>
      <c r="F45" s="12" t="s">
        <v>31</v>
      </c>
      <c r="G45" s="3" t="s">
        <v>39</v>
      </c>
      <c r="H45" s="3"/>
      <c r="I45" s="3"/>
      <c r="J45" s="3"/>
      <c r="K45" s="12"/>
      <c r="L45" s="13" t="s">
        <v>238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 t="s">
        <v>113</v>
      </c>
      <c r="AC45" s="4">
        <v>44022.6562962963</v>
      </c>
      <c r="AD45" s="3" t="s">
        <v>37</v>
      </c>
      <c r="AE45" s="4">
        <v>44022.6562962963</v>
      </c>
      <c r="AF45" s="3" t="s">
        <v>37</v>
      </c>
    </row>
    <row r="46" spans="1:32" x14ac:dyDescent="0.2">
      <c r="A46" s="8">
        <v>66</v>
      </c>
      <c r="B46" s="5">
        <v>44022</v>
      </c>
      <c r="C46" s="10">
        <f>AE46-(7/24)</f>
        <v>44022.30373842593</v>
      </c>
      <c r="D46" s="3" t="s">
        <v>38</v>
      </c>
      <c r="E46" s="11">
        <v>25</v>
      </c>
      <c r="F46" s="12" t="s">
        <v>31</v>
      </c>
      <c r="G46" s="3" t="s">
        <v>137</v>
      </c>
      <c r="H46" s="3"/>
      <c r="I46" s="3"/>
      <c r="J46" s="3"/>
      <c r="K46" s="12"/>
      <c r="L46" s="13" t="s">
        <v>239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 t="s">
        <v>148</v>
      </c>
      <c r="AC46" s="4">
        <v>44022.595405092594</v>
      </c>
      <c r="AD46" s="3" t="s">
        <v>135</v>
      </c>
      <c r="AE46" s="4">
        <v>44022.595405092594</v>
      </c>
      <c r="AF46" s="3" t="s">
        <v>135</v>
      </c>
    </row>
    <row r="47" spans="1:32" x14ac:dyDescent="0.2">
      <c r="A47" s="8">
        <v>83</v>
      </c>
      <c r="B47" s="5">
        <v>44022</v>
      </c>
      <c r="C47" s="10">
        <f>AE47-(7/24)</f>
        <v>44022.322291666671</v>
      </c>
      <c r="D47" s="3" t="s">
        <v>38</v>
      </c>
      <c r="E47" s="11">
        <v>5</v>
      </c>
      <c r="F47" s="12" t="s">
        <v>31</v>
      </c>
      <c r="G47" s="3" t="s">
        <v>39</v>
      </c>
      <c r="H47" s="3"/>
      <c r="I47" s="3"/>
      <c r="J47" s="3"/>
      <c r="K47" s="12"/>
      <c r="L47" s="13" t="s">
        <v>239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170</v>
      </c>
      <c r="AC47" s="4">
        <v>44022.613958333335</v>
      </c>
      <c r="AD47" s="3" t="s">
        <v>135</v>
      </c>
      <c r="AE47" s="4">
        <v>44022.613958333335</v>
      </c>
      <c r="AF47" s="3" t="s">
        <v>135</v>
      </c>
    </row>
    <row r="48" spans="1:32" x14ac:dyDescent="0.2">
      <c r="A48" s="8">
        <v>29</v>
      </c>
      <c r="B48" s="5">
        <v>44022</v>
      </c>
      <c r="C48" s="10">
        <f>AE48-(7/24)</f>
        <v>44022.357800925929</v>
      </c>
      <c r="D48" s="3" t="s">
        <v>94</v>
      </c>
      <c r="E48" s="11">
        <v>2</v>
      </c>
      <c r="F48" s="12" t="s">
        <v>31</v>
      </c>
      <c r="G48" s="3" t="s">
        <v>52</v>
      </c>
      <c r="H48" s="3"/>
      <c r="I48" s="3"/>
      <c r="J48" s="3"/>
      <c r="K48" s="12"/>
      <c r="L48" s="13" t="s">
        <v>238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 t="s">
        <v>95</v>
      </c>
      <c r="AC48" s="4">
        <v>44022.649467592593</v>
      </c>
      <c r="AD48" s="3" t="s">
        <v>37</v>
      </c>
      <c r="AE48" s="4">
        <v>44022.649467592593</v>
      </c>
      <c r="AF48" s="3" t="s">
        <v>37</v>
      </c>
    </row>
    <row r="49" spans="1:32" x14ac:dyDescent="0.2">
      <c r="A49" s="8">
        <v>49</v>
      </c>
      <c r="B49" s="5">
        <v>44022</v>
      </c>
      <c r="C49" s="10">
        <f>AE49-(7/24)</f>
        <v>44022.373182870375</v>
      </c>
      <c r="D49" s="3" t="s">
        <v>94</v>
      </c>
      <c r="E49" s="11">
        <v>1</v>
      </c>
      <c r="F49" s="12" t="s">
        <v>31</v>
      </c>
      <c r="G49" s="3" t="s">
        <v>116</v>
      </c>
      <c r="H49" s="3"/>
      <c r="I49" s="3"/>
      <c r="J49" s="3"/>
      <c r="K49" s="12"/>
      <c r="L49" s="13" t="s">
        <v>238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 t="s">
        <v>121</v>
      </c>
      <c r="AC49" s="4">
        <v>44022.664849537039</v>
      </c>
      <c r="AD49" s="3" t="s">
        <v>37</v>
      </c>
      <c r="AE49" s="4">
        <v>44022.664849537039</v>
      </c>
      <c r="AF49" s="3" t="s">
        <v>37</v>
      </c>
    </row>
    <row r="50" spans="1:32" x14ac:dyDescent="0.2">
      <c r="A50" s="8">
        <v>93</v>
      </c>
      <c r="B50" s="5">
        <v>44022</v>
      </c>
      <c r="C50" s="10">
        <f>AE50-(7/24)</f>
        <v>44022.334999999999</v>
      </c>
      <c r="D50" s="3" t="s">
        <v>94</v>
      </c>
      <c r="E50" s="11">
        <v>1</v>
      </c>
      <c r="F50" s="12" t="s">
        <v>31</v>
      </c>
      <c r="G50" s="3" t="s">
        <v>116</v>
      </c>
      <c r="H50" s="3"/>
      <c r="I50" s="3"/>
      <c r="J50" s="3"/>
      <c r="K50" s="12"/>
      <c r="L50" s="13" t="s">
        <v>239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 t="s">
        <v>182</v>
      </c>
      <c r="AC50" s="4">
        <v>44022.626666666663</v>
      </c>
      <c r="AD50" s="3" t="s">
        <v>135</v>
      </c>
      <c r="AE50" s="4">
        <v>44022.626666666663</v>
      </c>
      <c r="AF50" s="3" t="s">
        <v>135</v>
      </c>
    </row>
    <row r="51" spans="1:32" x14ac:dyDescent="0.2">
      <c r="A51" s="8">
        <v>117</v>
      </c>
      <c r="B51" s="5">
        <v>44022</v>
      </c>
      <c r="C51" s="10">
        <f>AE51-(7/24)</f>
        <v>44022.359247685185</v>
      </c>
      <c r="D51" s="3" t="s">
        <v>94</v>
      </c>
      <c r="E51" s="11">
        <v>1</v>
      </c>
      <c r="F51" s="12" t="s">
        <v>31</v>
      </c>
      <c r="G51" s="3" t="s">
        <v>42</v>
      </c>
      <c r="H51" s="3"/>
      <c r="I51" s="3"/>
      <c r="J51" s="3"/>
      <c r="K51" s="12"/>
      <c r="L51" s="13" t="s">
        <v>239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 t="s">
        <v>210</v>
      </c>
      <c r="AC51" s="4">
        <v>44022.65084490741</v>
      </c>
      <c r="AD51" s="3" t="s">
        <v>135</v>
      </c>
      <c r="AE51" s="4">
        <v>44022.650914351849</v>
      </c>
      <c r="AF51" s="3" t="s">
        <v>135</v>
      </c>
    </row>
    <row r="52" spans="1:32" x14ac:dyDescent="0.2">
      <c r="A52" s="8">
        <v>22</v>
      </c>
      <c r="B52" s="5">
        <v>44022</v>
      </c>
      <c r="C52" s="10">
        <f>AE52-(7/24)</f>
        <v>44022.340370370373</v>
      </c>
      <c r="D52" s="3" t="s">
        <v>82</v>
      </c>
      <c r="E52" s="11">
        <v>1</v>
      </c>
      <c r="F52" s="12" t="s">
        <v>31</v>
      </c>
      <c r="G52" s="3" t="s">
        <v>52</v>
      </c>
      <c r="H52" s="3"/>
      <c r="I52" s="3"/>
      <c r="J52" s="3"/>
      <c r="K52" s="12"/>
      <c r="L52" s="13" t="s">
        <v>238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 t="s">
        <v>83</v>
      </c>
      <c r="AC52" s="4">
        <v>44022.632037037038</v>
      </c>
      <c r="AD52" s="3" t="s">
        <v>37</v>
      </c>
      <c r="AE52" s="4">
        <v>44022.632037037038</v>
      </c>
      <c r="AF52" s="3" t="s">
        <v>37</v>
      </c>
    </row>
    <row r="53" spans="1:32" x14ac:dyDescent="0.2">
      <c r="A53" s="8">
        <v>56</v>
      </c>
      <c r="B53" s="5">
        <v>44022</v>
      </c>
      <c r="C53" s="10">
        <f>AE53-(7/24)</f>
        <v>44022.388645833336</v>
      </c>
      <c r="D53" s="3" t="s">
        <v>82</v>
      </c>
      <c r="E53" s="11">
        <v>1</v>
      </c>
      <c r="F53" s="27" t="s">
        <v>96</v>
      </c>
      <c r="G53" s="3" t="s">
        <v>39</v>
      </c>
      <c r="H53" s="3"/>
      <c r="I53" s="3"/>
      <c r="J53" s="26" t="s">
        <v>249</v>
      </c>
      <c r="K53" s="12"/>
      <c r="L53" s="13" t="s">
        <v>238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 t="s">
        <v>130</v>
      </c>
      <c r="AC53" s="4">
        <v>44022.680312500001</v>
      </c>
      <c r="AD53" s="3" t="s">
        <v>37</v>
      </c>
      <c r="AE53" s="4">
        <v>44022.680312500001</v>
      </c>
      <c r="AF53" s="3" t="s">
        <v>37</v>
      </c>
    </row>
    <row r="54" spans="1:32" x14ac:dyDescent="0.2">
      <c r="A54" s="8">
        <v>77</v>
      </c>
      <c r="B54" s="5">
        <v>44022</v>
      </c>
      <c r="C54" s="10">
        <f>AE54-(7/24)</f>
        <v>44022.316296296296</v>
      </c>
      <c r="D54" s="3" t="s">
        <v>163</v>
      </c>
      <c r="E54" s="11">
        <v>1</v>
      </c>
      <c r="F54" s="12" t="s">
        <v>31</v>
      </c>
      <c r="G54" s="3" t="s">
        <v>42</v>
      </c>
      <c r="H54" s="3"/>
      <c r="I54" s="3"/>
      <c r="J54" s="3"/>
      <c r="K54" s="12"/>
      <c r="L54" s="13" t="s">
        <v>239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 t="s">
        <v>164</v>
      </c>
      <c r="AC54" s="4">
        <v>44022.60796296296</v>
      </c>
      <c r="AD54" s="3" t="s">
        <v>135</v>
      </c>
      <c r="AE54" s="4">
        <v>44022.60796296296</v>
      </c>
      <c r="AF54" s="3" t="s">
        <v>135</v>
      </c>
    </row>
    <row r="55" spans="1:32" x14ac:dyDescent="0.2">
      <c r="A55" s="8">
        <v>86</v>
      </c>
      <c r="B55" s="5">
        <v>44022</v>
      </c>
      <c r="C55" s="10">
        <f>AE55-(7/24)</f>
        <v>44022.3281712963</v>
      </c>
      <c r="D55" s="3" t="s">
        <v>163</v>
      </c>
      <c r="E55" s="11">
        <v>1</v>
      </c>
      <c r="F55" s="12" t="s">
        <v>31</v>
      </c>
      <c r="G55" s="3" t="s">
        <v>42</v>
      </c>
      <c r="H55" s="3"/>
      <c r="I55" s="3"/>
      <c r="J55" s="3"/>
      <c r="K55" s="12"/>
      <c r="L55" s="13" t="s">
        <v>239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 t="s">
        <v>174</v>
      </c>
      <c r="AC55" s="4">
        <v>44022.619837962964</v>
      </c>
      <c r="AD55" s="3" t="s">
        <v>135</v>
      </c>
      <c r="AE55" s="4">
        <v>44022.619837962964</v>
      </c>
      <c r="AF55" s="3" t="s">
        <v>135</v>
      </c>
    </row>
    <row r="56" spans="1:32" x14ac:dyDescent="0.2">
      <c r="B56" s="5">
        <v>44022</v>
      </c>
      <c r="D56" s="26" t="s">
        <v>163</v>
      </c>
      <c r="E56" s="6">
        <v>1</v>
      </c>
      <c r="F56" s="6" t="s">
        <v>31</v>
      </c>
      <c r="G56" s="26" t="s">
        <v>42</v>
      </c>
      <c r="J56" t="s">
        <v>250</v>
      </c>
      <c r="L56" s="13" t="s">
        <v>238</v>
      </c>
    </row>
    <row r="57" spans="1:32" x14ac:dyDescent="0.2">
      <c r="A57" s="8">
        <v>32</v>
      </c>
      <c r="B57" s="5">
        <v>44022</v>
      </c>
      <c r="C57" s="10">
        <f>AE57-(7/24)</f>
        <v>44022.358668981484</v>
      </c>
      <c r="D57" s="3" t="s">
        <v>100</v>
      </c>
      <c r="E57" s="11">
        <v>6</v>
      </c>
      <c r="F57" s="12" t="s">
        <v>31</v>
      </c>
      <c r="G57" s="3" t="s">
        <v>42</v>
      </c>
      <c r="H57" s="3"/>
      <c r="I57" s="3"/>
      <c r="J57" s="3"/>
      <c r="K57" s="12"/>
      <c r="L57" s="13" t="s">
        <v>238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 t="s">
        <v>101</v>
      </c>
      <c r="AC57" s="4">
        <v>44022.650335648148</v>
      </c>
      <c r="AD57" s="3" t="s">
        <v>37</v>
      </c>
      <c r="AE57" s="4">
        <v>44022.650335648148</v>
      </c>
      <c r="AF57" s="3" t="s">
        <v>37</v>
      </c>
    </row>
    <row r="58" spans="1:32" x14ac:dyDescent="0.2">
      <c r="A58" s="8">
        <v>85</v>
      </c>
      <c r="B58" s="5">
        <v>44022</v>
      </c>
      <c r="C58" s="10">
        <f>AE58-(7/24)</f>
        <v>44022.333807870375</v>
      </c>
      <c r="D58" s="3" t="s">
        <v>172</v>
      </c>
      <c r="E58" s="11">
        <v>1</v>
      </c>
      <c r="F58" s="12" t="s">
        <v>31</v>
      </c>
      <c r="G58" s="3" t="s">
        <v>32</v>
      </c>
      <c r="H58" s="3"/>
      <c r="I58" s="3"/>
      <c r="J58" s="3"/>
      <c r="K58" s="12"/>
      <c r="L58" s="13" t="s">
        <v>239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s">
        <v>173</v>
      </c>
      <c r="AC58" s="4">
        <v>44022.618067129632</v>
      </c>
      <c r="AD58" s="3" t="s">
        <v>135</v>
      </c>
      <c r="AE58" s="4">
        <v>44022.625474537039</v>
      </c>
      <c r="AF58" s="3" t="s">
        <v>135</v>
      </c>
    </row>
    <row r="59" spans="1:32" x14ac:dyDescent="0.2">
      <c r="A59" s="8">
        <v>68</v>
      </c>
      <c r="B59" s="5">
        <v>44022</v>
      </c>
      <c r="C59" s="10">
        <f>AE59-(7/24)</f>
        <v>44022.3046875</v>
      </c>
      <c r="D59" s="3" t="s">
        <v>151</v>
      </c>
      <c r="E59" s="11">
        <v>1</v>
      </c>
      <c r="F59" s="12" t="s">
        <v>31</v>
      </c>
      <c r="G59" s="3" t="s">
        <v>32</v>
      </c>
      <c r="H59" s="3"/>
      <c r="I59" s="3"/>
      <c r="J59" s="3"/>
      <c r="K59" s="12"/>
      <c r="L59" s="13" t="s">
        <v>239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s">
        <v>152</v>
      </c>
      <c r="AC59" s="4">
        <v>44022.596354166664</v>
      </c>
      <c r="AD59" s="3" t="s">
        <v>135</v>
      </c>
      <c r="AE59" s="4">
        <v>44022.596354166664</v>
      </c>
      <c r="AF59" s="3" t="s">
        <v>135</v>
      </c>
    </row>
    <row r="60" spans="1:32" x14ac:dyDescent="0.2">
      <c r="A60" s="8">
        <v>103</v>
      </c>
      <c r="B60" s="5">
        <v>44022</v>
      </c>
      <c r="C60" s="10">
        <f>AE60-(7/24)</f>
        <v>44022.347256944449</v>
      </c>
      <c r="D60" s="3" t="s">
        <v>151</v>
      </c>
      <c r="E60" s="11">
        <v>1</v>
      </c>
      <c r="F60" s="12" t="s">
        <v>31</v>
      </c>
      <c r="G60" s="3" t="s">
        <v>32</v>
      </c>
      <c r="H60" s="3"/>
      <c r="I60" s="3"/>
      <c r="J60" s="3"/>
      <c r="K60" s="12"/>
      <c r="L60" s="13" t="s">
        <v>239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194</v>
      </c>
      <c r="AC60" s="4">
        <v>44022.638923611114</v>
      </c>
      <c r="AD60" s="3" t="s">
        <v>135</v>
      </c>
      <c r="AE60" s="4">
        <v>44022.638923611114</v>
      </c>
      <c r="AF60" s="3" t="s">
        <v>135</v>
      </c>
    </row>
    <row r="61" spans="1:32" x14ac:dyDescent="0.2">
      <c r="A61" s="8">
        <v>110</v>
      </c>
      <c r="B61" s="5">
        <v>44022</v>
      </c>
      <c r="C61" s="10">
        <f>AE61-(7/24)</f>
        <v>44022.350405092599</v>
      </c>
      <c r="D61" s="3" t="s">
        <v>201</v>
      </c>
      <c r="E61" s="11">
        <v>1</v>
      </c>
      <c r="F61" s="12" t="s">
        <v>31</v>
      </c>
      <c r="G61" s="3" t="s">
        <v>137</v>
      </c>
      <c r="H61" s="3"/>
      <c r="I61" s="3"/>
      <c r="J61" s="3"/>
      <c r="K61" s="12"/>
      <c r="L61" s="13" t="s">
        <v>239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202</v>
      </c>
      <c r="AC61" s="4">
        <v>44022.642071759263</v>
      </c>
      <c r="AD61" s="3" t="s">
        <v>135</v>
      </c>
      <c r="AE61" s="4">
        <v>44022.642071759263</v>
      </c>
      <c r="AF61" s="3" t="s">
        <v>135</v>
      </c>
    </row>
    <row r="62" spans="1:32" x14ac:dyDescent="0.2">
      <c r="A62" s="8">
        <v>125</v>
      </c>
      <c r="B62" s="5">
        <v>44022</v>
      </c>
      <c r="C62" s="10">
        <f>AE62-(7/24)</f>
        <v>44022.365046296298</v>
      </c>
      <c r="D62" s="3" t="s">
        <v>201</v>
      </c>
      <c r="E62" s="11">
        <v>1</v>
      </c>
      <c r="F62" s="12" t="s">
        <v>31</v>
      </c>
      <c r="G62" s="3" t="s">
        <v>137</v>
      </c>
      <c r="H62" s="3"/>
      <c r="I62" s="3"/>
      <c r="J62" s="3"/>
      <c r="K62" s="12"/>
      <c r="L62" s="13" t="s">
        <v>239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218</v>
      </c>
      <c r="AC62" s="4">
        <v>44022.656712962962</v>
      </c>
      <c r="AD62" s="3" t="s">
        <v>135</v>
      </c>
      <c r="AE62" s="4">
        <v>44022.656712962962</v>
      </c>
      <c r="AF62" s="3" t="s">
        <v>135</v>
      </c>
    </row>
    <row r="63" spans="1:32" x14ac:dyDescent="0.2">
      <c r="A63" s="8">
        <v>135</v>
      </c>
      <c r="B63" s="5">
        <v>44022</v>
      </c>
      <c r="C63" s="10">
        <f>AE63-(7/24)</f>
        <v>44022.399641203709</v>
      </c>
      <c r="D63" s="3" t="s">
        <v>201</v>
      </c>
      <c r="E63" s="11">
        <v>3</v>
      </c>
      <c r="F63" s="12" t="s">
        <v>31</v>
      </c>
      <c r="G63" s="3" t="s">
        <v>137</v>
      </c>
      <c r="H63" s="3"/>
      <c r="I63" s="3"/>
      <c r="J63" s="3"/>
      <c r="K63" s="12"/>
      <c r="L63" s="13" t="s">
        <v>239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230</v>
      </c>
      <c r="AC63" s="4">
        <v>44022.691307870373</v>
      </c>
      <c r="AD63" s="3" t="s">
        <v>135</v>
      </c>
      <c r="AE63" s="4">
        <v>44022.691307870373</v>
      </c>
      <c r="AF63" s="3" t="s">
        <v>135</v>
      </c>
    </row>
    <row r="64" spans="1:32" x14ac:dyDescent="0.2">
      <c r="A64" s="8">
        <v>62</v>
      </c>
      <c r="B64" s="5">
        <v>44022</v>
      </c>
      <c r="C64" s="10">
        <f>AE64-(7/24)</f>
        <v>44022.299629629633</v>
      </c>
      <c r="D64" s="3" t="s">
        <v>142</v>
      </c>
      <c r="E64" s="11">
        <v>1</v>
      </c>
      <c r="F64" s="12" t="s">
        <v>31</v>
      </c>
      <c r="G64" s="3" t="s">
        <v>42</v>
      </c>
      <c r="H64" s="3"/>
      <c r="I64" s="3"/>
      <c r="J64" s="3"/>
      <c r="K64" s="12"/>
      <c r="L64" s="13" t="s">
        <v>239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143</v>
      </c>
      <c r="AC64" s="4">
        <v>44022.591296296298</v>
      </c>
      <c r="AD64" s="3" t="s">
        <v>135</v>
      </c>
      <c r="AE64" s="4">
        <v>44022.591296296298</v>
      </c>
      <c r="AF64" s="3" t="s">
        <v>135</v>
      </c>
    </row>
    <row r="65" spans="1:32" x14ac:dyDescent="0.2">
      <c r="A65" s="8">
        <v>78</v>
      </c>
      <c r="B65" s="5">
        <v>44022</v>
      </c>
      <c r="C65" s="10">
        <f>AE65-(7/24)</f>
        <v>44022.316550925927</v>
      </c>
      <c r="D65" s="3" t="s">
        <v>142</v>
      </c>
      <c r="E65" s="11">
        <v>2</v>
      </c>
      <c r="F65" s="12" t="s">
        <v>31</v>
      </c>
      <c r="G65" s="3" t="s">
        <v>42</v>
      </c>
      <c r="H65" s="3"/>
      <c r="I65" s="3"/>
      <c r="J65" s="3"/>
      <c r="K65" s="12"/>
      <c r="L65" s="13" t="s">
        <v>239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165</v>
      </c>
      <c r="AC65" s="4">
        <v>44022.608217592591</v>
      </c>
      <c r="AD65" s="3" t="s">
        <v>135</v>
      </c>
      <c r="AE65" s="4">
        <v>44022.608217592591</v>
      </c>
      <c r="AF65" s="3" t="s">
        <v>135</v>
      </c>
    </row>
    <row r="66" spans="1:32" x14ac:dyDescent="0.2">
      <c r="A66" s="8">
        <v>84</v>
      </c>
      <c r="B66" s="5">
        <v>44022</v>
      </c>
      <c r="C66" s="10">
        <f>AE66-(7/24)</f>
        <v>44022.322754629633</v>
      </c>
      <c r="D66" s="3" t="s">
        <v>142</v>
      </c>
      <c r="E66" s="11">
        <v>1</v>
      </c>
      <c r="F66" s="12" t="s">
        <v>31</v>
      </c>
      <c r="G66" s="3" t="s">
        <v>42</v>
      </c>
      <c r="H66" s="3"/>
      <c r="I66" s="3"/>
      <c r="J66" s="3"/>
      <c r="K66" s="12"/>
      <c r="L66" s="13" t="s">
        <v>239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171</v>
      </c>
      <c r="AC66" s="4">
        <v>44022.614421296297</v>
      </c>
      <c r="AD66" s="3" t="s">
        <v>135</v>
      </c>
      <c r="AE66" s="4">
        <v>44022.614421296297</v>
      </c>
      <c r="AF66" s="3" t="s">
        <v>135</v>
      </c>
    </row>
    <row r="67" spans="1:32" x14ac:dyDescent="0.2">
      <c r="A67" s="9">
        <v>138</v>
      </c>
      <c r="B67" s="5">
        <v>44022</v>
      </c>
      <c r="D67" s="26" t="s">
        <v>142</v>
      </c>
      <c r="E67" s="6">
        <v>1</v>
      </c>
      <c r="F67" s="6" t="s">
        <v>31</v>
      </c>
      <c r="G67" t="s">
        <v>42</v>
      </c>
      <c r="J67" t="s">
        <v>255</v>
      </c>
      <c r="L67" s="13" t="s">
        <v>238</v>
      </c>
    </row>
    <row r="68" spans="1:32" x14ac:dyDescent="0.2">
      <c r="A68" s="8">
        <v>15</v>
      </c>
      <c r="B68" s="5">
        <v>44022</v>
      </c>
      <c r="C68" s="10">
        <f>AE68-(7/24)</f>
        <v>44022.322534722225</v>
      </c>
      <c r="D68" s="3" t="s">
        <v>69</v>
      </c>
      <c r="E68" s="11">
        <v>2</v>
      </c>
      <c r="F68" s="12" t="s">
        <v>31</v>
      </c>
      <c r="G68" s="3" t="s">
        <v>52</v>
      </c>
      <c r="H68" s="3"/>
      <c r="I68" s="3"/>
      <c r="J68" s="3"/>
      <c r="K68" s="12"/>
      <c r="L68" s="13" t="s">
        <v>238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70</v>
      </c>
      <c r="AC68" s="4">
        <v>44022.614201388889</v>
      </c>
      <c r="AD68" s="3" t="s">
        <v>37</v>
      </c>
      <c r="AE68" s="4">
        <v>44022.614201388889</v>
      </c>
      <c r="AF68" s="3" t="s">
        <v>37</v>
      </c>
    </row>
    <row r="69" spans="1:32" x14ac:dyDescent="0.2">
      <c r="A69" s="8">
        <v>19</v>
      </c>
      <c r="B69" s="5">
        <v>44022</v>
      </c>
      <c r="C69" s="10">
        <f>AE69-(7/24)</f>
        <v>44022.33457175926</v>
      </c>
      <c r="D69" s="3" t="s">
        <v>69</v>
      </c>
      <c r="E69" s="11">
        <v>1</v>
      </c>
      <c r="F69" s="12" t="s">
        <v>31</v>
      </c>
      <c r="G69" s="3" t="s">
        <v>77</v>
      </c>
      <c r="H69" s="3"/>
      <c r="I69" s="3"/>
      <c r="J69" s="3"/>
      <c r="K69" s="12"/>
      <c r="L69" s="13" t="s">
        <v>238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 t="s">
        <v>78</v>
      </c>
      <c r="AC69" s="4">
        <v>44022.626238425924</v>
      </c>
      <c r="AD69" s="3" t="s">
        <v>37</v>
      </c>
      <c r="AE69" s="4">
        <v>44022.626238425924</v>
      </c>
      <c r="AF69" s="3" t="s">
        <v>37</v>
      </c>
    </row>
    <row r="70" spans="1:32" x14ac:dyDescent="0.2">
      <c r="A70" s="8">
        <v>46</v>
      </c>
      <c r="B70" s="5">
        <v>44022</v>
      </c>
      <c r="C70" s="10">
        <f>AE70-(7/24)</f>
        <v>44022.369155092594</v>
      </c>
      <c r="D70" s="3" t="s">
        <v>69</v>
      </c>
      <c r="E70" s="11">
        <v>1</v>
      </c>
      <c r="F70" s="12" t="s">
        <v>31</v>
      </c>
      <c r="G70" s="3" t="s">
        <v>45</v>
      </c>
      <c r="H70" s="3"/>
      <c r="I70" s="3"/>
      <c r="J70" s="3"/>
      <c r="K70" s="12"/>
      <c r="L70" s="13" t="s">
        <v>238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 t="s">
        <v>118</v>
      </c>
      <c r="AC70" s="4">
        <v>44022.660821759258</v>
      </c>
      <c r="AD70" s="3" t="s">
        <v>37</v>
      </c>
      <c r="AE70" s="4">
        <v>44022.660821759258</v>
      </c>
      <c r="AF70" s="3" t="s">
        <v>37</v>
      </c>
    </row>
    <row r="71" spans="1:32" x14ac:dyDescent="0.2">
      <c r="A71" s="8">
        <v>63</v>
      </c>
      <c r="B71" s="5">
        <v>44022</v>
      </c>
      <c r="C71" s="10">
        <f>AE71-(7/24)</f>
        <v>44022.300115740742</v>
      </c>
      <c r="D71" s="3" t="s">
        <v>69</v>
      </c>
      <c r="E71" s="11">
        <v>15</v>
      </c>
      <c r="F71" s="12" t="s">
        <v>31</v>
      </c>
      <c r="G71" s="3" t="s">
        <v>48</v>
      </c>
      <c r="H71" s="3"/>
      <c r="I71" s="3"/>
      <c r="J71" s="3" t="s">
        <v>144</v>
      </c>
      <c r="K71" s="12"/>
      <c r="L71" s="13" t="s">
        <v>239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 t="s">
        <v>145</v>
      </c>
      <c r="AC71" s="4">
        <v>44022.591782407406</v>
      </c>
      <c r="AD71" s="3" t="s">
        <v>135</v>
      </c>
      <c r="AE71" s="4">
        <v>44022.591782407406</v>
      </c>
      <c r="AF71" s="3" t="s">
        <v>135</v>
      </c>
    </row>
    <row r="72" spans="1:32" x14ac:dyDescent="0.2">
      <c r="A72" s="8">
        <v>79</v>
      </c>
      <c r="B72" s="5">
        <v>44022</v>
      </c>
      <c r="C72" s="10">
        <f>AE72-(7/24)</f>
        <v>44022.319155092599</v>
      </c>
      <c r="D72" s="3" t="s">
        <v>69</v>
      </c>
      <c r="E72" s="11">
        <v>4</v>
      </c>
      <c r="F72" s="12" t="s">
        <v>31</v>
      </c>
      <c r="G72" s="3" t="s">
        <v>42</v>
      </c>
      <c r="H72" s="3"/>
      <c r="I72" s="3"/>
      <c r="J72" s="3"/>
      <c r="K72" s="12"/>
      <c r="L72" s="13" t="s">
        <v>239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 t="s">
        <v>166</v>
      </c>
      <c r="AC72" s="4">
        <v>44022.610474537039</v>
      </c>
      <c r="AD72" s="3" t="s">
        <v>135</v>
      </c>
      <c r="AE72" s="4">
        <v>44022.610821759263</v>
      </c>
      <c r="AF72" s="3" t="s">
        <v>135</v>
      </c>
    </row>
    <row r="73" spans="1:32" x14ac:dyDescent="0.2">
      <c r="A73" s="8">
        <v>80</v>
      </c>
      <c r="B73" s="5">
        <v>44022</v>
      </c>
      <c r="C73" s="10">
        <f>AE73-(7/24)</f>
        <v>44022.319016203706</v>
      </c>
      <c r="D73" s="3" t="s">
        <v>69</v>
      </c>
      <c r="E73" s="11">
        <v>4</v>
      </c>
      <c r="F73" s="12" t="s">
        <v>31</v>
      </c>
      <c r="G73" s="3" t="s">
        <v>42</v>
      </c>
      <c r="H73" s="3"/>
      <c r="I73" s="3"/>
      <c r="J73" s="3"/>
      <c r="K73" s="12"/>
      <c r="L73" s="13" t="s">
        <v>239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 t="s">
        <v>167</v>
      </c>
      <c r="AC73" s="4">
        <v>44022.610682870371</v>
      </c>
      <c r="AD73" s="3" t="s">
        <v>135</v>
      </c>
      <c r="AE73" s="4">
        <v>44022.610682870371</v>
      </c>
      <c r="AF73" s="3" t="s">
        <v>135</v>
      </c>
    </row>
    <row r="74" spans="1:32" x14ac:dyDescent="0.2">
      <c r="A74" s="8">
        <v>111</v>
      </c>
      <c r="B74" s="5">
        <v>44022</v>
      </c>
      <c r="C74" s="10">
        <f>AE74-(7/24)</f>
        <v>44022.352650462963</v>
      </c>
      <c r="D74" s="3" t="s">
        <v>69</v>
      </c>
      <c r="E74" s="11">
        <v>10</v>
      </c>
      <c r="F74" s="12" t="s">
        <v>31</v>
      </c>
      <c r="G74" s="3" t="s">
        <v>52</v>
      </c>
      <c r="H74" s="3"/>
      <c r="I74" s="3"/>
      <c r="J74" s="3"/>
      <c r="K74" s="12"/>
      <c r="L74" s="13" t="s">
        <v>239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 t="s">
        <v>203</v>
      </c>
      <c r="AC74" s="4">
        <v>44022.644317129627</v>
      </c>
      <c r="AD74" s="3" t="s">
        <v>135</v>
      </c>
      <c r="AE74" s="4">
        <v>44022.644317129627</v>
      </c>
      <c r="AF74" s="3" t="s">
        <v>135</v>
      </c>
    </row>
    <row r="75" spans="1:32" x14ac:dyDescent="0.2">
      <c r="A75" s="8">
        <v>126</v>
      </c>
      <c r="B75" s="5">
        <v>44022</v>
      </c>
      <c r="C75" s="10">
        <f>AE75-(7/24)</f>
        <v>44022.366006944445</v>
      </c>
      <c r="D75" s="3" t="s">
        <v>69</v>
      </c>
      <c r="E75" s="11">
        <v>4</v>
      </c>
      <c r="F75" s="12" t="s">
        <v>31</v>
      </c>
      <c r="G75" s="3" t="s">
        <v>116</v>
      </c>
      <c r="H75" s="3"/>
      <c r="I75" s="3"/>
      <c r="J75" s="3"/>
      <c r="K75" s="12"/>
      <c r="L75" s="13" t="s">
        <v>239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 t="s">
        <v>219</v>
      </c>
      <c r="AC75" s="4">
        <v>44022.657673611109</v>
      </c>
      <c r="AD75" s="3" t="s">
        <v>135</v>
      </c>
      <c r="AE75" s="4">
        <v>44022.657673611109</v>
      </c>
      <c r="AF75" s="3" t="s">
        <v>135</v>
      </c>
    </row>
    <row r="76" spans="1:32" x14ac:dyDescent="0.2">
      <c r="A76" s="8">
        <v>128</v>
      </c>
      <c r="B76" s="5">
        <v>44022</v>
      </c>
      <c r="C76" s="10">
        <f>AE76-(7/24)</f>
        <v>44022.367650462962</v>
      </c>
      <c r="D76" s="3" t="s">
        <v>69</v>
      </c>
      <c r="E76" s="11">
        <v>10</v>
      </c>
      <c r="F76" s="12" t="s">
        <v>31</v>
      </c>
      <c r="G76" s="3" t="s">
        <v>52</v>
      </c>
      <c r="H76" s="3"/>
      <c r="I76" s="3"/>
      <c r="J76" s="3"/>
      <c r="K76" s="12"/>
      <c r="L76" s="13" t="s">
        <v>239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 t="s">
        <v>221</v>
      </c>
      <c r="AC76" s="4">
        <v>44022.659317129626</v>
      </c>
      <c r="AD76" s="3" t="s">
        <v>135</v>
      </c>
      <c r="AE76" s="4">
        <v>44022.659317129626</v>
      </c>
      <c r="AF76" s="3" t="s">
        <v>135</v>
      </c>
    </row>
    <row r="77" spans="1:32" x14ac:dyDescent="0.2">
      <c r="A77" s="8">
        <v>115</v>
      </c>
      <c r="B77" s="5">
        <v>44022</v>
      </c>
      <c r="C77" s="10">
        <f>AE77-(7/24)</f>
        <v>44022.359456018523</v>
      </c>
      <c r="D77" s="3" t="s">
        <v>207</v>
      </c>
      <c r="E77" s="11">
        <v>3</v>
      </c>
      <c r="F77" s="12" t="s">
        <v>31</v>
      </c>
      <c r="G77" s="3" t="s">
        <v>116</v>
      </c>
      <c r="H77" s="3"/>
      <c r="I77" s="3"/>
      <c r="J77" s="3"/>
      <c r="K77" s="12"/>
      <c r="L77" s="13" t="s">
        <v>239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208</v>
      </c>
      <c r="AC77" s="4">
        <v>44022.649756944447</v>
      </c>
      <c r="AD77" s="3" t="s">
        <v>135</v>
      </c>
      <c r="AE77" s="4">
        <v>44022.651122685187</v>
      </c>
      <c r="AF77" s="3" t="s">
        <v>135</v>
      </c>
    </row>
    <row r="78" spans="1:32" x14ac:dyDescent="0.2">
      <c r="A78" s="8">
        <v>130</v>
      </c>
      <c r="B78" s="5">
        <v>44022</v>
      </c>
      <c r="C78" s="10">
        <f>AE78-(7/24)</f>
        <v>44022.371678240743</v>
      </c>
      <c r="D78" s="3" t="s">
        <v>207</v>
      </c>
      <c r="E78" s="11">
        <v>4</v>
      </c>
      <c r="F78" s="12" t="s">
        <v>31</v>
      </c>
      <c r="G78" s="3" t="s">
        <v>116</v>
      </c>
      <c r="H78" s="3"/>
      <c r="I78" s="3"/>
      <c r="J78" s="3"/>
      <c r="K78" s="12"/>
      <c r="L78" s="13" t="s">
        <v>239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 t="s">
        <v>223</v>
      </c>
      <c r="AC78" s="4">
        <v>44022.663344907407</v>
      </c>
      <c r="AD78" s="3" t="s">
        <v>135</v>
      </c>
      <c r="AE78" s="4">
        <v>44022.663344907407</v>
      </c>
      <c r="AF78" s="3" t="s">
        <v>135</v>
      </c>
    </row>
    <row r="79" spans="1:32" x14ac:dyDescent="0.2">
      <c r="A79" s="8">
        <v>100</v>
      </c>
      <c r="B79" s="5">
        <v>44022</v>
      </c>
      <c r="C79" s="10">
        <f>AE79-(7/24)</f>
        <v>44022.346400462964</v>
      </c>
      <c r="D79" s="3" t="s">
        <v>189</v>
      </c>
      <c r="E79" s="11">
        <v>1</v>
      </c>
      <c r="F79" s="12" t="s">
        <v>31</v>
      </c>
      <c r="G79" s="3" t="s">
        <v>137</v>
      </c>
      <c r="H79" s="3"/>
      <c r="I79" s="3"/>
      <c r="J79" s="3"/>
      <c r="K79" s="12"/>
      <c r="L79" s="13" t="s">
        <v>239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 t="s">
        <v>190</v>
      </c>
      <c r="AC79" s="4">
        <v>44022.638067129628</v>
      </c>
      <c r="AD79" s="3" t="s">
        <v>135</v>
      </c>
      <c r="AE79" s="4">
        <v>44022.638067129628</v>
      </c>
      <c r="AF79" s="3" t="s">
        <v>135</v>
      </c>
    </row>
    <row r="80" spans="1:32" x14ac:dyDescent="0.2">
      <c r="A80" s="8">
        <v>134</v>
      </c>
      <c r="B80" s="5">
        <v>44022</v>
      </c>
      <c r="C80" s="10">
        <f>AE80-(7/24)</f>
        <v>44022.398715277777</v>
      </c>
      <c r="D80" s="3" t="s">
        <v>189</v>
      </c>
      <c r="E80" s="11">
        <v>1</v>
      </c>
      <c r="F80" s="12" t="s">
        <v>31</v>
      </c>
      <c r="G80" s="3" t="s">
        <v>137</v>
      </c>
      <c r="H80" s="3"/>
      <c r="I80" s="3"/>
      <c r="J80" s="3"/>
      <c r="K80" s="12"/>
      <c r="L80" s="13" t="s">
        <v>239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 t="s">
        <v>229</v>
      </c>
      <c r="AC80" s="4">
        <v>44022.690381944441</v>
      </c>
      <c r="AD80" s="3" t="s">
        <v>135</v>
      </c>
      <c r="AE80" s="4">
        <v>44022.690381944441</v>
      </c>
      <c r="AF80" s="3" t="s">
        <v>135</v>
      </c>
    </row>
    <row r="81" spans="1:32" x14ac:dyDescent="0.2">
      <c r="B81" s="5">
        <v>44022</v>
      </c>
      <c r="D81" s="26" t="s">
        <v>189</v>
      </c>
      <c r="E81" s="6">
        <v>1</v>
      </c>
      <c r="F81" s="6" t="s">
        <v>31</v>
      </c>
      <c r="J81" t="s">
        <v>253</v>
      </c>
      <c r="L81" s="13" t="s">
        <v>238</v>
      </c>
    </row>
    <row r="82" spans="1:32" x14ac:dyDescent="0.2">
      <c r="A82" s="8">
        <v>12</v>
      </c>
      <c r="B82" s="5">
        <v>44022</v>
      </c>
      <c r="C82" s="10">
        <f>AE82-(7/24)</f>
        <v>44022.31795138889</v>
      </c>
      <c r="D82" s="3" t="s">
        <v>63</v>
      </c>
      <c r="E82" s="11">
        <v>1</v>
      </c>
      <c r="F82" s="12" t="s">
        <v>31</v>
      </c>
      <c r="G82" s="3" t="s">
        <v>64</v>
      </c>
      <c r="H82" s="3"/>
      <c r="I82" s="3"/>
      <c r="J82" s="3"/>
      <c r="K82" s="12"/>
      <c r="L82" s="13" t="s">
        <v>238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 t="s">
        <v>65</v>
      </c>
      <c r="AC82" s="4">
        <v>44022.609618055554</v>
      </c>
      <c r="AD82" s="3" t="s">
        <v>37</v>
      </c>
      <c r="AE82" s="4">
        <v>44022.609618055554</v>
      </c>
      <c r="AF82" s="3" t="s">
        <v>37</v>
      </c>
    </row>
    <row r="83" spans="1:32" x14ac:dyDescent="0.2">
      <c r="A83" s="8">
        <v>14</v>
      </c>
      <c r="B83" s="5">
        <v>44022</v>
      </c>
      <c r="C83" s="10">
        <f>AE83-(7/24)</f>
        <v>44022.320868055554</v>
      </c>
      <c r="D83" s="3" t="s">
        <v>63</v>
      </c>
      <c r="E83" s="11">
        <v>1</v>
      </c>
      <c r="F83" s="12" t="s">
        <v>31</v>
      </c>
      <c r="G83" s="3" t="s">
        <v>64</v>
      </c>
      <c r="H83" s="3"/>
      <c r="I83" s="3"/>
      <c r="J83" s="3"/>
      <c r="K83" s="12"/>
      <c r="L83" s="13" t="s">
        <v>238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 t="s">
        <v>68</v>
      </c>
      <c r="AC83" s="4">
        <v>44022.612534722219</v>
      </c>
      <c r="AD83" s="3" t="s">
        <v>37</v>
      </c>
      <c r="AE83" s="4">
        <v>44022.612534722219</v>
      </c>
      <c r="AF83" s="3" t="s">
        <v>37</v>
      </c>
    </row>
    <row r="84" spans="1:32" x14ac:dyDescent="0.2">
      <c r="A84" s="8">
        <v>36</v>
      </c>
      <c r="B84" s="5">
        <v>44022</v>
      </c>
      <c r="C84" s="10">
        <f>AE84-(7/24)</f>
        <v>44022.359756944446</v>
      </c>
      <c r="D84" s="3" t="s">
        <v>63</v>
      </c>
      <c r="E84" s="11">
        <v>1</v>
      </c>
      <c r="F84" s="12" t="s">
        <v>31</v>
      </c>
      <c r="G84" s="3" t="s">
        <v>42</v>
      </c>
      <c r="H84" s="3"/>
      <c r="I84" s="3"/>
      <c r="J84" s="3"/>
      <c r="K84" s="12"/>
      <c r="L84" s="13" t="s">
        <v>238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 t="s">
        <v>107</v>
      </c>
      <c r="AC84" s="4">
        <v>44022.651423611111</v>
      </c>
      <c r="AD84" s="3" t="s">
        <v>37</v>
      </c>
      <c r="AE84" s="4">
        <v>44022.651423611111</v>
      </c>
      <c r="AF84" s="3" t="s">
        <v>37</v>
      </c>
    </row>
    <row r="85" spans="1:32" x14ac:dyDescent="0.2">
      <c r="A85" s="8">
        <v>47</v>
      </c>
      <c r="B85" s="5">
        <v>44022</v>
      </c>
      <c r="C85" s="10">
        <f>AE85-(7/24)</f>
        <v>44022.372847222221</v>
      </c>
      <c r="D85" s="3" t="s">
        <v>63</v>
      </c>
      <c r="E85" s="11">
        <v>4</v>
      </c>
      <c r="F85" s="12" t="s">
        <v>31</v>
      </c>
      <c r="G85" s="3" t="s">
        <v>45</v>
      </c>
      <c r="H85" s="3"/>
      <c r="I85" s="3"/>
      <c r="J85" s="3"/>
      <c r="K85" s="12"/>
      <c r="L85" s="13" t="s">
        <v>238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 t="s">
        <v>119</v>
      </c>
      <c r="AC85" s="4">
        <v>44022.664513888885</v>
      </c>
      <c r="AD85" s="3" t="s">
        <v>37</v>
      </c>
      <c r="AE85" s="4">
        <v>44022.664513888885</v>
      </c>
      <c r="AF85" s="3" t="s">
        <v>37</v>
      </c>
    </row>
    <row r="86" spans="1:32" x14ac:dyDescent="0.2">
      <c r="A86" s="8">
        <v>16</v>
      </c>
      <c r="B86" s="5">
        <v>44022</v>
      </c>
      <c r="C86" s="10">
        <f>AE86-(7/24)</f>
        <v>44022.327280092592</v>
      </c>
      <c r="D86" s="3" t="s">
        <v>71</v>
      </c>
      <c r="E86" s="11">
        <v>2</v>
      </c>
      <c r="F86" s="12" t="s">
        <v>31</v>
      </c>
      <c r="G86" s="3" t="s">
        <v>39</v>
      </c>
      <c r="H86" s="3"/>
      <c r="I86" s="3"/>
      <c r="J86" s="3"/>
      <c r="K86" s="12"/>
      <c r="L86" s="13" t="s">
        <v>238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 t="s">
        <v>72</v>
      </c>
      <c r="AC86" s="4">
        <v>44022.618946759256</v>
      </c>
      <c r="AD86" s="3" t="s">
        <v>37</v>
      </c>
      <c r="AE86" s="4">
        <v>44022.618946759256</v>
      </c>
      <c r="AF86" s="3" t="s">
        <v>37</v>
      </c>
    </row>
    <row r="87" spans="1:32" x14ac:dyDescent="0.2">
      <c r="A87" s="8">
        <v>39</v>
      </c>
      <c r="B87" s="5">
        <v>44022</v>
      </c>
      <c r="C87" s="10">
        <f>AE87-(7/24)</f>
        <v>44022.363101851857</v>
      </c>
      <c r="D87" s="3" t="s">
        <v>71</v>
      </c>
      <c r="E87" s="11">
        <v>1</v>
      </c>
      <c r="F87" s="12" t="s">
        <v>31</v>
      </c>
      <c r="G87" s="3" t="s">
        <v>52</v>
      </c>
      <c r="H87" s="3"/>
      <c r="I87" s="3"/>
      <c r="J87" s="3"/>
      <c r="K87" s="12"/>
      <c r="L87" s="13" t="s">
        <v>238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 t="s">
        <v>110</v>
      </c>
      <c r="AC87" s="4">
        <v>44022.654768518521</v>
      </c>
      <c r="AD87" s="3" t="s">
        <v>37</v>
      </c>
      <c r="AE87" s="4">
        <v>44022.654768518521</v>
      </c>
      <c r="AF87" s="3" t="s">
        <v>37</v>
      </c>
    </row>
    <row r="88" spans="1:32" x14ac:dyDescent="0.2">
      <c r="A88" s="8">
        <v>51</v>
      </c>
      <c r="B88" s="5">
        <v>44022</v>
      </c>
      <c r="C88" s="10">
        <f>AE88-(7/24)</f>
        <v>44022.378310185188</v>
      </c>
      <c r="D88" s="3" t="s">
        <v>71</v>
      </c>
      <c r="E88" s="11">
        <v>2</v>
      </c>
      <c r="F88" s="12" t="s">
        <v>31</v>
      </c>
      <c r="G88" s="3" t="s">
        <v>116</v>
      </c>
      <c r="H88" s="3"/>
      <c r="I88" s="3"/>
      <c r="J88" s="3"/>
      <c r="K88" s="12"/>
      <c r="L88" s="13" t="s">
        <v>238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 t="s">
        <v>123</v>
      </c>
      <c r="AC88" s="4">
        <v>44022.669976851852</v>
      </c>
      <c r="AD88" s="3" t="s">
        <v>37</v>
      </c>
      <c r="AE88" s="4">
        <v>44022.669976851852</v>
      </c>
      <c r="AF88" s="3" t="s">
        <v>37</v>
      </c>
    </row>
    <row r="89" spans="1:32" x14ac:dyDescent="0.2">
      <c r="A89" s="8">
        <v>108</v>
      </c>
      <c r="B89" s="5">
        <v>44022</v>
      </c>
      <c r="C89" s="10">
        <f>AE89-(7/24)</f>
        <v>44022.349537037036</v>
      </c>
      <c r="D89" s="3" t="s">
        <v>71</v>
      </c>
      <c r="E89" s="11">
        <v>1</v>
      </c>
      <c r="F89" s="12" t="s">
        <v>31</v>
      </c>
      <c r="G89" s="3" t="s">
        <v>52</v>
      </c>
      <c r="H89" s="3"/>
      <c r="I89" s="3"/>
      <c r="J89" s="3"/>
      <c r="K89" s="12"/>
      <c r="L89" s="13" t="s">
        <v>239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 t="s">
        <v>199</v>
      </c>
      <c r="AC89" s="4">
        <v>44022.641203703701</v>
      </c>
      <c r="AD89" s="3" t="s">
        <v>135</v>
      </c>
      <c r="AE89" s="4">
        <v>44022.641203703701</v>
      </c>
      <c r="AF89" s="3" t="s">
        <v>135</v>
      </c>
    </row>
    <row r="90" spans="1:32" x14ac:dyDescent="0.2">
      <c r="A90" s="8">
        <v>122</v>
      </c>
      <c r="B90" s="5">
        <v>44022</v>
      </c>
      <c r="C90" s="10">
        <f>AE90-(7/24)</f>
        <v>44022.364479166667</v>
      </c>
      <c r="D90" s="3" t="s">
        <v>71</v>
      </c>
      <c r="E90" s="11">
        <v>2</v>
      </c>
      <c r="F90" s="12" t="s">
        <v>31</v>
      </c>
      <c r="G90" s="3" t="s">
        <v>116</v>
      </c>
      <c r="H90" s="3"/>
      <c r="I90" s="3"/>
      <c r="J90" s="3"/>
      <c r="K90" s="12"/>
      <c r="L90" s="13" t="s">
        <v>239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 t="s">
        <v>215</v>
      </c>
      <c r="AC90" s="4">
        <v>44022.656145833331</v>
      </c>
      <c r="AD90" s="3" t="s">
        <v>135</v>
      </c>
      <c r="AE90" s="4">
        <v>44022.656145833331</v>
      </c>
      <c r="AF90" s="3" t="s">
        <v>135</v>
      </c>
    </row>
    <row r="91" spans="1:32" x14ac:dyDescent="0.2">
      <c r="A91" s="8">
        <v>131</v>
      </c>
      <c r="B91" s="5">
        <v>44022</v>
      </c>
      <c r="C91" s="10">
        <f>AE91-(7/24)</f>
        <v>44022.371817129635</v>
      </c>
      <c r="D91" s="3" t="s">
        <v>71</v>
      </c>
      <c r="E91" s="11">
        <v>2</v>
      </c>
      <c r="F91" s="12" t="s">
        <v>31</v>
      </c>
      <c r="G91" s="3" t="s">
        <v>116</v>
      </c>
      <c r="H91" s="3"/>
      <c r="I91" s="3"/>
      <c r="J91" s="3"/>
      <c r="K91" s="12"/>
      <c r="L91" s="13" t="s">
        <v>239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 t="s">
        <v>224</v>
      </c>
      <c r="AC91" s="4">
        <v>44022.663483796299</v>
      </c>
      <c r="AD91" s="3" t="s">
        <v>135</v>
      </c>
      <c r="AE91" s="4">
        <v>44022.663483796299</v>
      </c>
      <c r="AF91" s="3" t="s">
        <v>135</v>
      </c>
    </row>
    <row r="92" spans="1:32" x14ac:dyDescent="0.2">
      <c r="A92" s="8">
        <v>13</v>
      </c>
      <c r="B92" s="5">
        <v>44022</v>
      </c>
      <c r="C92" s="10">
        <f>AE92-(7/24)</f>
        <v>44022.320138888892</v>
      </c>
      <c r="D92" s="3" t="s">
        <v>66</v>
      </c>
      <c r="E92" s="11">
        <v>1</v>
      </c>
      <c r="F92" s="12" t="s">
        <v>31</v>
      </c>
      <c r="G92" s="3" t="s">
        <v>52</v>
      </c>
      <c r="H92" s="3"/>
      <c r="I92" s="3"/>
      <c r="J92" s="3"/>
      <c r="K92" s="12"/>
      <c r="L92" s="13" t="s">
        <v>238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 t="s">
        <v>67</v>
      </c>
      <c r="AC92" s="4">
        <v>44022.611805555556</v>
      </c>
      <c r="AD92" s="3" t="s">
        <v>37</v>
      </c>
      <c r="AE92" s="4">
        <v>44022.611805555556</v>
      </c>
      <c r="AF92" s="3" t="s">
        <v>37</v>
      </c>
    </row>
    <row r="93" spans="1:32" x14ac:dyDescent="0.2">
      <c r="A93" s="8">
        <v>30</v>
      </c>
      <c r="B93" s="5">
        <v>44022</v>
      </c>
      <c r="C93" s="10">
        <f>AE93-(7/24)</f>
        <v>44022.358032407406</v>
      </c>
      <c r="D93" s="3" t="s">
        <v>66</v>
      </c>
      <c r="E93" s="11">
        <v>1</v>
      </c>
      <c r="F93" s="12" t="s">
        <v>96</v>
      </c>
      <c r="G93" s="3"/>
      <c r="H93" s="3"/>
      <c r="I93" s="3"/>
      <c r="J93" s="3"/>
      <c r="K93" s="12"/>
      <c r="L93" s="13" t="s">
        <v>238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 t="s">
        <v>97</v>
      </c>
      <c r="AC93" s="4">
        <v>44022.649699074071</v>
      </c>
      <c r="AD93" s="3" t="s">
        <v>37</v>
      </c>
      <c r="AE93" s="4">
        <v>44022.649699074071</v>
      </c>
      <c r="AF93" s="3" t="s">
        <v>37</v>
      </c>
    </row>
    <row r="94" spans="1:32" x14ac:dyDescent="0.2">
      <c r="A94" s="8">
        <v>58</v>
      </c>
      <c r="B94" s="5">
        <v>44022</v>
      </c>
      <c r="C94" s="10">
        <f>AE94-(7/24)</f>
        <v>44022.292071759264</v>
      </c>
      <c r="D94" s="3" t="s">
        <v>132</v>
      </c>
      <c r="E94" s="11">
        <v>6</v>
      </c>
      <c r="F94" s="12" t="s">
        <v>31</v>
      </c>
      <c r="G94" s="3" t="s">
        <v>133</v>
      </c>
      <c r="H94" s="3"/>
      <c r="I94" s="3"/>
      <c r="J94" s="3"/>
      <c r="K94" s="12"/>
      <c r="L94" s="13" t="s">
        <v>239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 t="s">
        <v>134</v>
      </c>
      <c r="AC94" s="4">
        <v>44022.583032407405</v>
      </c>
      <c r="AD94" s="3" t="s">
        <v>135</v>
      </c>
      <c r="AE94" s="4">
        <v>44022.583738425928</v>
      </c>
      <c r="AF94" s="3" t="s">
        <v>135</v>
      </c>
    </row>
    <row r="95" spans="1:32" x14ac:dyDescent="0.2">
      <c r="A95" s="8">
        <v>69</v>
      </c>
      <c r="B95" s="5">
        <v>44022</v>
      </c>
      <c r="C95" s="10">
        <f>AE95-(7/24)</f>
        <v>44022.305</v>
      </c>
      <c r="D95" s="3" t="s">
        <v>132</v>
      </c>
      <c r="E95" s="11">
        <v>6</v>
      </c>
      <c r="F95" s="12" t="s">
        <v>31</v>
      </c>
      <c r="G95" s="3" t="s">
        <v>133</v>
      </c>
      <c r="H95" s="3"/>
      <c r="I95" s="3"/>
      <c r="J95" s="3"/>
      <c r="K95" s="12"/>
      <c r="L95" s="13" t="s">
        <v>239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 t="s">
        <v>153</v>
      </c>
      <c r="AC95" s="4">
        <v>44022.596666666665</v>
      </c>
      <c r="AD95" s="3" t="s">
        <v>135</v>
      </c>
      <c r="AE95" s="4">
        <v>44022.596666666665</v>
      </c>
      <c r="AF95" s="3" t="s">
        <v>135</v>
      </c>
    </row>
    <row r="96" spans="1:32" x14ac:dyDescent="0.2">
      <c r="A96" s="8">
        <v>89</v>
      </c>
      <c r="B96" s="5">
        <v>44022</v>
      </c>
      <c r="C96" s="10">
        <f>AE96-(7/24)</f>
        <v>44022.333067129635</v>
      </c>
      <c r="D96" s="3" t="s">
        <v>132</v>
      </c>
      <c r="E96" s="11">
        <v>25</v>
      </c>
      <c r="F96" s="12" t="s">
        <v>31</v>
      </c>
      <c r="G96" s="3" t="s">
        <v>133</v>
      </c>
      <c r="H96" s="3"/>
      <c r="I96" s="3"/>
      <c r="J96" s="3"/>
      <c r="K96" s="12"/>
      <c r="L96" s="13" t="s">
        <v>239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 t="s">
        <v>178</v>
      </c>
      <c r="AC96" s="4">
        <v>44022.6247337963</v>
      </c>
      <c r="AD96" s="3" t="s">
        <v>135</v>
      </c>
      <c r="AE96" s="4">
        <v>44022.6247337963</v>
      </c>
      <c r="AF96" s="3" t="s">
        <v>135</v>
      </c>
    </row>
    <row r="97" spans="1:32" x14ac:dyDescent="0.2">
      <c r="A97" s="8">
        <v>90</v>
      </c>
      <c r="B97" s="5">
        <v>44022</v>
      </c>
      <c r="C97" s="10">
        <f>AE97-(7/24)</f>
        <v>44022.333275462966</v>
      </c>
      <c r="D97" s="3" t="s">
        <v>132</v>
      </c>
      <c r="E97" s="11">
        <v>25</v>
      </c>
      <c r="F97" s="12" t="s">
        <v>31</v>
      </c>
      <c r="G97" s="3"/>
      <c r="H97" s="3"/>
      <c r="I97" s="3"/>
      <c r="J97" s="3"/>
      <c r="K97" s="12"/>
      <c r="L97" s="13" t="s">
        <v>239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 t="s">
        <v>179</v>
      </c>
      <c r="AC97" s="4">
        <v>44022.624942129631</v>
      </c>
      <c r="AD97" s="3" t="s">
        <v>135</v>
      </c>
      <c r="AE97" s="4">
        <v>44022.624942129631</v>
      </c>
      <c r="AF97" s="3" t="s">
        <v>135</v>
      </c>
    </row>
    <row r="98" spans="1:32" x14ac:dyDescent="0.2">
      <c r="A98" s="8">
        <v>102</v>
      </c>
      <c r="B98" s="5">
        <v>44022</v>
      </c>
      <c r="C98" s="10">
        <f>AE98-(7/24)</f>
        <v>44022.348263888889</v>
      </c>
      <c r="D98" s="3" t="s">
        <v>132</v>
      </c>
      <c r="E98" s="11">
        <v>11</v>
      </c>
      <c r="F98" s="12" t="s">
        <v>31</v>
      </c>
      <c r="G98" s="3" t="s">
        <v>133</v>
      </c>
      <c r="H98" s="3"/>
      <c r="I98" s="3"/>
      <c r="J98" s="3"/>
      <c r="K98" s="12"/>
      <c r="L98" s="13" t="s">
        <v>239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 t="s">
        <v>193</v>
      </c>
      <c r="AC98" s="4">
        <v>44022.638611111113</v>
      </c>
      <c r="AD98" s="3" t="s">
        <v>135</v>
      </c>
      <c r="AE98" s="4">
        <v>44022.639930555553</v>
      </c>
      <c r="AF98" s="3" t="s">
        <v>135</v>
      </c>
    </row>
    <row r="99" spans="1:32" x14ac:dyDescent="0.2">
      <c r="A99" s="8">
        <v>34</v>
      </c>
      <c r="B99" s="5">
        <v>44022</v>
      </c>
      <c r="C99" s="10">
        <f>AE99-(7/24)</f>
        <v>44022.3594212963</v>
      </c>
      <c r="D99" s="3" t="s">
        <v>104</v>
      </c>
      <c r="E99" s="11">
        <v>4</v>
      </c>
      <c r="F99" s="12" t="s">
        <v>31</v>
      </c>
      <c r="G99" s="3" t="s">
        <v>42</v>
      </c>
      <c r="H99" s="3"/>
      <c r="I99" s="3"/>
      <c r="J99" s="3"/>
      <c r="K99" s="12"/>
      <c r="L99" s="13" t="s">
        <v>238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 t="s">
        <v>105</v>
      </c>
      <c r="AC99" s="4">
        <v>44022.651087962964</v>
      </c>
      <c r="AD99" s="3" t="s">
        <v>37</v>
      </c>
      <c r="AE99" s="4">
        <v>44022.651087962964</v>
      </c>
      <c r="AF99" s="3" t="s">
        <v>37</v>
      </c>
    </row>
    <row r="100" spans="1:32" x14ac:dyDescent="0.2">
      <c r="A100" s="8">
        <v>31</v>
      </c>
      <c r="B100" s="5">
        <v>44022</v>
      </c>
      <c r="C100" s="10">
        <f>AE100-(7/24)</f>
        <v>44022.358287037037</v>
      </c>
      <c r="D100" s="3" t="s">
        <v>98</v>
      </c>
      <c r="E100" s="11">
        <v>1</v>
      </c>
      <c r="F100" s="12" t="s">
        <v>31</v>
      </c>
      <c r="G100" s="3" t="s">
        <v>42</v>
      </c>
      <c r="H100" s="3"/>
      <c r="I100" s="3"/>
      <c r="J100" s="3"/>
      <c r="K100" s="12"/>
      <c r="L100" s="13" t="s">
        <v>238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 t="s">
        <v>99</v>
      </c>
      <c r="AC100" s="4">
        <v>44022.649953703702</v>
      </c>
      <c r="AD100" s="3" t="s">
        <v>37</v>
      </c>
      <c r="AE100" s="4">
        <v>44022.649953703702</v>
      </c>
      <c r="AF100" s="3" t="s">
        <v>37</v>
      </c>
    </row>
    <row r="101" spans="1:32" x14ac:dyDescent="0.2">
      <c r="A101" s="8">
        <v>9</v>
      </c>
      <c r="B101" s="5">
        <v>44022</v>
      </c>
      <c r="C101" s="10">
        <f>AE101-(7/24)</f>
        <v>44022.306817129633</v>
      </c>
      <c r="D101" s="3" t="s">
        <v>59</v>
      </c>
      <c r="E101" s="11">
        <v>1</v>
      </c>
      <c r="F101" s="12" t="s">
        <v>31</v>
      </c>
      <c r="G101" s="3" t="s">
        <v>42</v>
      </c>
      <c r="H101" s="3"/>
      <c r="I101" s="3"/>
      <c r="J101" s="3"/>
      <c r="K101" s="12"/>
      <c r="L101" s="13" t="s">
        <v>238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 t="s">
        <v>60</v>
      </c>
      <c r="AC101" s="4">
        <v>44022.598483796297</v>
      </c>
      <c r="AD101" s="3" t="s">
        <v>37</v>
      </c>
      <c r="AE101" s="4">
        <v>44022.598483796297</v>
      </c>
      <c r="AF101" s="3" t="s">
        <v>37</v>
      </c>
    </row>
    <row r="102" spans="1:32" x14ac:dyDescent="0.2">
      <c r="A102" s="8">
        <v>53</v>
      </c>
      <c r="B102" s="5">
        <v>44022</v>
      </c>
      <c r="C102" s="10">
        <f>AE102-(7/24)</f>
        <v>44022.379016203704</v>
      </c>
      <c r="D102" s="3" t="s">
        <v>59</v>
      </c>
      <c r="E102" s="11">
        <v>1</v>
      </c>
      <c r="F102" s="12" t="s">
        <v>31</v>
      </c>
      <c r="G102" s="3" t="s">
        <v>42</v>
      </c>
      <c r="H102" s="3"/>
      <c r="I102" s="3"/>
      <c r="J102" s="3"/>
      <c r="K102" s="12"/>
      <c r="L102" s="13" t="s">
        <v>238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 t="s">
        <v>126</v>
      </c>
      <c r="AC102" s="4">
        <v>44022.670682870368</v>
      </c>
      <c r="AD102" s="3" t="s">
        <v>37</v>
      </c>
      <c r="AE102" s="4">
        <v>44022.670682870368</v>
      </c>
      <c r="AF102" s="3" t="s">
        <v>37</v>
      </c>
    </row>
    <row r="103" spans="1:32" x14ac:dyDescent="0.2">
      <c r="A103" s="8">
        <v>5</v>
      </c>
      <c r="B103" s="5">
        <v>44022</v>
      </c>
      <c r="C103" s="10">
        <f>AE103-(7/24)</f>
        <v>44022.303240740745</v>
      </c>
      <c r="D103" s="3" t="s">
        <v>47</v>
      </c>
      <c r="E103" s="11">
        <v>1</v>
      </c>
      <c r="F103" s="12" t="s">
        <v>31</v>
      </c>
      <c r="G103" s="3" t="s">
        <v>48</v>
      </c>
      <c r="H103" s="3"/>
      <c r="I103" s="3"/>
      <c r="J103" s="3" t="s">
        <v>49</v>
      </c>
      <c r="K103" s="12"/>
      <c r="L103" s="13" t="s">
        <v>238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 t="s">
        <v>50</v>
      </c>
      <c r="AC103" s="4">
        <v>44022.594907407409</v>
      </c>
      <c r="AD103" s="3" t="s">
        <v>37</v>
      </c>
      <c r="AE103" s="4">
        <v>44022.594907407409</v>
      </c>
      <c r="AF103" s="3" t="s">
        <v>37</v>
      </c>
    </row>
    <row r="104" spans="1:32" x14ac:dyDescent="0.2">
      <c r="A104" s="8">
        <v>64</v>
      </c>
      <c r="B104" s="5">
        <v>44022</v>
      </c>
      <c r="C104" s="10">
        <f>AE104-(7/24)</f>
        <v>44022.301527777781</v>
      </c>
      <c r="D104" s="3" t="s">
        <v>47</v>
      </c>
      <c r="E104" s="11">
        <v>1</v>
      </c>
      <c r="F104" s="12" t="s">
        <v>31</v>
      </c>
      <c r="G104" s="3"/>
      <c r="H104" s="3"/>
      <c r="I104" s="3"/>
      <c r="J104" s="3"/>
      <c r="K104" s="12"/>
      <c r="L104" s="13" t="s">
        <v>239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 t="s">
        <v>146</v>
      </c>
      <c r="AC104" s="4">
        <v>44022.593194444446</v>
      </c>
      <c r="AD104" s="3" t="s">
        <v>135</v>
      </c>
      <c r="AE104" s="4">
        <v>44022.593194444446</v>
      </c>
      <c r="AF104" s="3" t="s">
        <v>135</v>
      </c>
    </row>
    <row r="105" spans="1:32" x14ac:dyDescent="0.2">
      <c r="A105" s="8">
        <v>70</v>
      </c>
      <c r="B105" s="5">
        <v>44022</v>
      </c>
      <c r="C105" s="10">
        <f>AE105-(7/24)</f>
        <v>44022.306898148148</v>
      </c>
      <c r="D105" s="3" t="s">
        <v>47</v>
      </c>
      <c r="E105" s="11">
        <v>2</v>
      </c>
      <c r="F105" s="12" t="s">
        <v>31</v>
      </c>
      <c r="G105" s="3" t="s">
        <v>42</v>
      </c>
      <c r="H105" s="3"/>
      <c r="I105" s="3"/>
      <c r="J105" s="3"/>
      <c r="K105" s="12"/>
      <c r="L105" s="13" t="s">
        <v>239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 t="s">
        <v>154</v>
      </c>
      <c r="AC105" s="4">
        <v>44022.597905092596</v>
      </c>
      <c r="AD105" s="3" t="s">
        <v>135</v>
      </c>
      <c r="AE105" s="4">
        <v>44022.598564814813</v>
      </c>
      <c r="AF105" s="3" t="s">
        <v>135</v>
      </c>
    </row>
    <row r="106" spans="1:32" x14ac:dyDescent="0.2">
      <c r="A106" s="8">
        <v>94</v>
      </c>
      <c r="B106" s="5">
        <v>44022</v>
      </c>
      <c r="C106" s="10">
        <f>AE106-(7/24)</f>
        <v>44022.335775462969</v>
      </c>
      <c r="D106" s="3" t="s">
        <v>47</v>
      </c>
      <c r="E106" s="11">
        <v>1</v>
      </c>
      <c r="F106" s="27" t="s">
        <v>96</v>
      </c>
      <c r="G106" s="3" t="s">
        <v>48</v>
      </c>
      <c r="H106" s="3"/>
      <c r="I106" s="3"/>
      <c r="J106" s="26" t="s">
        <v>252</v>
      </c>
      <c r="K106" s="12"/>
      <c r="L106" s="13" t="s">
        <v>239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 t="s">
        <v>183</v>
      </c>
      <c r="AC106" s="4">
        <v>44022.627442129633</v>
      </c>
      <c r="AD106" s="3" t="s">
        <v>135</v>
      </c>
      <c r="AE106" s="4">
        <v>44022.627442129633</v>
      </c>
      <c r="AF106" s="3" t="s">
        <v>135</v>
      </c>
    </row>
    <row r="107" spans="1:32" x14ac:dyDescent="0.2">
      <c r="A107" s="8">
        <v>55</v>
      </c>
      <c r="B107" s="5">
        <v>44022</v>
      </c>
      <c r="C107" s="10">
        <f>AE107-(7/24)</f>
        <v>44022.38694444445</v>
      </c>
      <c r="D107" s="3" t="s">
        <v>128</v>
      </c>
      <c r="E107" s="11">
        <v>1</v>
      </c>
      <c r="F107" s="12" t="s">
        <v>31</v>
      </c>
      <c r="G107" s="3" t="s">
        <v>39</v>
      </c>
      <c r="H107" s="3"/>
      <c r="I107" s="3"/>
      <c r="J107" s="3"/>
      <c r="K107" s="12"/>
      <c r="L107" s="13" t="s">
        <v>238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 t="s">
        <v>129</v>
      </c>
      <c r="AC107" s="4">
        <v>44022.678611111114</v>
      </c>
      <c r="AD107" s="3" t="s">
        <v>37</v>
      </c>
      <c r="AE107" s="4">
        <v>44022.678611111114</v>
      </c>
      <c r="AF107" s="3" t="s">
        <v>37</v>
      </c>
    </row>
    <row r="108" spans="1:32" x14ac:dyDescent="0.2">
      <c r="A108" s="8">
        <v>57</v>
      </c>
      <c r="B108" s="5">
        <v>44022</v>
      </c>
      <c r="C108" s="10">
        <f>AE108-(7/24)</f>
        <v>44022.388958333337</v>
      </c>
      <c r="D108" s="3" t="s">
        <v>128</v>
      </c>
      <c r="E108" s="11">
        <v>1</v>
      </c>
      <c r="F108" s="12" t="s">
        <v>31</v>
      </c>
      <c r="G108" s="3" t="s">
        <v>64</v>
      </c>
      <c r="H108" s="3"/>
      <c r="I108" s="3"/>
      <c r="J108" s="3"/>
      <c r="K108" s="12"/>
      <c r="L108" s="13" t="s">
        <v>238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 t="s">
        <v>131</v>
      </c>
      <c r="AC108" s="4">
        <v>44022.680625000001</v>
      </c>
      <c r="AD108" s="3" t="s">
        <v>37</v>
      </c>
      <c r="AE108" s="4">
        <v>44022.680625000001</v>
      </c>
      <c r="AF108" s="3" t="s">
        <v>37</v>
      </c>
    </row>
    <row r="109" spans="1:32" x14ac:dyDescent="0.2">
      <c r="A109" s="8">
        <v>27</v>
      </c>
      <c r="B109" s="5">
        <v>44022</v>
      </c>
      <c r="C109" s="10">
        <f>AE109-(7/24)</f>
        <v>44022.353738425925</v>
      </c>
      <c r="D109" s="3" t="s">
        <v>90</v>
      </c>
      <c r="E109" s="11">
        <v>1</v>
      </c>
      <c r="F109" s="12" t="s">
        <v>31</v>
      </c>
      <c r="G109" s="3" t="s">
        <v>39</v>
      </c>
      <c r="H109" s="3"/>
      <c r="I109" s="3"/>
      <c r="J109" s="3"/>
      <c r="K109" s="12"/>
      <c r="L109" s="13" t="s">
        <v>238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 t="s">
        <v>91</v>
      </c>
      <c r="AC109" s="4">
        <v>44022.645405092589</v>
      </c>
      <c r="AD109" s="3" t="s">
        <v>37</v>
      </c>
      <c r="AE109" s="4">
        <v>44022.645405092589</v>
      </c>
      <c r="AF109" s="3" t="s">
        <v>37</v>
      </c>
    </row>
    <row r="110" spans="1:32" x14ac:dyDescent="0.2">
      <c r="A110" s="8">
        <v>37</v>
      </c>
      <c r="B110" s="5">
        <v>44022</v>
      </c>
      <c r="C110" s="10">
        <f>AE110-(7/24)</f>
        <v>44022.361006944448</v>
      </c>
      <c r="D110" s="3" t="s">
        <v>90</v>
      </c>
      <c r="E110" s="11">
        <v>2</v>
      </c>
      <c r="F110" s="12" t="s">
        <v>31</v>
      </c>
      <c r="G110" s="3" t="s">
        <v>39</v>
      </c>
      <c r="H110" s="3"/>
      <c r="I110" s="3"/>
      <c r="J110" s="3"/>
      <c r="K110" s="12"/>
      <c r="L110" s="13" t="s">
        <v>238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 t="s">
        <v>108</v>
      </c>
      <c r="AC110" s="4">
        <v>44022.652673611112</v>
      </c>
      <c r="AD110" s="3" t="s">
        <v>37</v>
      </c>
      <c r="AE110" s="4">
        <v>44022.652673611112</v>
      </c>
      <c r="AF110" s="3" t="s">
        <v>37</v>
      </c>
    </row>
    <row r="111" spans="1:32" x14ac:dyDescent="0.2">
      <c r="A111" s="8">
        <v>43</v>
      </c>
      <c r="B111" s="5">
        <v>44022</v>
      </c>
      <c r="C111" s="10">
        <f>AE111-(7/24)</f>
        <v>44022.365034722221</v>
      </c>
      <c r="D111" s="3" t="s">
        <v>90</v>
      </c>
      <c r="E111" s="11">
        <v>15</v>
      </c>
      <c r="F111" s="12" t="s">
        <v>31</v>
      </c>
      <c r="G111" s="3" t="s">
        <v>39</v>
      </c>
      <c r="H111" s="3"/>
      <c r="I111" s="3"/>
      <c r="J111" s="3"/>
      <c r="K111" s="12"/>
      <c r="L111" s="13" t="s">
        <v>238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 t="s">
        <v>114</v>
      </c>
      <c r="AC111" s="4">
        <v>44022.656701388885</v>
      </c>
      <c r="AD111" s="3" t="s">
        <v>37</v>
      </c>
      <c r="AE111" s="4">
        <v>44022.656701388885</v>
      </c>
      <c r="AF111" s="3" t="s">
        <v>37</v>
      </c>
    </row>
    <row r="112" spans="1:32" x14ac:dyDescent="0.2">
      <c r="A112" s="8">
        <v>71</v>
      </c>
      <c r="B112" s="5">
        <v>44022</v>
      </c>
      <c r="C112" s="10">
        <f>AE112-(7/24)</f>
        <v>44022.307881944449</v>
      </c>
      <c r="D112" s="3" t="s">
        <v>90</v>
      </c>
      <c r="E112" s="11">
        <v>2</v>
      </c>
      <c r="F112" s="12" t="s">
        <v>31</v>
      </c>
      <c r="G112" s="3" t="s">
        <v>155</v>
      </c>
      <c r="H112" s="3"/>
      <c r="I112" s="3"/>
      <c r="J112" s="3"/>
      <c r="K112" s="12"/>
      <c r="L112" s="13" t="s">
        <v>239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 t="s">
        <v>156</v>
      </c>
      <c r="AC112" s="4">
        <v>44022.599548611113</v>
      </c>
      <c r="AD112" s="3" t="s">
        <v>135</v>
      </c>
      <c r="AE112" s="4">
        <v>44022.599548611113</v>
      </c>
      <c r="AF112" s="3" t="s">
        <v>135</v>
      </c>
    </row>
    <row r="113" spans="1:32" x14ac:dyDescent="0.2">
      <c r="A113" s="8">
        <v>116</v>
      </c>
      <c r="B113" s="5">
        <v>44022</v>
      </c>
      <c r="C113" s="10">
        <f>AE113-(7/24)</f>
        <v>44022.358854166669</v>
      </c>
      <c r="D113" s="3" t="s">
        <v>90</v>
      </c>
      <c r="E113" s="11">
        <v>1</v>
      </c>
      <c r="F113" s="12" t="s">
        <v>31</v>
      </c>
      <c r="G113" s="3" t="s">
        <v>45</v>
      </c>
      <c r="H113" s="3"/>
      <c r="I113" s="3"/>
      <c r="J113" s="3"/>
      <c r="K113" s="12"/>
      <c r="L113" s="13" t="s">
        <v>239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 t="s">
        <v>209</v>
      </c>
      <c r="AC113" s="4">
        <v>44022.650520833333</v>
      </c>
      <c r="AD113" s="3" t="s">
        <v>135</v>
      </c>
      <c r="AE113" s="4">
        <v>44022.650520833333</v>
      </c>
      <c r="AF113" s="3" t="s">
        <v>135</v>
      </c>
    </row>
    <row r="114" spans="1:32" x14ac:dyDescent="0.2">
      <c r="A114" s="8">
        <v>132</v>
      </c>
      <c r="B114" s="5">
        <v>44022</v>
      </c>
      <c r="C114" s="10">
        <f>AE114-(7/24)</f>
        <v>44022.372881944444</v>
      </c>
      <c r="D114" s="3" t="s">
        <v>90</v>
      </c>
      <c r="E114" s="11">
        <v>25</v>
      </c>
      <c r="F114" s="12" t="s">
        <v>31</v>
      </c>
      <c r="G114" s="3" t="s">
        <v>225</v>
      </c>
      <c r="H114" s="3"/>
      <c r="I114" s="3"/>
      <c r="J114" s="3"/>
      <c r="K114" s="12"/>
      <c r="L114" s="13" t="s">
        <v>239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 t="s">
        <v>226</v>
      </c>
      <c r="AC114" s="4">
        <v>44022.664548611108</v>
      </c>
      <c r="AD114" s="3" t="s">
        <v>135</v>
      </c>
      <c r="AE114" s="4">
        <v>44022.664548611108</v>
      </c>
      <c r="AF114" s="3" t="s">
        <v>135</v>
      </c>
    </row>
    <row r="115" spans="1:32" x14ac:dyDescent="0.2">
      <c r="A115" s="8">
        <v>52</v>
      </c>
      <c r="B115" s="5">
        <v>44022</v>
      </c>
      <c r="C115" s="10">
        <f>AE115-(7/24)</f>
        <v>44022.379259259258</v>
      </c>
      <c r="D115" s="3" t="s">
        <v>124</v>
      </c>
      <c r="E115" s="11">
        <v>4</v>
      </c>
      <c r="F115" s="12" t="s">
        <v>31</v>
      </c>
      <c r="G115" s="3" t="s">
        <v>116</v>
      </c>
      <c r="H115" s="3"/>
      <c r="I115" s="3"/>
      <c r="J115" s="26" t="s">
        <v>251</v>
      </c>
      <c r="K115" s="12"/>
      <c r="L115" s="13" t="s">
        <v>238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 t="s">
        <v>125</v>
      </c>
      <c r="AC115" s="4">
        <v>44022.670254629629</v>
      </c>
      <c r="AD115" s="3" t="s">
        <v>37</v>
      </c>
      <c r="AE115" s="4">
        <v>44022.670925925922</v>
      </c>
      <c r="AF115" s="3" t="s">
        <v>37</v>
      </c>
    </row>
    <row r="116" spans="1:32" x14ac:dyDescent="0.2">
      <c r="A116" s="8">
        <v>113</v>
      </c>
      <c r="B116" s="5">
        <v>44022</v>
      </c>
      <c r="C116" s="10">
        <f>AE116-(7/24)</f>
        <v>44022.356446759259</v>
      </c>
      <c r="D116" s="3" t="s">
        <v>124</v>
      </c>
      <c r="E116" s="11">
        <v>3</v>
      </c>
      <c r="F116" s="12" t="s">
        <v>31</v>
      </c>
      <c r="G116" s="3" t="s">
        <v>42</v>
      </c>
      <c r="H116" s="3"/>
      <c r="I116" s="3"/>
      <c r="J116" s="3"/>
      <c r="K116" s="12"/>
      <c r="L116" s="13" t="s">
        <v>239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 t="s">
        <v>205</v>
      </c>
      <c r="AC116" s="4">
        <v>44022.648113425923</v>
      </c>
      <c r="AD116" s="3" t="s">
        <v>135</v>
      </c>
      <c r="AE116" s="4">
        <v>44022.648113425923</v>
      </c>
      <c r="AF116" s="3" t="s">
        <v>135</v>
      </c>
    </row>
    <row r="117" spans="1:32" x14ac:dyDescent="0.2">
      <c r="A117" s="8">
        <v>1</v>
      </c>
      <c r="B117" s="5">
        <v>44022</v>
      </c>
      <c r="C117" s="10">
        <f>AE117-(7/24)</f>
        <v>44022.288680555561</v>
      </c>
      <c r="D117" s="3" t="s">
        <v>30</v>
      </c>
      <c r="E117" s="11">
        <v>2</v>
      </c>
      <c r="F117" s="12" t="s">
        <v>31</v>
      </c>
      <c r="G117" s="3" t="s">
        <v>32</v>
      </c>
      <c r="H117" s="3"/>
      <c r="I117" s="3"/>
      <c r="J117" s="3"/>
      <c r="K117" s="12">
        <v>5.3</v>
      </c>
      <c r="L117" s="13" t="s">
        <v>238</v>
      </c>
      <c r="M117" s="3" t="s">
        <v>33</v>
      </c>
      <c r="N117" s="3"/>
      <c r="O117" s="2">
        <v>60</v>
      </c>
      <c r="P117" s="2">
        <v>100</v>
      </c>
      <c r="Q117" s="3" t="s">
        <v>34</v>
      </c>
      <c r="R117" s="3" t="s">
        <v>35</v>
      </c>
      <c r="S117" s="3"/>
      <c r="T117" s="3"/>
      <c r="U117" s="3"/>
      <c r="V117" s="3"/>
      <c r="W117" s="3"/>
      <c r="X117" s="3"/>
      <c r="Y117" s="3"/>
      <c r="Z117" s="3"/>
      <c r="AA117" s="3"/>
      <c r="AB117" s="3" t="s">
        <v>36</v>
      </c>
      <c r="AC117" s="4">
        <v>44022.580347222225</v>
      </c>
      <c r="AD117" s="3" t="s">
        <v>37</v>
      </c>
      <c r="AE117" s="4">
        <v>44022.580347222225</v>
      </c>
      <c r="AF117" s="3" t="s">
        <v>37</v>
      </c>
    </row>
    <row r="118" spans="1:32" x14ac:dyDescent="0.2">
      <c r="A118" s="8">
        <v>72</v>
      </c>
      <c r="B118" s="5">
        <v>44022</v>
      </c>
      <c r="C118" s="10">
        <f>AE118-(7/24)</f>
        <v>44022.308159722226</v>
      </c>
      <c r="D118" s="3" t="s">
        <v>30</v>
      </c>
      <c r="E118" s="11">
        <v>1</v>
      </c>
      <c r="F118" s="12" t="s">
        <v>31</v>
      </c>
      <c r="G118" s="3" t="s">
        <v>32</v>
      </c>
      <c r="H118" s="3"/>
      <c r="I118" s="3"/>
      <c r="J118" s="3"/>
      <c r="K118" s="12"/>
      <c r="L118" s="13" t="s">
        <v>239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 t="s">
        <v>157</v>
      </c>
      <c r="AC118" s="4">
        <v>44022.599826388891</v>
      </c>
      <c r="AD118" s="3" t="s">
        <v>135</v>
      </c>
      <c r="AE118" s="4">
        <v>44022.599826388891</v>
      </c>
      <c r="AF118" s="3" t="s">
        <v>135</v>
      </c>
    </row>
    <row r="119" spans="1:32" x14ac:dyDescent="0.2">
      <c r="A119" s="8">
        <v>91</v>
      </c>
      <c r="B119" s="5">
        <v>44022</v>
      </c>
      <c r="C119" s="10">
        <f>AE119-(7/24)</f>
        <v>44022.333738425928</v>
      </c>
      <c r="D119" s="3" t="s">
        <v>30</v>
      </c>
      <c r="E119" s="11">
        <v>1</v>
      </c>
      <c r="F119" s="12" t="s">
        <v>31</v>
      </c>
      <c r="G119" s="3" t="s">
        <v>32</v>
      </c>
      <c r="H119" s="3"/>
      <c r="I119" s="3"/>
      <c r="J119" s="3"/>
      <c r="K119" s="12"/>
      <c r="L119" s="13" t="s">
        <v>239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 t="s">
        <v>180</v>
      </c>
      <c r="AC119" s="4">
        <v>44022.625405092593</v>
      </c>
      <c r="AD119" s="3" t="s">
        <v>135</v>
      </c>
      <c r="AE119" s="4">
        <v>44022.625405092593</v>
      </c>
      <c r="AF119" s="3" t="s">
        <v>135</v>
      </c>
    </row>
    <row r="120" spans="1:32" x14ac:dyDescent="0.2">
      <c r="A120" s="8">
        <v>105</v>
      </c>
      <c r="B120" s="5">
        <v>44022</v>
      </c>
      <c r="C120" s="10">
        <f>AE120-(7/24)</f>
        <v>44022.347997685189</v>
      </c>
      <c r="D120" s="3" t="s">
        <v>30</v>
      </c>
      <c r="E120" s="11">
        <v>1</v>
      </c>
      <c r="F120" s="12" t="s">
        <v>31</v>
      </c>
      <c r="G120" s="3" t="s">
        <v>32</v>
      </c>
      <c r="H120" s="3"/>
      <c r="I120" s="3"/>
      <c r="J120" s="3"/>
      <c r="K120" s="12"/>
      <c r="L120" s="13" t="s">
        <v>239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 t="s">
        <v>196</v>
      </c>
      <c r="AC120" s="4">
        <v>44022.639664351853</v>
      </c>
      <c r="AD120" s="3" t="s">
        <v>135</v>
      </c>
      <c r="AE120" s="4">
        <v>44022.639664351853</v>
      </c>
      <c r="AF120" s="3" t="s">
        <v>135</v>
      </c>
    </row>
    <row r="121" spans="1:32" x14ac:dyDescent="0.2">
      <c r="A121" s="8">
        <v>7</v>
      </c>
      <c r="B121" s="5">
        <v>44022</v>
      </c>
      <c r="C121" s="10">
        <f>AE121-(7/24)</f>
        <v>44022.30505787037</v>
      </c>
      <c r="D121" s="3" t="s">
        <v>54</v>
      </c>
      <c r="E121" s="11">
        <v>3</v>
      </c>
      <c r="F121" s="12" t="s">
        <v>31</v>
      </c>
      <c r="G121" s="3" t="s">
        <v>52</v>
      </c>
      <c r="H121" s="3"/>
      <c r="I121" s="3"/>
      <c r="J121" s="3" t="s">
        <v>55</v>
      </c>
      <c r="K121" s="12"/>
      <c r="L121" s="13" t="s">
        <v>238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 t="s">
        <v>56</v>
      </c>
      <c r="AC121" s="4">
        <v>44022.596724537034</v>
      </c>
      <c r="AD121" s="3" t="s">
        <v>37</v>
      </c>
      <c r="AE121" s="4">
        <v>44022.596724537034</v>
      </c>
      <c r="AF121" s="3" t="s">
        <v>37</v>
      </c>
    </row>
    <row r="122" spans="1:32" x14ac:dyDescent="0.2">
      <c r="A122" s="8">
        <v>40</v>
      </c>
      <c r="B122" s="5">
        <v>44022</v>
      </c>
      <c r="C122" s="10">
        <f>AE122-(7/24)</f>
        <v>44022.363796296297</v>
      </c>
      <c r="D122" s="3" t="s">
        <v>54</v>
      </c>
      <c r="E122" s="11">
        <v>1</v>
      </c>
      <c r="F122" s="12" t="s">
        <v>31</v>
      </c>
      <c r="G122" s="3" t="s">
        <v>52</v>
      </c>
      <c r="H122" s="3"/>
      <c r="I122" s="3"/>
      <c r="J122" s="3"/>
      <c r="K122" s="12"/>
      <c r="L122" s="13" t="s">
        <v>238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 t="s">
        <v>111</v>
      </c>
      <c r="AC122" s="4">
        <v>44022.655462962961</v>
      </c>
      <c r="AD122" s="3" t="s">
        <v>37</v>
      </c>
      <c r="AE122" s="4">
        <v>44022.655462962961</v>
      </c>
      <c r="AF122" s="3" t="s">
        <v>37</v>
      </c>
    </row>
    <row r="123" spans="1:32" x14ac:dyDescent="0.2">
      <c r="A123" s="8">
        <v>41</v>
      </c>
      <c r="B123" s="5">
        <v>44022</v>
      </c>
      <c r="C123" s="10">
        <f>AE123-(7/24)</f>
        <v>44022.364120370374</v>
      </c>
      <c r="D123" s="3" t="s">
        <v>54</v>
      </c>
      <c r="E123" s="11">
        <v>2</v>
      </c>
      <c r="F123" s="12" t="s">
        <v>31</v>
      </c>
      <c r="G123" s="3" t="s">
        <v>52</v>
      </c>
      <c r="H123" s="3"/>
      <c r="I123" s="3"/>
      <c r="J123" s="3"/>
      <c r="K123" s="12"/>
      <c r="L123" s="13" t="s">
        <v>238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 t="s">
        <v>112</v>
      </c>
      <c r="AC123" s="4">
        <v>44022.655787037038</v>
      </c>
      <c r="AD123" s="3" t="s">
        <v>37</v>
      </c>
      <c r="AE123" s="4">
        <v>44022.655787037038</v>
      </c>
      <c r="AF123" s="3" t="s">
        <v>37</v>
      </c>
    </row>
    <row r="124" spans="1:32" x14ac:dyDescent="0.2">
      <c r="A124" s="8">
        <v>45</v>
      </c>
      <c r="B124" s="5">
        <v>44022</v>
      </c>
      <c r="C124" s="10">
        <f>AE124-(7/24)</f>
        <v>44022.368275462963</v>
      </c>
      <c r="D124" s="3" t="s">
        <v>54</v>
      </c>
      <c r="E124" s="11">
        <v>3</v>
      </c>
      <c r="F124" s="12" t="s">
        <v>31</v>
      </c>
      <c r="G124" s="3" t="s">
        <v>116</v>
      </c>
      <c r="H124" s="3"/>
      <c r="I124" s="3"/>
      <c r="J124" s="3"/>
      <c r="K124" s="12"/>
      <c r="L124" s="13" t="s">
        <v>238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 t="s">
        <v>117</v>
      </c>
      <c r="AC124" s="4">
        <v>44022.659942129627</v>
      </c>
      <c r="AD124" s="3" t="s">
        <v>37</v>
      </c>
      <c r="AE124" s="4">
        <v>44022.659942129627</v>
      </c>
      <c r="AF124" s="3" t="s">
        <v>37</v>
      </c>
    </row>
    <row r="125" spans="1:32" x14ac:dyDescent="0.2">
      <c r="A125" s="8">
        <v>54</v>
      </c>
      <c r="B125" s="5">
        <v>44022</v>
      </c>
      <c r="C125" s="10">
        <f>AE125-(7/24)</f>
        <v>44022.379618055558</v>
      </c>
      <c r="D125" s="3" t="s">
        <v>54</v>
      </c>
      <c r="E125" s="11">
        <v>1</v>
      </c>
      <c r="F125" s="12" t="s">
        <v>31</v>
      </c>
      <c r="G125" s="3" t="s">
        <v>45</v>
      </c>
      <c r="H125" s="3"/>
      <c r="I125" s="3"/>
      <c r="J125" s="3"/>
      <c r="K125" s="12"/>
      <c r="L125" s="13" t="s">
        <v>238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 t="s">
        <v>127</v>
      </c>
      <c r="AC125" s="4">
        <v>44022.671284722222</v>
      </c>
      <c r="AD125" s="3" t="s">
        <v>37</v>
      </c>
      <c r="AE125" s="4">
        <v>44022.671284722222</v>
      </c>
      <c r="AF125" s="3" t="s">
        <v>37</v>
      </c>
    </row>
    <row r="126" spans="1:32" x14ac:dyDescent="0.2">
      <c r="A126" s="8">
        <v>65</v>
      </c>
      <c r="B126" s="5">
        <v>44022</v>
      </c>
      <c r="C126" s="10">
        <f>AE126-(7/24)</f>
        <v>44022.302592592598</v>
      </c>
      <c r="D126" s="3" t="s">
        <v>54</v>
      </c>
      <c r="E126" s="11">
        <v>1</v>
      </c>
      <c r="F126" s="12" t="s">
        <v>31</v>
      </c>
      <c r="G126" s="3" t="s">
        <v>52</v>
      </c>
      <c r="H126" s="3"/>
      <c r="I126" s="3"/>
      <c r="J126" s="3"/>
      <c r="K126" s="12"/>
      <c r="L126" s="13" t="s">
        <v>239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 t="s">
        <v>147</v>
      </c>
      <c r="AC126" s="4">
        <v>44022.594259259262</v>
      </c>
      <c r="AD126" s="3" t="s">
        <v>135</v>
      </c>
      <c r="AE126" s="4">
        <v>44022.594259259262</v>
      </c>
      <c r="AF126" s="3" t="s">
        <v>135</v>
      </c>
    </row>
    <row r="127" spans="1:32" x14ac:dyDescent="0.2">
      <c r="A127" s="8">
        <v>88</v>
      </c>
      <c r="B127" s="5">
        <v>44022</v>
      </c>
      <c r="C127" s="10">
        <f>AE127-(7/24)</f>
        <v>44022.331932870373</v>
      </c>
      <c r="D127" s="3" t="s">
        <v>54</v>
      </c>
      <c r="E127" s="11">
        <v>2</v>
      </c>
      <c r="F127" s="12" t="s">
        <v>31</v>
      </c>
      <c r="G127" s="3" t="s">
        <v>116</v>
      </c>
      <c r="H127" s="3"/>
      <c r="I127" s="3"/>
      <c r="J127" s="3"/>
      <c r="K127" s="12"/>
      <c r="L127" s="13" t="s">
        <v>239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 t="s">
        <v>177</v>
      </c>
      <c r="AC127" s="4">
        <v>44022.623599537037</v>
      </c>
      <c r="AD127" s="3" t="s">
        <v>135</v>
      </c>
      <c r="AE127" s="4">
        <v>44022.623599537037</v>
      </c>
      <c r="AF127" s="3" t="s">
        <v>135</v>
      </c>
    </row>
    <row r="128" spans="1:32" x14ac:dyDescent="0.2">
      <c r="A128" s="8">
        <v>98</v>
      </c>
      <c r="B128" s="5">
        <v>44022</v>
      </c>
      <c r="C128" s="10">
        <f>AE128-(7/24)</f>
        <v>44022.345023148147</v>
      </c>
      <c r="D128" s="3" t="s">
        <v>54</v>
      </c>
      <c r="E128" s="11">
        <v>1</v>
      </c>
      <c r="F128" s="12" t="s">
        <v>31</v>
      </c>
      <c r="G128" s="3" t="s">
        <v>52</v>
      </c>
      <c r="H128" s="3"/>
      <c r="I128" s="3"/>
      <c r="J128" s="3"/>
      <c r="K128" s="12"/>
      <c r="L128" s="13" t="s">
        <v>239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 t="s">
        <v>187</v>
      </c>
      <c r="AC128" s="4">
        <v>44022.636689814812</v>
      </c>
      <c r="AD128" s="3" t="s">
        <v>135</v>
      </c>
      <c r="AE128" s="4">
        <v>44022.636689814812</v>
      </c>
      <c r="AF128" s="3" t="s">
        <v>135</v>
      </c>
    </row>
    <row r="129" spans="1:32" x14ac:dyDescent="0.2">
      <c r="A129" s="8">
        <v>112</v>
      </c>
      <c r="B129" s="5">
        <v>44022</v>
      </c>
      <c r="C129" s="10">
        <f>AE129-(7/24)</f>
        <v>44022.355462962965</v>
      </c>
      <c r="D129" s="3" t="s">
        <v>54</v>
      </c>
      <c r="E129" s="11">
        <v>1</v>
      </c>
      <c r="F129" s="12" t="s">
        <v>31</v>
      </c>
      <c r="G129" s="3" t="s">
        <v>45</v>
      </c>
      <c r="H129" s="3"/>
      <c r="I129" s="3"/>
      <c r="J129" s="3"/>
      <c r="K129" s="12"/>
      <c r="L129" s="13" t="s">
        <v>239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 t="s">
        <v>204</v>
      </c>
      <c r="AC129" s="4">
        <v>44022.647129629629</v>
      </c>
      <c r="AD129" s="3" t="s">
        <v>135</v>
      </c>
      <c r="AE129" s="4">
        <v>44022.647129629629</v>
      </c>
      <c r="AF129" s="3" t="s">
        <v>135</v>
      </c>
    </row>
    <row r="130" spans="1:32" x14ac:dyDescent="0.2">
      <c r="A130" s="8">
        <v>114</v>
      </c>
      <c r="B130" s="5">
        <v>44022</v>
      </c>
      <c r="C130" s="10">
        <f>AE130-(7/24)</f>
        <v>44022.357870370375</v>
      </c>
      <c r="D130" s="3" t="s">
        <v>54</v>
      </c>
      <c r="E130" s="11">
        <v>1</v>
      </c>
      <c r="F130" s="12" t="s">
        <v>31</v>
      </c>
      <c r="G130" s="3" t="s">
        <v>137</v>
      </c>
      <c r="H130" s="3"/>
      <c r="I130" s="3"/>
      <c r="J130" s="3"/>
      <c r="K130" s="12"/>
      <c r="L130" s="13" t="s">
        <v>239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 t="s">
        <v>206</v>
      </c>
      <c r="AC130" s="4">
        <v>44022.649537037039</v>
      </c>
      <c r="AD130" s="3" t="s">
        <v>135</v>
      </c>
      <c r="AE130" s="4">
        <v>44022.649537037039</v>
      </c>
      <c r="AF130" s="3" t="s">
        <v>135</v>
      </c>
    </row>
    <row r="131" spans="1:32" x14ac:dyDescent="0.2">
      <c r="A131" s="8">
        <v>118</v>
      </c>
      <c r="B131" s="5">
        <v>44022</v>
      </c>
      <c r="C131" s="10">
        <f>AE131-(7/24)</f>
        <v>44022.359710648154</v>
      </c>
      <c r="D131" s="3" t="s">
        <v>54</v>
      </c>
      <c r="E131" s="11">
        <v>1</v>
      </c>
      <c r="F131" s="12" t="s">
        <v>31</v>
      </c>
      <c r="G131" s="3" t="s">
        <v>116</v>
      </c>
      <c r="H131" s="3"/>
      <c r="I131" s="3"/>
      <c r="J131" s="3"/>
      <c r="K131" s="12"/>
      <c r="L131" s="13" t="s">
        <v>239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 t="s">
        <v>211</v>
      </c>
      <c r="AC131" s="4">
        <v>44022.651377314818</v>
      </c>
      <c r="AD131" s="3" t="s">
        <v>135</v>
      </c>
      <c r="AE131" s="4">
        <v>44022.651377314818</v>
      </c>
      <c r="AF131" s="3" t="s">
        <v>135</v>
      </c>
    </row>
    <row r="132" spans="1:32" x14ac:dyDescent="0.2">
      <c r="A132" s="8">
        <v>26</v>
      </c>
      <c r="B132" s="5">
        <v>44022</v>
      </c>
      <c r="C132" s="10">
        <f>AE132-(7/24)</f>
        <v>44022.352673611116</v>
      </c>
      <c r="D132" s="3" t="s">
        <v>88</v>
      </c>
      <c r="E132" s="11">
        <v>1</v>
      </c>
      <c r="F132" s="12" t="s">
        <v>31</v>
      </c>
      <c r="G132" s="3" t="s">
        <v>64</v>
      </c>
      <c r="H132" s="3"/>
      <c r="I132" s="3"/>
      <c r="J132" s="3"/>
      <c r="K132" s="12"/>
      <c r="L132" s="13" t="s">
        <v>238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 t="s">
        <v>89</v>
      </c>
      <c r="AC132" s="4">
        <v>44022.64434027778</v>
      </c>
      <c r="AD132" s="3" t="s">
        <v>37</v>
      </c>
      <c r="AE132" s="4">
        <v>44022.64434027778</v>
      </c>
      <c r="AF132" s="3" t="s">
        <v>37</v>
      </c>
    </row>
    <row r="133" spans="1:32" x14ac:dyDescent="0.2">
      <c r="A133" s="8">
        <v>44</v>
      </c>
      <c r="B133" s="5">
        <v>44022</v>
      </c>
      <c r="C133" s="10">
        <f>AE133-(7/24)</f>
        <v>44022.366053240745</v>
      </c>
      <c r="D133" s="3" t="s">
        <v>88</v>
      </c>
      <c r="E133" s="11">
        <v>1</v>
      </c>
      <c r="F133" s="12" t="s">
        <v>31</v>
      </c>
      <c r="G133" s="3" t="s">
        <v>77</v>
      </c>
      <c r="H133" s="3"/>
      <c r="I133" s="3"/>
      <c r="J133" s="3"/>
      <c r="K133" s="12"/>
      <c r="L133" s="13" t="s">
        <v>238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 t="s">
        <v>115</v>
      </c>
      <c r="AC133" s="4">
        <v>44022.657719907409</v>
      </c>
      <c r="AD133" s="3" t="s">
        <v>37</v>
      </c>
      <c r="AE133" s="4">
        <v>44022.657719907409</v>
      </c>
      <c r="AF133" s="3" t="s">
        <v>37</v>
      </c>
    </row>
    <row r="134" spans="1:32" x14ac:dyDescent="0.2">
      <c r="A134" s="8">
        <v>123</v>
      </c>
      <c r="B134" s="5">
        <v>44022</v>
      </c>
      <c r="C134" s="10">
        <f>AE134-(7/24)</f>
        <v>44022.371527777781</v>
      </c>
      <c r="D134" s="3" t="s">
        <v>88</v>
      </c>
      <c r="E134" s="11">
        <v>4</v>
      </c>
      <c r="F134" s="12" t="s">
        <v>31</v>
      </c>
      <c r="G134" s="3" t="s">
        <v>42</v>
      </c>
      <c r="H134" s="3"/>
      <c r="I134" s="3"/>
      <c r="J134" s="3"/>
      <c r="K134" s="12"/>
      <c r="L134" s="13" t="s">
        <v>239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 t="s">
        <v>216</v>
      </c>
      <c r="AC134" s="4">
        <v>44022.656388888892</v>
      </c>
      <c r="AD134" s="3" t="s">
        <v>135</v>
      </c>
      <c r="AE134" s="4">
        <v>44022.663194444445</v>
      </c>
      <c r="AF134" s="3" t="s">
        <v>135</v>
      </c>
    </row>
    <row r="135" spans="1:32" x14ac:dyDescent="0.2">
      <c r="A135" s="8">
        <v>137</v>
      </c>
      <c r="B135" s="5">
        <v>44022</v>
      </c>
      <c r="C135" s="10">
        <f>AE135-(7/24)</f>
        <v>44022.413229166668</v>
      </c>
      <c r="D135" s="3" t="s">
        <v>88</v>
      </c>
      <c r="E135" s="11">
        <v>1</v>
      </c>
      <c r="F135" s="12" t="s">
        <v>31</v>
      </c>
      <c r="G135" s="3" t="s">
        <v>77</v>
      </c>
      <c r="H135" s="3"/>
      <c r="I135" s="3"/>
      <c r="J135" s="3"/>
      <c r="K135" s="12"/>
      <c r="L135" s="13" t="s">
        <v>239</v>
      </c>
      <c r="M135" s="3"/>
      <c r="N135" s="3" t="s">
        <v>232</v>
      </c>
      <c r="O135" s="3"/>
      <c r="P135" s="3"/>
      <c r="Q135" s="3"/>
      <c r="R135" s="3"/>
      <c r="S135" s="3"/>
      <c r="T135" s="3"/>
      <c r="U135" s="2">
        <v>70</v>
      </c>
      <c r="V135" s="2">
        <v>50</v>
      </c>
      <c r="W135" s="3" t="s">
        <v>233</v>
      </c>
      <c r="X135" s="3"/>
      <c r="Y135" s="3" t="s">
        <v>35</v>
      </c>
      <c r="Z135" s="3"/>
      <c r="AA135" s="3"/>
      <c r="AB135" s="3" t="s">
        <v>234</v>
      </c>
      <c r="AC135" s="4">
        <v>44022.704895833333</v>
      </c>
      <c r="AD135" s="3" t="s">
        <v>135</v>
      </c>
      <c r="AE135" s="4">
        <v>44022.704895833333</v>
      </c>
      <c r="AF135" s="3" t="s">
        <v>135</v>
      </c>
    </row>
    <row r="136" spans="1:32" x14ac:dyDescent="0.2">
      <c r="A136" s="8">
        <v>67</v>
      </c>
      <c r="B136" s="5">
        <v>44022</v>
      </c>
      <c r="C136" s="10">
        <f>AE136-(7/24)</f>
        <v>44022.342569444445</v>
      </c>
      <c r="D136" s="3" t="s">
        <v>149</v>
      </c>
      <c r="E136" s="11">
        <v>5</v>
      </c>
      <c r="F136" s="12" t="s">
        <v>31</v>
      </c>
      <c r="G136" s="3" t="s">
        <v>137</v>
      </c>
      <c r="H136" s="3"/>
      <c r="I136" s="3"/>
      <c r="J136" s="3"/>
      <c r="K136" s="12"/>
      <c r="L136" s="13" t="s">
        <v>239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 t="s">
        <v>150</v>
      </c>
      <c r="AC136" s="4">
        <v>44022.595937500002</v>
      </c>
      <c r="AD136" s="3" t="s">
        <v>135</v>
      </c>
      <c r="AE136" s="4">
        <v>44022.634236111109</v>
      </c>
      <c r="AF136" s="3" t="s">
        <v>135</v>
      </c>
    </row>
    <row r="137" spans="1:32" x14ac:dyDescent="0.2">
      <c r="A137" s="8">
        <v>33</v>
      </c>
      <c r="B137" s="5">
        <v>44022</v>
      </c>
      <c r="C137" s="10">
        <f>AE137-(7/24)</f>
        <v>44022.358807870376</v>
      </c>
      <c r="D137" s="3" t="s">
        <v>102</v>
      </c>
      <c r="E137" s="11">
        <v>1</v>
      </c>
      <c r="F137" s="12" t="s">
        <v>31</v>
      </c>
      <c r="G137" s="3" t="s">
        <v>42</v>
      </c>
      <c r="H137" s="3"/>
      <c r="I137" s="3"/>
      <c r="J137" s="3"/>
      <c r="K137" s="12"/>
      <c r="L137" s="13" t="s">
        <v>238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 t="s">
        <v>103</v>
      </c>
      <c r="AC137" s="4">
        <v>44022.65047453704</v>
      </c>
      <c r="AD137" s="3" t="s">
        <v>37</v>
      </c>
      <c r="AE137" s="4">
        <v>44022.65047453704</v>
      </c>
      <c r="AF137" s="3" t="s">
        <v>37</v>
      </c>
    </row>
    <row r="138" spans="1:32" x14ac:dyDescent="0.2">
      <c r="A138" s="8">
        <v>48</v>
      </c>
      <c r="B138" s="5">
        <v>44022</v>
      </c>
      <c r="C138" s="10">
        <f>AE138-(7/24)</f>
        <v>44022.373032407413</v>
      </c>
      <c r="D138" s="3" t="s">
        <v>102</v>
      </c>
      <c r="E138" s="11">
        <v>2</v>
      </c>
      <c r="F138" s="12" t="s">
        <v>31</v>
      </c>
      <c r="G138" s="3" t="s">
        <v>52</v>
      </c>
      <c r="H138" s="3"/>
      <c r="I138" s="3"/>
      <c r="J138" s="3"/>
      <c r="K138" s="12"/>
      <c r="L138" s="13" t="s">
        <v>238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 t="s">
        <v>120</v>
      </c>
      <c r="AC138" s="4">
        <v>44022.664699074077</v>
      </c>
      <c r="AD138" s="3" t="s">
        <v>37</v>
      </c>
      <c r="AE138" s="4">
        <v>44022.664699074077</v>
      </c>
      <c r="AF138" s="3" t="s">
        <v>37</v>
      </c>
    </row>
    <row r="139" spans="1:32" x14ac:dyDescent="0.2">
      <c r="B139" s="5">
        <v>44022</v>
      </c>
      <c r="D139" s="26" t="s">
        <v>102</v>
      </c>
      <c r="E139" s="6">
        <v>2</v>
      </c>
      <c r="F139" s="6" t="s">
        <v>31</v>
      </c>
      <c r="J139" t="s">
        <v>254</v>
      </c>
      <c r="L139" s="13" t="s">
        <v>238</v>
      </c>
    </row>
    <row r="140" spans="1:32" x14ac:dyDescent="0.2">
      <c r="A140" s="8">
        <v>133</v>
      </c>
      <c r="B140" s="5">
        <v>44022</v>
      </c>
      <c r="C140" s="10">
        <f>AE140-(7/24)</f>
        <v>44022.3984837963</v>
      </c>
      <c r="D140" s="3" t="s">
        <v>227</v>
      </c>
      <c r="E140" s="11">
        <v>8</v>
      </c>
      <c r="F140" s="12" t="s">
        <v>31</v>
      </c>
      <c r="G140" s="3" t="s">
        <v>137</v>
      </c>
      <c r="H140" s="3"/>
      <c r="I140" s="3"/>
      <c r="J140" s="3"/>
      <c r="K140" s="12"/>
      <c r="L140" s="13" t="s">
        <v>239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 t="s">
        <v>228</v>
      </c>
      <c r="AC140" s="4">
        <v>44022.690150462964</v>
      </c>
      <c r="AD140" s="3" t="s">
        <v>135</v>
      </c>
      <c r="AE140" s="4">
        <v>44022.690150462964</v>
      </c>
      <c r="AF140" s="3" t="s">
        <v>135</v>
      </c>
    </row>
    <row r="141" spans="1:32" x14ac:dyDescent="0.2">
      <c r="A141" s="8">
        <v>3</v>
      </c>
      <c r="B141" s="5">
        <v>44022</v>
      </c>
      <c r="C141" s="10">
        <f>AE141-(7/24)</f>
        <v>44022.297511574077</v>
      </c>
      <c r="D141" s="3" t="s">
        <v>41</v>
      </c>
      <c r="E141" s="11">
        <v>2</v>
      </c>
      <c r="F141" s="12" t="s">
        <v>31</v>
      </c>
      <c r="G141" s="3" t="s">
        <v>42</v>
      </c>
      <c r="H141" s="3"/>
      <c r="I141" s="3"/>
      <c r="J141" s="26" t="s">
        <v>248</v>
      </c>
      <c r="K141" s="12"/>
      <c r="L141" s="13" t="s">
        <v>238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 t="s">
        <v>43</v>
      </c>
      <c r="AC141" s="4">
        <v>44022.589178240742</v>
      </c>
      <c r="AD141" s="3" t="s">
        <v>37</v>
      </c>
      <c r="AE141" s="4">
        <v>44022.589178240742</v>
      </c>
      <c r="AF141" s="3" t="s">
        <v>37</v>
      </c>
    </row>
    <row r="142" spans="1:32" x14ac:dyDescent="0.2">
      <c r="A142" s="8">
        <v>17</v>
      </c>
      <c r="B142" s="5">
        <v>44022</v>
      </c>
      <c r="C142" s="10">
        <f>AE142-(7/24)</f>
        <v>44022.328229166669</v>
      </c>
      <c r="D142" s="3" t="s">
        <v>73</v>
      </c>
      <c r="E142" s="11">
        <v>1</v>
      </c>
      <c r="F142" s="12" t="s">
        <v>31</v>
      </c>
      <c r="G142" s="3" t="s">
        <v>52</v>
      </c>
      <c r="H142" s="3"/>
      <c r="I142" s="3"/>
      <c r="J142" s="3"/>
      <c r="K142" s="12"/>
      <c r="L142" s="13" t="s">
        <v>238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 t="s">
        <v>74</v>
      </c>
      <c r="AC142" s="4">
        <v>44022.619895833333</v>
      </c>
      <c r="AD142" s="3" t="s">
        <v>37</v>
      </c>
      <c r="AE142" s="4">
        <v>44022.619895833333</v>
      </c>
      <c r="AF142" s="3" t="s">
        <v>37</v>
      </c>
    </row>
  </sheetData>
  <autoFilter ref="A1:AF142" xr:uid="{0B542511-8E84-4784-9648-938AE117D9DC}"/>
  <sortState xmlns:xlrd2="http://schemas.microsoft.com/office/spreadsheetml/2017/richdata2" ref="A2:AF142">
    <sortCondition ref="D2:D14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77A4-B3C5-4DD7-9D00-D4ED33D387B7}">
  <dimension ref="A1:G4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6" sqref="D6:D47"/>
    </sheetView>
  </sheetViews>
  <sheetFormatPr defaultRowHeight="12.75" x14ac:dyDescent="0.2"/>
  <cols>
    <col min="1" max="1" width="23.85546875" bestFit="1" customWidth="1"/>
    <col min="2" max="2" width="27.28515625" bestFit="1" customWidth="1"/>
    <col min="3" max="3" width="22.42578125" bestFit="1" customWidth="1"/>
    <col min="4" max="4" width="8.28515625" bestFit="1" customWidth="1"/>
    <col min="5" max="5" width="27.28515625" style="6" bestFit="1" customWidth="1"/>
    <col min="6" max="6" width="22.42578125" style="6" bestFit="1" customWidth="1"/>
    <col min="7" max="7" width="9" bestFit="1" customWidth="1"/>
  </cols>
  <sheetData>
    <row r="1" spans="1:7" x14ac:dyDescent="0.2">
      <c r="D1" s="42" t="s">
        <v>247</v>
      </c>
      <c r="E1" s="40" t="s">
        <v>246</v>
      </c>
      <c r="F1" s="40"/>
    </row>
    <row r="2" spans="1:7" ht="13.5" thickBot="1" x14ac:dyDescent="0.25">
      <c r="D2" s="43"/>
      <c r="E2" s="41"/>
      <c r="F2" s="41"/>
    </row>
    <row r="3" spans="1:7" x14ac:dyDescent="0.2">
      <c r="A3" s="14" t="s">
        <v>242</v>
      </c>
      <c r="B3" s="14" t="s">
        <v>243</v>
      </c>
      <c r="D3" s="18"/>
      <c r="E3" s="28"/>
      <c r="F3" s="28"/>
      <c r="G3" s="6"/>
    </row>
    <row r="4" spans="1:7" x14ac:dyDescent="0.2">
      <c r="B4" t="s">
        <v>31</v>
      </c>
      <c r="D4" s="18" t="s">
        <v>244</v>
      </c>
      <c r="E4" s="15" t="s">
        <v>96</v>
      </c>
      <c r="F4" s="15"/>
      <c r="G4" s="15" t="s">
        <v>245</v>
      </c>
    </row>
    <row r="5" spans="1:7" x14ac:dyDescent="0.2">
      <c r="A5" s="14" t="s">
        <v>240</v>
      </c>
      <c r="B5" t="s">
        <v>239</v>
      </c>
      <c r="C5" t="s">
        <v>238</v>
      </c>
      <c r="D5" s="18"/>
      <c r="E5" t="s">
        <v>239</v>
      </c>
      <c r="F5" s="15" t="s">
        <v>238</v>
      </c>
      <c r="G5" s="15"/>
    </row>
    <row r="6" spans="1:7" x14ac:dyDescent="0.2">
      <c r="A6" s="35" t="s">
        <v>75</v>
      </c>
      <c r="B6" s="29">
        <v>2</v>
      </c>
      <c r="C6" s="20">
        <v>1</v>
      </c>
      <c r="D6" s="30">
        <v>3</v>
      </c>
      <c r="E6" s="20"/>
      <c r="F6" s="20"/>
      <c r="G6" s="21"/>
    </row>
    <row r="7" spans="1:7" x14ac:dyDescent="0.2">
      <c r="A7" s="36" t="s">
        <v>44</v>
      </c>
      <c r="B7" s="31">
        <v>9</v>
      </c>
      <c r="C7" s="22">
        <v>13</v>
      </c>
      <c r="D7" s="32">
        <v>22</v>
      </c>
      <c r="E7" s="22"/>
      <c r="F7" s="22"/>
      <c r="G7" s="23"/>
    </row>
    <row r="8" spans="1:7" x14ac:dyDescent="0.2">
      <c r="A8" s="36" t="s">
        <v>57</v>
      </c>
      <c r="B8" s="31">
        <v>8</v>
      </c>
      <c r="C8" s="22">
        <v>3</v>
      </c>
      <c r="D8" s="32">
        <v>11</v>
      </c>
      <c r="E8" s="22"/>
      <c r="F8" s="22"/>
      <c r="G8" s="23"/>
    </row>
    <row r="9" spans="1:7" x14ac:dyDescent="0.2">
      <c r="A9" s="36" t="s">
        <v>80</v>
      </c>
      <c r="B9" s="31"/>
      <c r="C9" s="22">
        <v>3</v>
      </c>
      <c r="D9" s="32">
        <v>3</v>
      </c>
      <c r="E9" s="22"/>
      <c r="F9" s="22"/>
      <c r="G9" s="23"/>
    </row>
    <row r="10" spans="1:7" x14ac:dyDescent="0.2">
      <c r="A10" s="36" t="s">
        <v>92</v>
      </c>
      <c r="B10" s="31">
        <v>3</v>
      </c>
      <c r="C10" s="22">
        <v>1</v>
      </c>
      <c r="D10" s="32">
        <v>4</v>
      </c>
      <c r="E10" s="22"/>
      <c r="F10" s="22"/>
      <c r="G10" s="23"/>
    </row>
    <row r="11" spans="1:7" x14ac:dyDescent="0.2">
      <c r="A11" s="36" t="s">
        <v>175</v>
      </c>
      <c r="B11" s="31">
        <v>2</v>
      </c>
      <c r="C11" s="22"/>
      <c r="D11" s="32">
        <v>2</v>
      </c>
      <c r="E11" s="22"/>
      <c r="F11" s="22"/>
      <c r="G11" s="23"/>
    </row>
    <row r="12" spans="1:7" x14ac:dyDescent="0.2">
      <c r="A12" s="36" t="s">
        <v>136</v>
      </c>
      <c r="B12" s="31">
        <v>4</v>
      </c>
      <c r="C12" s="22"/>
      <c r="D12" s="32">
        <v>4</v>
      </c>
      <c r="E12" s="22"/>
      <c r="F12" s="22"/>
      <c r="G12" s="23"/>
    </row>
    <row r="13" spans="1:7" x14ac:dyDescent="0.2">
      <c r="A13" s="36" t="s">
        <v>158</v>
      </c>
      <c r="B13" s="31">
        <v>25</v>
      </c>
      <c r="C13" s="22"/>
      <c r="D13" s="32">
        <v>25</v>
      </c>
      <c r="E13" s="22"/>
      <c r="F13" s="22"/>
      <c r="G13" s="23"/>
    </row>
    <row r="14" spans="1:7" x14ac:dyDescent="0.2">
      <c r="A14" s="36" t="s">
        <v>51</v>
      </c>
      <c r="B14" s="31">
        <v>3</v>
      </c>
      <c r="C14" s="22">
        <v>4</v>
      </c>
      <c r="D14" s="32">
        <v>7</v>
      </c>
      <c r="E14" s="22"/>
      <c r="F14" s="22"/>
      <c r="G14" s="23"/>
    </row>
    <row r="15" spans="1:7" x14ac:dyDescent="0.2">
      <c r="A15" s="36" t="s">
        <v>191</v>
      </c>
      <c r="B15" s="31">
        <v>6</v>
      </c>
      <c r="C15" s="22"/>
      <c r="D15" s="32">
        <v>6</v>
      </c>
      <c r="E15" s="22"/>
      <c r="F15" s="22"/>
      <c r="G15" s="23"/>
    </row>
    <row r="16" spans="1:7" x14ac:dyDescent="0.2">
      <c r="A16" s="36" t="s">
        <v>86</v>
      </c>
      <c r="B16" s="31">
        <v>1</v>
      </c>
      <c r="C16" s="22">
        <v>2</v>
      </c>
      <c r="D16" s="32">
        <v>3</v>
      </c>
      <c r="E16" s="22"/>
      <c r="F16" s="22"/>
      <c r="G16" s="23"/>
    </row>
    <row r="17" spans="1:7" x14ac:dyDescent="0.2">
      <c r="A17" s="36" t="s">
        <v>38</v>
      </c>
      <c r="B17" s="31">
        <v>30</v>
      </c>
      <c r="C17" s="22">
        <v>20</v>
      </c>
      <c r="D17" s="32">
        <v>50</v>
      </c>
      <c r="E17" s="22"/>
      <c r="F17" s="22"/>
      <c r="G17" s="23"/>
    </row>
    <row r="18" spans="1:7" x14ac:dyDescent="0.2">
      <c r="A18" s="36" t="s">
        <v>94</v>
      </c>
      <c r="B18" s="31">
        <v>2</v>
      </c>
      <c r="C18" s="22">
        <v>3</v>
      </c>
      <c r="D18" s="32">
        <v>5</v>
      </c>
      <c r="E18" s="22"/>
      <c r="F18" s="22"/>
      <c r="G18" s="23"/>
    </row>
    <row r="19" spans="1:7" x14ac:dyDescent="0.2">
      <c r="A19" s="36" t="s">
        <v>82</v>
      </c>
      <c r="B19" s="31"/>
      <c r="C19" s="22">
        <v>1</v>
      </c>
      <c r="D19" s="32">
        <v>1</v>
      </c>
      <c r="E19" s="22"/>
      <c r="F19" s="22">
        <v>1</v>
      </c>
      <c r="G19" s="23">
        <v>1</v>
      </c>
    </row>
    <row r="20" spans="1:7" x14ac:dyDescent="0.2">
      <c r="A20" s="36" t="s">
        <v>163</v>
      </c>
      <c r="B20" s="31">
        <v>2</v>
      </c>
      <c r="C20" s="22">
        <v>1</v>
      </c>
      <c r="D20" s="32">
        <v>3</v>
      </c>
      <c r="E20" s="22"/>
      <c r="F20" s="22"/>
      <c r="G20" s="23"/>
    </row>
    <row r="21" spans="1:7" x14ac:dyDescent="0.2">
      <c r="A21" s="36" t="s">
        <v>100</v>
      </c>
      <c r="B21" s="31"/>
      <c r="C21" s="22">
        <v>6</v>
      </c>
      <c r="D21" s="32">
        <v>6</v>
      </c>
      <c r="E21" s="22"/>
      <c r="F21" s="22"/>
      <c r="G21" s="23"/>
    </row>
    <row r="22" spans="1:7" x14ac:dyDescent="0.2">
      <c r="A22" s="36" t="s">
        <v>172</v>
      </c>
      <c r="B22" s="31">
        <v>1</v>
      </c>
      <c r="C22" s="22"/>
      <c r="D22" s="32">
        <v>1</v>
      </c>
      <c r="E22" s="22"/>
      <c r="F22" s="22"/>
      <c r="G22" s="23"/>
    </row>
    <row r="23" spans="1:7" x14ac:dyDescent="0.2">
      <c r="A23" s="36" t="s">
        <v>151</v>
      </c>
      <c r="B23" s="31">
        <v>2</v>
      </c>
      <c r="C23" s="22"/>
      <c r="D23" s="32">
        <v>2</v>
      </c>
      <c r="E23" s="22"/>
      <c r="F23" s="22"/>
      <c r="G23" s="23"/>
    </row>
    <row r="24" spans="1:7" x14ac:dyDescent="0.2">
      <c r="A24" s="36" t="s">
        <v>201</v>
      </c>
      <c r="B24" s="31">
        <v>5</v>
      </c>
      <c r="C24" s="22"/>
      <c r="D24" s="32">
        <v>5</v>
      </c>
      <c r="E24" s="22"/>
      <c r="F24" s="22"/>
      <c r="G24" s="23"/>
    </row>
    <row r="25" spans="1:7" x14ac:dyDescent="0.2">
      <c r="A25" s="36" t="s">
        <v>142</v>
      </c>
      <c r="B25" s="31">
        <v>4</v>
      </c>
      <c r="C25" s="22">
        <v>1</v>
      </c>
      <c r="D25" s="32">
        <v>5</v>
      </c>
      <c r="E25" s="22"/>
      <c r="F25" s="22"/>
      <c r="G25" s="23"/>
    </row>
    <row r="26" spans="1:7" x14ac:dyDescent="0.2">
      <c r="A26" s="36" t="s">
        <v>69</v>
      </c>
      <c r="B26" s="31">
        <v>47</v>
      </c>
      <c r="C26" s="22">
        <v>4</v>
      </c>
      <c r="D26" s="32">
        <v>51</v>
      </c>
      <c r="E26" s="22"/>
      <c r="F26" s="22"/>
      <c r="G26" s="23"/>
    </row>
    <row r="27" spans="1:7" x14ac:dyDescent="0.2">
      <c r="A27" s="36" t="s">
        <v>207</v>
      </c>
      <c r="B27" s="31">
        <v>7</v>
      </c>
      <c r="C27" s="22"/>
      <c r="D27" s="32">
        <v>7</v>
      </c>
      <c r="E27" s="22"/>
      <c r="F27" s="22"/>
      <c r="G27" s="23"/>
    </row>
    <row r="28" spans="1:7" x14ac:dyDescent="0.2">
      <c r="A28" s="36" t="s">
        <v>189</v>
      </c>
      <c r="B28" s="31">
        <v>2</v>
      </c>
      <c r="C28" s="22">
        <v>1</v>
      </c>
      <c r="D28" s="32">
        <v>3</v>
      </c>
      <c r="E28" s="22"/>
      <c r="F28" s="22"/>
      <c r="G28" s="23"/>
    </row>
    <row r="29" spans="1:7" x14ac:dyDescent="0.2">
      <c r="A29" s="36" t="s">
        <v>63</v>
      </c>
      <c r="B29" s="31"/>
      <c r="C29" s="22">
        <v>7</v>
      </c>
      <c r="D29" s="32">
        <v>7</v>
      </c>
      <c r="E29" s="22"/>
      <c r="F29" s="22"/>
      <c r="G29" s="23"/>
    </row>
    <row r="30" spans="1:7" x14ac:dyDescent="0.2">
      <c r="A30" s="36" t="s">
        <v>71</v>
      </c>
      <c r="B30" s="31">
        <v>5</v>
      </c>
      <c r="C30" s="22">
        <v>5</v>
      </c>
      <c r="D30" s="32">
        <v>10</v>
      </c>
      <c r="E30" s="22"/>
      <c r="F30" s="22"/>
      <c r="G30" s="23"/>
    </row>
    <row r="31" spans="1:7" x14ac:dyDescent="0.2">
      <c r="A31" s="36" t="s">
        <v>66</v>
      </c>
      <c r="B31" s="31"/>
      <c r="C31" s="22">
        <v>1</v>
      </c>
      <c r="D31" s="32">
        <v>1</v>
      </c>
      <c r="E31" s="22"/>
      <c r="F31" s="22">
        <v>1</v>
      </c>
      <c r="G31" s="23">
        <v>1</v>
      </c>
    </row>
    <row r="32" spans="1:7" x14ac:dyDescent="0.2">
      <c r="A32" s="36" t="s">
        <v>132</v>
      </c>
      <c r="B32" s="31">
        <v>73</v>
      </c>
      <c r="C32" s="22"/>
      <c r="D32" s="32">
        <v>73</v>
      </c>
      <c r="E32" s="22"/>
      <c r="F32" s="22"/>
      <c r="G32" s="23"/>
    </row>
    <row r="33" spans="1:7" x14ac:dyDescent="0.2">
      <c r="A33" s="36" t="s">
        <v>104</v>
      </c>
      <c r="B33" s="31"/>
      <c r="C33" s="22">
        <v>4</v>
      </c>
      <c r="D33" s="32">
        <v>4</v>
      </c>
      <c r="E33" s="22"/>
      <c r="F33" s="22"/>
      <c r="G33" s="23"/>
    </row>
    <row r="34" spans="1:7" x14ac:dyDescent="0.2">
      <c r="A34" s="36" t="s">
        <v>98</v>
      </c>
      <c r="B34" s="31"/>
      <c r="C34" s="22">
        <v>1</v>
      </c>
      <c r="D34" s="32">
        <v>1</v>
      </c>
      <c r="E34" s="22"/>
      <c r="F34" s="22"/>
      <c r="G34" s="23"/>
    </row>
    <row r="35" spans="1:7" x14ac:dyDescent="0.2">
      <c r="A35" s="36" t="s">
        <v>59</v>
      </c>
      <c r="B35" s="31"/>
      <c r="C35" s="22">
        <v>2</v>
      </c>
      <c r="D35" s="32">
        <v>2</v>
      </c>
      <c r="E35" s="22"/>
      <c r="F35" s="22"/>
      <c r="G35" s="23"/>
    </row>
    <row r="36" spans="1:7" x14ac:dyDescent="0.2">
      <c r="A36" s="36" t="s">
        <v>47</v>
      </c>
      <c r="B36" s="31">
        <v>3</v>
      </c>
      <c r="C36" s="22">
        <v>1</v>
      </c>
      <c r="D36" s="32">
        <v>4</v>
      </c>
      <c r="E36" s="22">
        <v>1</v>
      </c>
      <c r="F36" s="22"/>
      <c r="G36" s="23">
        <v>1</v>
      </c>
    </row>
    <row r="37" spans="1:7" x14ac:dyDescent="0.2">
      <c r="A37" s="36" t="s">
        <v>128</v>
      </c>
      <c r="B37" s="31"/>
      <c r="C37" s="22">
        <v>2</v>
      </c>
      <c r="D37" s="32">
        <v>2</v>
      </c>
      <c r="E37" s="22"/>
      <c r="F37" s="22"/>
      <c r="G37" s="23"/>
    </row>
    <row r="38" spans="1:7" x14ac:dyDescent="0.2">
      <c r="A38" s="36" t="s">
        <v>90</v>
      </c>
      <c r="B38" s="31">
        <v>28</v>
      </c>
      <c r="C38" s="22">
        <v>18</v>
      </c>
      <c r="D38" s="32">
        <v>46</v>
      </c>
      <c r="E38" s="22"/>
      <c r="F38" s="22"/>
      <c r="G38" s="23"/>
    </row>
    <row r="39" spans="1:7" x14ac:dyDescent="0.2">
      <c r="A39" s="36" t="s">
        <v>124</v>
      </c>
      <c r="B39" s="31">
        <v>3</v>
      </c>
      <c r="C39" s="22">
        <v>4</v>
      </c>
      <c r="D39" s="32">
        <v>7</v>
      </c>
      <c r="E39" s="22"/>
      <c r="F39" s="22"/>
      <c r="G39" s="23"/>
    </row>
    <row r="40" spans="1:7" x14ac:dyDescent="0.2">
      <c r="A40" s="36" t="s">
        <v>30</v>
      </c>
      <c r="B40" s="31">
        <v>3</v>
      </c>
      <c r="C40" s="22">
        <v>2</v>
      </c>
      <c r="D40" s="32">
        <v>5</v>
      </c>
      <c r="E40" s="22"/>
      <c r="F40" s="22"/>
      <c r="G40" s="23"/>
    </row>
    <row r="41" spans="1:7" x14ac:dyDescent="0.2">
      <c r="A41" s="36" t="s">
        <v>54</v>
      </c>
      <c r="B41" s="31">
        <v>7</v>
      </c>
      <c r="C41" s="22">
        <v>10</v>
      </c>
      <c r="D41" s="32">
        <v>17</v>
      </c>
      <c r="E41" s="22"/>
      <c r="F41" s="22"/>
      <c r="G41" s="23"/>
    </row>
    <row r="42" spans="1:7" x14ac:dyDescent="0.2">
      <c r="A42" s="36" t="s">
        <v>88</v>
      </c>
      <c r="B42" s="31">
        <v>5</v>
      </c>
      <c r="C42" s="22">
        <v>2</v>
      </c>
      <c r="D42" s="32">
        <v>7</v>
      </c>
      <c r="E42" s="22"/>
      <c r="F42" s="22"/>
      <c r="G42" s="23"/>
    </row>
    <row r="43" spans="1:7" x14ac:dyDescent="0.2">
      <c r="A43" s="36" t="s">
        <v>149</v>
      </c>
      <c r="B43" s="31">
        <v>5</v>
      </c>
      <c r="C43" s="22"/>
      <c r="D43" s="32">
        <v>5</v>
      </c>
      <c r="E43" s="22"/>
      <c r="F43" s="22"/>
      <c r="G43" s="23"/>
    </row>
    <row r="44" spans="1:7" x14ac:dyDescent="0.2">
      <c r="A44" s="36" t="s">
        <v>102</v>
      </c>
      <c r="B44" s="31"/>
      <c r="C44" s="22">
        <v>5</v>
      </c>
      <c r="D44" s="32">
        <v>5</v>
      </c>
      <c r="E44" s="22"/>
      <c r="F44" s="22"/>
      <c r="G44" s="23"/>
    </row>
    <row r="45" spans="1:7" x14ac:dyDescent="0.2">
      <c r="A45" s="36" t="s">
        <v>227</v>
      </c>
      <c r="B45" s="31">
        <v>8</v>
      </c>
      <c r="C45" s="22"/>
      <c r="D45" s="32">
        <v>8</v>
      </c>
      <c r="E45" s="22"/>
      <c r="F45" s="22"/>
      <c r="G45" s="23"/>
    </row>
    <row r="46" spans="1:7" x14ac:dyDescent="0.2">
      <c r="A46" s="37" t="s">
        <v>73</v>
      </c>
      <c r="B46" s="33"/>
      <c r="C46" s="24">
        <v>1</v>
      </c>
      <c r="D46" s="34">
        <v>1</v>
      </c>
      <c r="E46" s="24"/>
      <c r="F46" s="24"/>
      <c r="G46" s="25"/>
    </row>
    <row r="47" spans="1:7" x14ac:dyDescent="0.2">
      <c r="A47" s="9" t="s">
        <v>241</v>
      </c>
      <c r="B47" s="17">
        <v>305</v>
      </c>
      <c r="C47" s="17">
        <v>129</v>
      </c>
      <c r="D47" s="19">
        <v>434</v>
      </c>
      <c r="E47" s="17">
        <v>1</v>
      </c>
      <c r="F47" s="17">
        <v>2</v>
      </c>
      <c r="G47" s="16">
        <v>3</v>
      </c>
    </row>
    <row r="48" spans="1:7" x14ac:dyDescent="0.2">
      <c r="E48"/>
      <c r="F48"/>
    </row>
  </sheetData>
  <mergeCells count="2">
    <mergeCell ref="E1:F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CC59-FB48-4EBA-8C1B-691630DCB143}">
  <dimension ref="A1:B42"/>
  <sheetViews>
    <sheetView topLeftCell="A10" workbookViewId="0">
      <selection activeCell="A42" sqref="A42:XFD42"/>
    </sheetView>
  </sheetViews>
  <sheetFormatPr defaultRowHeight="12.75" x14ac:dyDescent="0.2"/>
  <cols>
    <col min="1" max="1" width="23.85546875" bestFit="1" customWidth="1"/>
    <col min="2" max="2" width="15.7109375" style="6" bestFit="1" customWidth="1"/>
  </cols>
  <sheetData>
    <row r="1" spans="1:2" x14ac:dyDescent="0.2">
      <c r="A1" s="38" t="s">
        <v>256</v>
      </c>
      <c r="B1" s="39" t="s">
        <v>257</v>
      </c>
    </row>
    <row r="2" spans="1:2" x14ac:dyDescent="0.2">
      <c r="A2" t="s">
        <v>75</v>
      </c>
      <c r="B2" s="6">
        <v>3</v>
      </c>
    </row>
    <row r="3" spans="1:2" x14ac:dyDescent="0.2">
      <c r="A3" t="s">
        <v>44</v>
      </c>
      <c r="B3" s="6">
        <v>22</v>
      </c>
    </row>
    <row r="4" spans="1:2" x14ac:dyDescent="0.2">
      <c r="A4" t="s">
        <v>57</v>
      </c>
      <c r="B4" s="6">
        <v>11</v>
      </c>
    </row>
    <row r="5" spans="1:2" x14ac:dyDescent="0.2">
      <c r="A5" t="s">
        <v>80</v>
      </c>
      <c r="B5" s="6">
        <v>3</v>
      </c>
    </row>
    <row r="6" spans="1:2" x14ac:dyDescent="0.2">
      <c r="A6" t="s">
        <v>92</v>
      </c>
      <c r="B6" s="6">
        <v>4</v>
      </c>
    </row>
    <row r="7" spans="1:2" x14ac:dyDescent="0.2">
      <c r="A7" t="s">
        <v>175</v>
      </c>
      <c r="B7" s="6">
        <v>2</v>
      </c>
    </row>
    <row r="8" spans="1:2" x14ac:dyDescent="0.2">
      <c r="A8" t="s">
        <v>136</v>
      </c>
      <c r="B8" s="6">
        <v>4</v>
      </c>
    </row>
    <row r="9" spans="1:2" x14ac:dyDescent="0.2">
      <c r="A9" t="s">
        <v>158</v>
      </c>
      <c r="B9" s="6">
        <v>25</v>
      </c>
    </row>
    <row r="10" spans="1:2" x14ac:dyDescent="0.2">
      <c r="A10" t="s">
        <v>51</v>
      </c>
      <c r="B10" s="6">
        <v>7</v>
      </c>
    </row>
    <row r="11" spans="1:2" x14ac:dyDescent="0.2">
      <c r="A11" t="s">
        <v>191</v>
      </c>
      <c r="B11" s="6">
        <v>6</v>
      </c>
    </row>
    <row r="12" spans="1:2" x14ac:dyDescent="0.2">
      <c r="A12" t="s">
        <v>86</v>
      </c>
      <c r="B12" s="6">
        <v>3</v>
      </c>
    </row>
    <row r="13" spans="1:2" x14ac:dyDescent="0.2">
      <c r="A13" t="s">
        <v>38</v>
      </c>
      <c r="B13" s="6">
        <v>50</v>
      </c>
    </row>
    <row r="14" spans="1:2" x14ac:dyDescent="0.2">
      <c r="A14" t="s">
        <v>94</v>
      </c>
      <c r="B14" s="6">
        <v>5</v>
      </c>
    </row>
    <row r="15" spans="1:2" x14ac:dyDescent="0.2">
      <c r="A15" t="s">
        <v>82</v>
      </c>
      <c r="B15" s="6">
        <v>1</v>
      </c>
    </row>
    <row r="16" spans="1:2" x14ac:dyDescent="0.2">
      <c r="A16" t="s">
        <v>163</v>
      </c>
      <c r="B16" s="6">
        <v>3</v>
      </c>
    </row>
    <row r="17" spans="1:2" x14ac:dyDescent="0.2">
      <c r="A17" t="s">
        <v>100</v>
      </c>
      <c r="B17" s="6">
        <v>6</v>
      </c>
    </row>
    <row r="18" spans="1:2" x14ac:dyDescent="0.2">
      <c r="A18" t="s">
        <v>172</v>
      </c>
      <c r="B18" s="6">
        <v>1</v>
      </c>
    </row>
    <row r="19" spans="1:2" x14ac:dyDescent="0.2">
      <c r="A19" t="s">
        <v>151</v>
      </c>
      <c r="B19" s="6">
        <v>2</v>
      </c>
    </row>
    <row r="20" spans="1:2" x14ac:dyDescent="0.2">
      <c r="A20" t="s">
        <v>201</v>
      </c>
      <c r="B20" s="6">
        <v>5</v>
      </c>
    </row>
    <row r="21" spans="1:2" x14ac:dyDescent="0.2">
      <c r="A21" t="s">
        <v>142</v>
      </c>
      <c r="B21" s="6">
        <v>5</v>
      </c>
    </row>
    <row r="22" spans="1:2" x14ac:dyDescent="0.2">
      <c r="A22" t="s">
        <v>69</v>
      </c>
      <c r="B22" s="6">
        <v>51</v>
      </c>
    </row>
    <row r="23" spans="1:2" x14ac:dyDescent="0.2">
      <c r="A23" t="s">
        <v>207</v>
      </c>
      <c r="B23" s="6">
        <v>7</v>
      </c>
    </row>
    <row r="24" spans="1:2" x14ac:dyDescent="0.2">
      <c r="A24" t="s">
        <v>189</v>
      </c>
      <c r="B24" s="6">
        <v>3</v>
      </c>
    </row>
    <row r="25" spans="1:2" x14ac:dyDescent="0.2">
      <c r="A25" t="s">
        <v>63</v>
      </c>
      <c r="B25" s="6">
        <v>7</v>
      </c>
    </row>
    <row r="26" spans="1:2" x14ac:dyDescent="0.2">
      <c r="A26" t="s">
        <v>71</v>
      </c>
      <c r="B26" s="6">
        <v>10</v>
      </c>
    </row>
    <row r="27" spans="1:2" x14ac:dyDescent="0.2">
      <c r="A27" t="s">
        <v>66</v>
      </c>
      <c r="B27" s="6">
        <v>1</v>
      </c>
    </row>
    <row r="28" spans="1:2" x14ac:dyDescent="0.2">
      <c r="A28" t="s">
        <v>132</v>
      </c>
      <c r="B28" s="6">
        <v>73</v>
      </c>
    </row>
    <row r="29" spans="1:2" x14ac:dyDescent="0.2">
      <c r="A29" t="s">
        <v>104</v>
      </c>
      <c r="B29" s="6">
        <v>4</v>
      </c>
    </row>
    <row r="30" spans="1:2" x14ac:dyDescent="0.2">
      <c r="A30" t="s">
        <v>98</v>
      </c>
      <c r="B30" s="6">
        <v>1</v>
      </c>
    </row>
    <row r="31" spans="1:2" x14ac:dyDescent="0.2">
      <c r="A31" t="s">
        <v>59</v>
      </c>
      <c r="B31" s="6">
        <v>2</v>
      </c>
    </row>
    <row r="32" spans="1:2" x14ac:dyDescent="0.2">
      <c r="A32" t="s">
        <v>47</v>
      </c>
      <c r="B32" s="6">
        <v>4</v>
      </c>
    </row>
    <row r="33" spans="1:2" x14ac:dyDescent="0.2">
      <c r="A33" t="s">
        <v>128</v>
      </c>
      <c r="B33" s="6">
        <v>2</v>
      </c>
    </row>
    <row r="34" spans="1:2" x14ac:dyDescent="0.2">
      <c r="A34" t="s">
        <v>90</v>
      </c>
      <c r="B34" s="6">
        <v>46</v>
      </c>
    </row>
    <row r="35" spans="1:2" x14ac:dyDescent="0.2">
      <c r="A35" t="s">
        <v>124</v>
      </c>
      <c r="B35" s="6">
        <v>7</v>
      </c>
    </row>
    <row r="36" spans="1:2" x14ac:dyDescent="0.2">
      <c r="A36" t="s">
        <v>30</v>
      </c>
      <c r="B36" s="6">
        <v>5</v>
      </c>
    </row>
    <row r="37" spans="1:2" x14ac:dyDescent="0.2">
      <c r="A37" t="s">
        <v>54</v>
      </c>
      <c r="B37" s="6">
        <v>17</v>
      </c>
    </row>
    <row r="38" spans="1:2" x14ac:dyDescent="0.2">
      <c r="A38" t="s">
        <v>88</v>
      </c>
      <c r="B38" s="6">
        <v>7</v>
      </c>
    </row>
    <row r="39" spans="1:2" x14ac:dyDescent="0.2">
      <c r="A39" t="s">
        <v>149</v>
      </c>
      <c r="B39" s="6">
        <v>5</v>
      </c>
    </row>
    <row r="40" spans="1:2" x14ac:dyDescent="0.2">
      <c r="A40" t="s">
        <v>102</v>
      </c>
      <c r="B40" s="6">
        <v>5</v>
      </c>
    </row>
    <row r="41" spans="1:2" x14ac:dyDescent="0.2">
      <c r="A41" t="s">
        <v>227</v>
      </c>
      <c r="B41" s="6">
        <v>8</v>
      </c>
    </row>
    <row r="42" spans="1:2" x14ac:dyDescent="0.2">
      <c r="A42" t="s">
        <v>73</v>
      </c>
      <c r="B42" s="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NCOS_Bird_Survey_Data_2020-0710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2020-07-10T21:43:01Z</dcterms:created>
  <dcterms:modified xsi:type="dcterms:W3CDTF">2021-03-18T18:00:48Z</dcterms:modified>
</cp:coreProperties>
</file>