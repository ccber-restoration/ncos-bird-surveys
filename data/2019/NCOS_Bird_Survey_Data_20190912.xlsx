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C:\Users\rydcl\Box\CCBER_Data\NCOS\Bird_Surveys\Excel_Data\"/>
    </mc:Choice>
  </mc:AlternateContent>
  <xr:revisionPtr revIDLastSave="0" documentId="13_ncr:1_{FB890736-CFEB-44C5-B4D1-3BBB06DCF8AE}" xr6:coauthVersionLast="46" xr6:coauthVersionMax="46" xr10:uidLastSave="{00000000-0000-0000-0000-000000000000}"/>
  <bookViews>
    <workbookView xWindow="-120" yWindow="-120" windowWidth="29040" windowHeight="15990" activeTab="1" xr2:uid="{00000000-000D-0000-FFFF-FFFF00000000}"/>
  </bookViews>
  <sheets>
    <sheet name="Metadata" sheetId="2" r:id="rId1"/>
    <sheet name="NCOS_Bird_Survey_Data_20190912" sheetId="1" r:id="rId2"/>
    <sheet name="PTable" sheetId="3" r:id="rId3"/>
  </sheets>
  <definedNames>
    <definedName name="_xlnm._FilterDatabase" localSheetId="1" hidden="1">NCOS_Bird_Survey_Data_20190912!$A$1:$AH$179</definedName>
  </definedNames>
  <calcPr calcId="191029"/>
  <pivotCaches>
    <pivotCache cacheId="18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79" i="1" l="1"/>
  <c r="C148" i="1"/>
  <c r="C129" i="1"/>
  <c r="C146" i="1"/>
  <c r="C88" i="1"/>
  <c r="C124" i="1"/>
  <c r="C7" i="1"/>
  <c r="C28" i="1"/>
  <c r="C140" i="1"/>
  <c r="C66" i="1"/>
  <c r="C171" i="1"/>
  <c r="C63" i="1"/>
  <c r="C144" i="1"/>
  <c r="C27" i="1"/>
  <c r="C164" i="1"/>
  <c r="C53" i="1"/>
  <c r="C30" i="1"/>
  <c r="C43" i="1"/>
  <c r="C62" i="1"/>
  <c r="C61" i="1"/>
  <c r="C119" i="1"/>
  <c r="C65" i="1"/>
  <c r="C143" i="1"/>
  <c r="C176" i="1"/>
  <c r="C80" i="1"/>
  <c r="C170" i="1"/>
  <c r="C26" i="1"/>
  <c r="C31" i="1"/>
  <c r="C132" i="1"/>
  <c r="C68" i="1"/>
  <c r="C42" i="1"/>
  <c r="C163" i="1"/>
  <c r="C87" i="1"/>
  <c r="C162" i="1"/>
  <c r="C25" i="1"/>
  <c r="C12" i="1"/>
  <c r="C161" i="1"/>
  <c r="C142" i="1"/>
  <c r="C6" i="1"/>
  <c r="C24" i="1"/>
  <c r="C23" i="1"/>
  <c r="C52" i="1"/>
  <c r="C98" i="1"/>
  <c r="C79" i="1"/>
  <c r="C86" i="1"/>
  <c r="C22" i="1"/>
  <c r="C110" i="1"/>
  <c r="C169" i="1"/>
  <c r="C78" i="1"/>
  <c r="C134" i="1"/>
  <c r="C51" i="1"/>
  <c r="C116" i="1"/>
  <c r="C77" i="1"/>
  <c r="C21" i="1"/>
  <c r="C117" i="1"/>
  <c r="C125" i="1"/>
  <c r="C160" i="1"/>
  <c r="C36" i="1"/>
  <c r="C175" i="1"/>
  <c r="C93" i="1"/>
  <c r="C128" i="1"/>
  <c r="C96" i="1"/>
  <c r="C70" i="1"/>
  <c r="C92" i="1"/>
  <c r="C104" i="1"/>
  <c r="C109" i="1"/>
  <c r="C174" i="1"/>
  <c r="C106" i="1"/>
  <c r="C91" i="1"/>
  <c r="C145" i="1"/>
  <c r="C159" i="1"/>
  <c r="C85" i="1"/>
  <c r="C100" i="1"/>
  <c r="C60" i="1"/>
  <c r="C158" i="1"/>
  <c r="C48" i="1"/>
  <c r="C157" i="1"/>
  <c r="C20" i="1"/>
  <c r="C173" i="1"/>
  <c r="C47" i="1"/>
  <c r="C130" i="1"/>
  <c r="C5" i="1"/>
  <c r="C35" i="1"/>
  <c r="C156" i="1"/>
  <c r="C74" i="1"/>
  <c r="C34" i="1"/>
  <c r="C127" i="1"/>
  <c r="C84" i="1"/>
  <c r="C99" i="1"/>
  <c r="C71" i="1"/>
  <c r="C29" i="1"/>
  <c r="C19" i="1"/>
  <c r="C73" i="1"/>
  <c r="C67" i="1"/>
  <c r="C108" i="1"/>
  <c r="C33" i="1"/>
  <c r="C72" i="1"/>
  <c r="C147" i="1"/>
  <c r="C155" i="1"/>
  <c r="C154" i="1"/>
  <c r="C105" i="1"/>
  <c r="C90" i="1"/>
  <c r="C95" i="1"/>
  <c r="C172" i="1"/>
  <c r="C41" i="1"/>
  <c r="C32" i="1"/>
  <c r="C126" i="1"/>
  <c r="C165" i="1"/>
  <c r="C107" i="1"/>
  <c r="C153" i="1"/>
  <c r="C152" i="1"/>
  <c r="C18" i="1"/>
  <c r="C50" i="1"/>
  <c r="C83" i="1"/>
  <c r="C76" i="1"/>
  <c r="C59" i="1"/>
  <c r="C40" i="1"/>
  <c r="C4" i="1"/>
  <c r="C39" i="1"/>
  <c r="C97" i="1"/>
  <c r="C141" i="1"/>
  <c r="C46" i="1"/>
  <c r="C168" i="1"/>
  <c r="C167" i="1"/>
  <c r="C94" i="1"/>
  <c r="C49" i="1"/>
  <c r="C151" i="1"/>
  <c r="C123" i="1"/>
  <c r="C58" i="1"/>
  <c r="C115" i="1"/>
  <c r="C150" i="1"/>
  <c r="C38" i="1"/>
  <c r="C139" i="1"/>
  <c r="C17" i="1"/>
  <c r="C114" i="1"/>
  <c r="C122" i="1"/>
  <c r="C178" i="1"/>
  <c r="C37" i="1"/>
  <c r="C138" i="1"/>
  <c r="C3" i="1"/>
  <c r="C57" i="1"/>
  <c r="C121" i="1"/>
  <c r="C131" i="1"/>
  <c r="C69" i="1"/>
  <c r="C82" i="1"/>
  <c r="C10" i="1"/>
  <c r="C113" i="1"/>
  <c r="C137" i="1"/>
  <c r="C133" i="1"/>
  <c r="C16" i="1"/>
  <c r="C15" i="1"/>
  <c r="C56" i="1"/>
  <c r="C9" i="1"/>
  <c r="C55" i="1"/>
  <c r="C54" i="1"/>
  <c r="C177" i="1"/>
  <c r="C112" i="1"/>
  <c r="C111" i="1"/>
  <c r="C14" i="1"/>
  <c r="C89" i="1"/>
  <c r="C103" i="1"/>
  <c r="C102" i="1"/>
  <c r="C101" i="1"/>
  <c r="C136" i="1"/>
  <c r="C135" i="1"/>
  <c r="C64" i="1"/>
  <c r="C2" i="1"/>
  <c r="C166" i="1"/>
  <c r="C149" i="1"/>
  <c r="C13" i="1"/>
  <c r="C8" i="1"/>
  <c r="C45" i="1"/>
  <c r="C81" i="1"/>
  <c r="C118" i="1"/>
  <c r="C120" i="1"/>
  <c r="C75" i="1"/>
  <c r="C44" i="1"/>
  <c r="C11" i="1"/>
</calcChain>
</file>

<file path=xl/sharedStrings.xml><?xml version="1.0" encoding="utf-8"?>
<sst xmlns="http://schemas.openxmlformats.org/spreadsheetml/2006/main" count="1722" uniqueCount="332">
  <si>
    <t>OBJECTID</t>
  </si>
  <si>
    <t>Species</t>
  </si>
  <si>
    <t>Count</t>
  </si>
  <si>
    <t>Repeat Observation</t>
  </si>
  <si>
    <t>Substrate</t>
  </si>
  <si>
    <t>Sex</t>
  </si>
  <si>
    <t>Breeding Activity</t>
  </si>
  <si>
    <t>Observation Notes</t>
  </si>
  <si>
    <t>Water Level</t>
  </si>
  <si>
    <t>Observers</t>
  </si>
  <si>
    <t>Starting Time</t>
  </si>
  <si>
    <t>Ending Time</t>
  </si>
  <si>
    <t>Starting Temp (F)</t>
  </si>
  <si>
    <t>Starting % Cloud Cover</t>
  </si>
  <si>
    <t>Starting Cloud Height</t>
  </si>
  <si>
    <t>Starting Wind Speed</t>
  </si>
  <si>
    <t>Starting Wind Direction</t>
  </si>
  <si>
    <t>Starting Rain</t>
  </si>
  <si>
    <t>Ending Temp (F)</t>
  </si>
  <si>
    <t>Ending % Cloud Cover</t>
  </si>
  <si>
    <t>Ending Cloud Height</t>
  </si>
  <si>
    <t>Ending Wind Speed</t>
  </si>
  <si>
    <t>Ending Wind Direction</t>
  </si>
  <si>
    <t>Ending Rain</t>
  </si>
  <si>
    <t>Weather Note</t>
  </si>
  <si>
    <t>GlobalID</t>
  </si>
  <si>
    <t>CreationDate</t>
  </si>
  <si>
    <t>Creator</t>
  </si>
  <si>
    <t>EditDate</t>
  </si>
  <si>
    <t>Editor</t>
  </si>
  <si>
    <t>Belted Kingfisher</t>
  </si>
  <si>
    <t>No</t>
  </si>
  <si>
    <t>Air</t>
  </si>
  <si>
    <t>{AD9FD4C1-6380-471C-B2C1-64D257B7F389}</t>
  </si>
  <si>
    <t>clark@ccber.ucsb.edu_ucsb</t>
  </si>
  <si>
    <t>California Towhee</t>
  </si>
  <si>
    <t>Vegetation - Herbaceous</t>
  </si>
  <si>
    <t>{C66DAFDF-4E4C-49CA-B162-9B5F58F512E0}</t>
  </si>
  <si>
    <t>House Finch</t>
  </si>
  <si>
    <t>{B6C84FF8-7BE4-4FC7-AE32-E04CDCC344C0}</t>
  </si>
  <si>
    <t>Orange-crowned Warbler</t>
  </si>
  <si>
    <t>Vegetation - Tree</t>
  </si>
  <si>
    <t>{54A3BE62-4C72-4CAF-A242-A08051189ED4}</t>
  </si>
  <si>
    <t>Oak Titmouse</t>
  </si>
  <si>
    <t>{90D12321-2938-4941-A082-D29FB876CA58}</t>
  </si>
  <si>
    <t>House Wren</t>
  </si>
  <si>
    <t>{87DDD67C-3625-416A-8294-5AF9E931748D}</t>
  </si>
  <si>
    <t>Vegetation - Shrub</t>
  </si>
  <si>
    <t>{92502BAE-6C24-4426-8576-5E164C1326EE}</t>
  </si>
  <si>
    <t>Anna's Hummingbird</t>
  </si>
  <si>
    <t>{96F74803-3780-40D6-9455-E54972059C75}</t>
  </si>
  <si>
    <t>Black Phoebe</t>
  </si>
  <si>
    <t>Fence</t>
  </si>
  <si>
    <t>{1AEE58F9-24CE-49BB-908E-AF94E2704ADB}</t>
  </si>
  <si>
    <t>Song Sparrow</t>
  </si>
  <si>
    <t>{B55B3D04-E48D-435C-831A-11B36F518A12}</t>
  </si>
  <si>
    <t>Western Bluebird</t>
  </si>
  <si>
    <t>{7C427545-A01C-42A8-A577-6DBABCA0F22D}</t>
  </si>
  <si>
    <t>American Crow</t>
  </si>
  <si>
    <t>Habitat Feature - Snag</t>
  </si>
  <si>
    <t>{824A1347-0941-4C76-BCFC-B8DF92C08627}</t>
  </si>
  <si>
    <t>Cooper's Hawk</t>
  </si>
  <si>
    <t>{EE5483B1-85FF-4516-BFA9-139157A7D85C}</t>
  </si>
  <si>
    <t>Say's Phoebe</t>
  </si>
  <si>
    <t>{D9F82262-E6FC-46C0-96D1-29FE004F47FC}</t>
  </si>
  <si>
    <t>{67DD6ABB-7135-47A3-BE8F-9319B0DE05C7}</t>
  </si>
  <si>
    <t>Loggerhead Shrike</t>
  </si>
  <si>
    <t>{0E01C285-B431-44C5-9753-E2AEBB4BA2BE}</t>
  </si>
  <si>
    <t>{F7F87142-749C-4987-8515-A47A9B333C9A}</t>
  </si>
  <si>
    <t>{6C594F7F-9F10-49DC-9576-84112EE194EB}</t>
  </si>
  <si>
    <t>Killdeer</t>
  </si>
  <si>
    <t>{DB6955A7-CCA4-4ED0-A25C-E75B2507B167}</t>
  </si>
  <si>
    <t>{CC1161D6-4E2E-4F00-B884-26D3E38EEFF2}</t>
  </si>
  <si>
    <t>Mourning Dove</t>
  </si>
  <si>
    <t>{D311037B-F57B-4297-AA57-F9F6234718A7}</t>
  </si>
  <si>
    <t>{3F74C2CF-B075-4487-A39E-C303CE2366C0}</t>
  </si>
  <si>
    <t>Yellow Warbler</t>
  </si>
  <si>
    <t>{7B5489F5-3EAB-47C9-99EE-41D65635D6EA}</t>
  </si>
  <si>
    <t>Common Yellowthroat</t>
  </si>
  <si>
    <t>{EDF9EC7D-0FF9-4A73-BEA2-31DFCDB7417B}</t>
  </si>
  <si>
    <t>{13DB80E7-2318-45DF-BD0C-F65E6B9A1FD3}</t>
  </si>
  <si>
    <t>{8C99306B-2A47-4339-A47E-9AB4B41AC327}</t>
  </si>
  <si>
    <t>{791ABD5F-F17E-4FEE-867B-FA9591A36BB4}</t>
  </si>
  <si>
    <t>{CD040A3C-1CE3-414D-9932-4B5C800AA10A}</t>
  </si>
  <si>
    <t>{7F2DB86B-95C2-44E1-A5B7-A9DE46C55E04}</t>
  </si>
  <si>
    <t>Savannah Sparrow</t>
  </si>
  <si>
    <t>{F1663BEC-CA58-4A8A-B93C-0D6AA3431FCA}</t>
  </si>
  <si>
    <t>{DF51478A-6575-4194-B6FB-BE65C98E62B0}</t>
  </si>
  <si>
    <t>Bare ground</t>
  </si>
  <si>
    <t>{D61D2F19-CBDB-4214-B6A6-68485FF43769}</t>
  </si>
  <si>
    <t>{506D88F3-E784-4F28-B626-3AE91EF8E85E}</t>
  </si>
  <si>
    <t>{07ECB6BD-CC26-4901-B5C6-C8DB99F9B36D}</t>
  </si>
  <si>
    <t>Gadwall</t>
  </si>
  <si>
    <t>Water - Wading</t>
  </si>
  <si>
    <t>{5BC0264F-095A-43D4-A65F-829D3C7BC7F9}</t>
  </si>
  <si>
    <t>Rock Pigeon (Feral Pigeon)</t>
  </si>
  <si>
    <t>{939F7EA0-8546-44E1-9452-BE9DEE59DF6B}</t>
  </si>
  <si>
    <t>{637C559A-464F-42FB-9C9F-531408C76EF9}</t>
  </si>
  <si>
    <t>{1CBC39C9-436B-4D9C-9261-402AA84CE4C5}</t>
  </si>
  <si>
    <t>Flyover</t>
  </si>
  <si>
    <t>{41EC4A1F-130C-4F98-BC0E-27F7997D20FF}</t>
  </si>
  <si>
    <t>{41763485-5D89-4A1A-ACD7-36DA470B850F}</t>
  </si>
  <si>
    <t>Blue-gray Gnatcatcher</t>
  </si>
  <si>
    <t>{58957F84-259C-4D56-92F6-ADEEFEE1B5A5}</t>
  </si>
  <si>
    <t>{C667D0C6-DB80-4B6C-AAB7-C32AAADB211C}</t>
  </si>
  <si>
    <t>{B9187DE9-B8D1-497C-AAA0-2BF334ECB7F5}</t>
  </si>
  <si>
    <t>Northern Mockingbird</t>
  </si>
  <si>
    <t>{E09BE7C1-C60C-4C9C-897B-2B88C82FC020}</t>
  </si>
  <si>
    <t>{A287E47A-410E-4EC6-8393-AA8B988760A7}</t>
  </si>
  <si>
    <t>{86C40EE6-EE4C-4899-A0EA-4A2C86D0FCA2}</t>
  </si>
  <si>
    <t>{A13DE7A2-C034-4E5A-838D-A9A25F6CA527}</t>
  </si>
  <si>
    <t>{EFAF51A0-6FF3-4AF0-97D3-CF75F34474E5}</t>
  </si>
  <si>
    <t>{097F43AD-5081-4111-9678-EDC427CF979B}</t>
  </si>
  <si>
    <t>{4E2FC1FD-A10A-44CB-ABDE-07F07EA5CCBB}</t>
  </si>
  <si>
    <t>{26837F97-5712-4CCA-9B1A-70067E6B98D6}</t>
  </si>
  <si>
    <t>{129686CA-A315-4DFA-9F17-78AF2FB0BC39}</t>
  </si>
  <si>
    <t>Cassin's Kingbird</t>
  </si>
  <si>
    <t>{F16ADE13-787D-478D-B618-8DC7A730087E}</t>
  </si>
  <si>
    <t>Lark Sparrow</t>
  </si>
  <si>
    <t>{CCF078F7-C362-4A48-BB78-5B078870DE29}</t>
  </si>
  <si>
    <t>{27B42EC9-F906-41CC-A37E-578759A0AE95}</t>
  </si>
  <si>
    <t>{4914A3CC-F943-4EAC-89E4-F7E195A27944}</t>
  </si>
  <si>
    <t>{3F9D9918-4845-4DB9-9914-BF2F0CF1E00B}</t>
  </si>
  <si>
    <t>Scaly-breasted Munia</t>
  </si>
  <si>
    <t>{F7BE9EFA-4283-4523-A6E8-7D9479C2638B}</t>
  </si>
  <si>
    <t>Lesser Goldfinch</t>
  </si>
  <si>
    <t>{257589A1-90C1-443C-BE2C-58450EC09D45}</t>
  </si>
  <si>
    <t>{886A5DF7-5D29-4E1B-873E-6D2FC9C29C0F}</t>
  </si>
  <si>
    <t>{93002AAE-F244-42D8-930B-EEDEA63ABA5B}</t>
  </si>
  <si>
    <t>{33873597-8FD0-43C9-B880-259CD4470DA7}</t>
  </si>
  <si>
    <t>{6BB0B66B-F13E-4B53-9F86-7455897DEFF8}</t>
  </si>
  <si>
    <t>{07CF5CCA-08AE-479B-B35D-B1FCB797123B}</t>
  </si>
  <si>
    <t>{3D31982D-4AF0-4782-9D3E-E8980161F886}</t>
  </si>
  <si>
    <t>{73107ED4-165B-4F7C-B5F6-DBFAAAEE5E18}</t>
  </si>
  <si>
    <t>{ABE2082C-0190-4DB3-955F-A25B8A034722}</t>
  </si>
  <si>
    <t>{6CC386A3-7227-4677-AA14-91F0068C3C97}</t>
  </si>
  <si>
    <t>{966B99BE-6ABB-4582-8877-D5C54FE0ACD0}</t>
  </si>
  <si>
    <t>Mallard</t>
  </si>
  <si>
    <t>{CFF46941-FFA3-44BB-B8C1-8D53476565BB}</t>
  </si>
  <si>
    <t>Virginia rail!</t>
  </si>
  <si>
    <t>{793B40F0-2B57-46A2-A795-38579893CDE1}</t>
  </si>
  <si>
    <t>Red-necked Phalarope</t>
  </si>
  <si>
    <t>{C69C8050-0650-41EE-95BB-FF0F67EB3821}</t>
  </si>
  <si>
    <t>Black-necked Stilt</t>
  </si>
  <si>
    <t>{B72FD031-0197-4172-8063-35FC2D9700B3}</t>
  </si>
  <si>
    <t>{62160DB5-F647-4020-B6E0-083636E88E74}</t>
  </si>
  <si>
    <t>Western Sandpiper</t>
  </si>
  <si>
    <t>{3848B102-AF27-493F-A057-B4B05176CA95}</t>
  </si>
  <si>
    <t>Least Sandpiper</t>
  </si>
  <si>
    <t>{D8BFDE29-D47E-4BA0-8E3D-BA5AA8388383}</t>
  </si>
  <si>
    <t>{F1C8DF33-E649-4C5F-AA44-F111EF5A812A}</t>
  </si>
  <si>
    <t>Long-billed Dowitcher</t>
  </si>
  <si>
    <t>{CAAC1DD1-5A59-4445-93CC-8618C0796658}</t>
  </si>
  <si>
    <t>{DD18C35D-D49A-4349-B8BA-DBE0A3F9CBDD}</t>
  </si>
  <si>
    <t>{473E49F1-CACC-45CB-AF68-FCF2D852F8FF}</t>
  </si>
  <si>
    <t>Snowy Egret</t>
  </si>
  <si>
    <t>Mud</t>
  </si>
  <si>
    <t>{0B976935-3E9F-474D-85E6-5E5C97027984}</t>
  </si>
  <si>
    <t>ccber_user</t>
  </si>
  <si>
    <t>Great Egret</t>
  </si>
  <si>
    <t>{46F6E445-0C6B-435C-87FD-E0CD2C223900}</t>
  </si>
  <si>
    <t>{41F60334-61CE-45CA-BCF4-FB9B0CE2293D}</t>
  </si>
  <si>
    <t>Water - Floating</t>
  </si>
  <si>
    <t>{9D3F9BDB-4204-4401-B21C-B21910116661}</t>
  </si>
  <si>
    <t>Double-crested Cormorant</t>
  </si>
  <si>
    <t>{C3A3ACBB-B751-491A-8505-1AB5DF68BC75}</t>
  </si>
  <si>
    <t>Greater Yellowlegs</t>
  </si>
  <si>
    <t>{260C9C55-5337-49BA-B107-91E8A15BFD27}</t>
  </si>
  <si>
    <t>Bridge</t>
  </si>
  <si>
    <t>{8A88052F-7522-4A3A-B51A-F232D79E8C8F}</t>
  </si>
  <si>
    <t>Black-crowned Night-Heron</t>
  </si>
  <si>
    <t>{B1F1A4FB-E188-4D43-A809-54C2EF355D5D}</t>
  </si>
  <si>
    <t>Great Blue Heron</t>
  </si>
  <si>
    <t>{8BD052C8-F4B6-45E5-8DFE-81F2AB504596}</t>
  </si>
  <si>
    <t>lesser yellowlegs</t>
  </si>
  <si>
    <t>{82FC570C-6952-48FE-8805-2DDEE95FE439}</t>
  </si>
  <si>
    <t>{E2ED5490-2AB6-49CD-86FB-65BE5ADD135C}</t>
  </si>
  <si>
    <t>{27532127-3762-4305-90C9-AE75A38CF472}</t>
  </si>
  <si>
    <t>{6277209B-AAEF-4E75-A2F2-15F1AEAFDCBF}</t>
  </si>
  <si>
    <t>{25A30890-323D-4030-B0B8-616CDCC0E6A1}</t>
  </si>
  <si>
    <t>{56A4F628-1F2A-435D-8A72-D66470300E49}</t>
  </si>
  <si>
    <t>{0C7B92C5-AAA8-49B1-9FC7-E1090CF60658}</t>
  </si>
  <si>
    <t>{E8E50EA7-11AF-4A7C-AE69-9DE6F5806CC7}</t>
  </si>
  <si>
    <t>Red-tailed Hawk</t>
  </si>
  <si>
    <t>{73DFC63B-FB8F-4341-9B8A-3B325F8E186B}</t>
  </si>
  <si>
    <t>{51CCC727-28FF-4FFE-AFDC-7150FDD8A260}</t>
  </si>
  <si>
    <t>{B5525CAA-749E-41C4-B7BA-DBB8529A9644}</t>
  </si>
  <si>
    <t>{8723699A-16D9-4DBF-B658-5A2AFA8E2B79}</t>
  </si>
  <si>
    <t>{AC969CDF-95FB-4649-8181-0B699D7EE13B}</t>
  </si>
  <si>
    <t>{1F0F6C7F-4C2E-4DC3-818B-F1CF130CE9CD}</t>
  </si>
  <si>
    <t>{5CCB86C5-713E-4EE9-A7AC-C2D5A18ACFD8}</t>
  </si>
  <si>
    <t>{0DA58D78-CD20-40FB-BE88-712AD9ADDF32}</t>
  </si>
  <si>
    <t>Lincoln's Sparrow</t>
  </si>
  <si>
    <t>{9268EF96-9920-43AC-A052-FE572857107E}</t>
  </si>
  <si>
    <t>{499D955C-2260-4AA1-857F-723D0FF9CCB7}</t>
  </si>
  <si>
    <t>{2E67F453-1E30-440A-A579-6D55061BF9F3}</t>
  </si>
  <si>
    <t>Semipalmated Plover</t>
  </si>
  <si>
    <t>{BCBA5386-55F7-4CEB-A564-F883AE8D22CD}</t>
  </si>
  <si>
    <t>{A0B17136-0FE6-4A44-82B4-6177DFA4EFD8}</t>
  </si>
  <si>
    <t>{405F9EEE-7AEF-4636-9688-E5203BC51CF9}</t>
  </si>
  <si>
    <t>{079956CF-1928-4FDF-A641-E775BD2F7F03}</t>
  </si>
  <si>
    <t>{47AE8E83-3BCD-4902-991A-60F7CE7EC2CA}</t>
  </si>
  <si>
    <t>Long-billed Curlew</t>
  </si>
  <si>
    <t>{74992E63-55DA-4C9A-944E-6853311C069D}</t>
  </si>
  <si>
    <t>{AF3948CF-295E-4634-A674-9445DBF2C288}</t>
  </si>
  <si>
    <t>{2EB11749-D7FF-4B4F-A6DE-50E78A5EC717}</t>
  </si>
  <si>
    <t>{0A7ED41C-8EE4-4AEA-B3EF-81FB6D326147}</t>
  </si>
  <si>
    <t>{A3CE14B7-29B4-4FB3-A81B-0EC54976AEC6}</t>
  </si>
  <si>
    <t>Yes</t>
  </si>
  <si>
    <t>{7B0558B4-0581-4501-B981-0236D38AC79A}</t>
  </si>
  <si>
    <t>{F5DDA5E3-AF7A-4F4F-BD09-876751C9970A}</t>
  </si>
  <si>
    <t>{2F059D40-6768-4ADE-9652-B27ACBD33DF8}</t>
  </si>
  <si>
    <t>{F2B32467-558B-4F22-A187-EDBD14CC1A35}</t>
  </si>
  <si>
    <t>Pied-billed Grebe</t>
  </si>
  <si>
    <t>{71AE34B0-769A-421A-BFE5-B9F22033F464}</t>
  </si>
  <si>
    <t>Northern Pintail</t>
  </si>
  <si>
    <t>{C5180A85-EB80-43F1-99CA-FB2F38557B75}</t>
  </si>
  <si>
    <t>{450AAC2C-3FC2-48A1-A553-D9887723A790}</t>
  </si>
  <si>
    <t>{2DB97A4F-1680-41B8-8675-B1D0F9E60225}</t>
  </si>
  <si>
    <t>{76551956-24EB-47A3-ABD5-4A940A99A74C}</t>
  </si>
  <si>
    <t>{EE5E0E89-BA87-4BC1-AD35-674357A07D1A}</t>
  </si>
  <si>
    <t>{F1E547E3-782C-4DEC-83C4-52A5EE1C4914}</t>
  </si>
  <si>
    <t>{2D04E05E-B804-478E-AB99-6AE68F2A0F9B}</t>
  </si>
  <si>
    <t>{7583B278-04B1-4636-A01E-48CAB675B7F9}</t>
  </si>
  <si>
    <t>{A996CC91-86CF-49FC-A269-5126CBDCE0FC}</t>
  </si>
  <si>
    <t>{A0AFE91A-3448-4FE4-B6E8-38A9422E36E5}</t>
  </si>
  <si>
    <t>{04AFC3EB-FF0D-4ADA-BC3B-AA5FC5AB19C6}</t>
  </si>
  <si>
    <t>{815AF899-D69B-4B2C-A486-7D1A6F3E33AF}</t>
  </si>
  <si>
    <t>{66E6238F-7898-4288-AA12-60284C099B9B}</t>
  </si>
  <si>
    <t>{C37EDB86-E98C-4DF3-8B61-899FE93EA5C1}</t>
  </si>
  <si>
    <t>{EF1C8834-6875-4266-A02E-4920A8ED234C}</t>
  </si>
  <si>
    <t>{70BFEEC3-06FF-4823-97A7-78111E9811A7}</t>
  </si>
  <si>
    <t>{229C4492-A2D4-44D0-AA25-097CDDB93B78}</t>
  </si>
  <si>
    <t>{B6B4939C-4470-493E-9477-25159577020F}</t>
  </si>
  <si>
    <t>{F83DF0CD-3CB3-48FB-A5E6-A2DA441FE494}</t>
  </si>
  <si>
    <t>{21D70261-F852-4DA9-B419-DCA8321FA51A}</t>
  </si>
  <si>
    <t>{50E7AF0C-DC23-42B8-A176-9FCFA4F50546}</t>
  </si>
  <si>
    <t>{5A3F6973-8203-4D98-B177-36B4C45A15C8}</t>
  </si>
  <si>
    <t>{7B0D6445-9AE7-49D0-BA18-7914601EF202}</t>
  </si>
  <si>
    <t>{DE049DF3-6923-47F5-8717-EEBE923C0140}</t>
  </si>
  <si>
    <t>Bushtit</t>
  </si>
  <si>
    <t>{F7DB35E3-5068-4D4A-B3D4-18E33E8A4EE9}</t>
  </si>
  <si>
    <t>Eurasian Collared-Dove</t>
  </si>
  <si>
    <t>{FF660411-A12C-45F1-8622-9A4AF0CB9D3D}</t>
  </si>
  <si>
    <t>{963CEF72-965A-4C82-BF91-075E3AB81176}</t>
  </si>
  <si>
    <t>Black-headed Grosbeak</t>
  </si>
  <si>
    <t>{4EF672EA-1624-43EA-9750-24394524C13D}</t>
  </si>
  <si>
    <t>{224DF318-E61E-4483-80C3-81ABE8B06E38}</t>
  </si>
  <si>
    <t>{48369F09-A54D-444E-80D0-D6DA7EFE966B}</t>
  </si>
  <si>
    <t>{58D878F0-25C1-46F2-972C-7CAE805471F3}</t>
  </si>
  <si>
    <t>Willow Flycatcher</t>
  </si>
  <si>
    <t>{86AE791D-2097-4077-98FB-C97783D9EBBC}</t>
  </si>
  <si>
    <t>{C6CA6831-2CE4-4A76-B851-68AB3222A549}</t>
  </si>
  <si>
    <t>{778CEC94-4D39-46A2-A8D9-A840350F7705}</t>
  </si>
  <si>
    <t>{3ADFE8E7-20A8-4D12-A69A-AEA669617E02}</t>
  </si>
  <si>
    <t>{CD88A173-ADF4-43A5-9306-20502975F551}</t>
  </si>
  <si>
    <t>{217A2815-C235-45D2-8C86-224576A148F1}</t>
  </si>
  <si>
    <t>{0EA4252F-3BBC-4546-98D2-B78AC4B2E347}</t>
  </si>
  <si>
    <t>{605046AF-4E29-488D-AAEA-CE0158DFF2D2}</t>
  </si>
  <si>
    <t>{8A3DEEF8-DDF9-422A-8715-279CA53EC6CC}</t>
  </si>
  <si>
    <t>Sora</t>
  </si>
  <si>
    <t>{F114FA80-A956-401B-8C9D-AE50FA67D63E}</t>
  </si>
  <si>
    <t>{D29A660F-2678-457C-90A7-B47859A20268}</t>
  </si>
  <si>
    <t>{D6C2E05B-BD6D-4D0B-8129-E7B9BAC0962E}</t>
  </si>
  <si>
    <t>{CF7E3CD4-B87C-4916-9B4B-B7283855D8FB}</t>
  </si>
  <si>
    <t>{BB916FAF-D59D-4B67-8918-AF38DC18E68F}</t>
  </si>
  <si>
    <t>{B16C8DF1-1526-4FDA-BA93-CA95986CA80F}</t>
  </si>
  <si>
    <t>{7621A62B-D59A-44B7-A283-98BFBE712C8F}</t>
  </si>
  <si>
    <t>{8F6114F4-5CCF-49C5-9A97-2861E8EDEE8A}</t>
  </si>
  <si>
    <t>{DC2B8C8A-4638-4CD7-8067-858BD4979490}</t>
  </si>
  <si>
    <t>spectral sandpiper</t>
  </si>
  <si>
    <t>{59ED535B-0283-4595-A8FF-90BD14D01D7E}</t>
  </si>
  <si>
    <t>{03E8FACF-B840-4A08-946E-74B1CD2DCB0D}</t>
  </si>
  <si>
    <t>{4D61D865-4880-4DA0-8D2C-5160B150A63A}</t>
  </si>
  <si>
    <t>{4D94E947-287A-4EC1-9384-CF8F557D51C5}</t>
  </si>
  <si>
    <t>Western Snowy Plover</t>
  </si>
  <si>
    <t>{0BD1FD35-D729-48D5-99BA-02BF10A787A2}</t>
  </si>
  <si>
    <t>720</t>
  </si>
  <si>
    <t>10</t>
  </si>
  <si>
    <t>beautiful</t>
  </si>
  <si>
    <t>{D70AF291-CEE1-4902-882E-BEA976C7854A}</t>
  </si>
  <si>
    <t>Date</t>
  </si>
  <si>
    <t>Time</t>
  </si>
  <si>
    <t>Virginia Rail</t>
  </si>
  <si>
    <t>Lesser Yellowlegs</t>
  </si>
  <si>
    <t>Pectoral Sandpiper</t>
  </si>
  <si>
    <t>EAST: Lisa, Mark, Marsha, and Sharon Clark</t>
  </si>
  <si>
    <t>WEST: Darwin, Beau, Steven, Conner</t>
  </si>
  <si>
    <t>Row Labels</t>
  </si>
  <si>
    <t>Grand Total</t>
  </si>
  <si>
    <t>Sum of Count</t>
  </si>
  <si>
    <t>Column Labels</t>
  </si>
  <si>
    <t>No Total</t>
  </si>
  <si>
    <t>Yes Total</t>
  </si>
  <si>
    <t>EAST: Lisa, Mark, Marsha, and Sharon Clark;
WEST: Darwin, Beau, Steven, Conner</t>
  </si>
  <si>
    <t>REPEATS</t>
  </si>
  <si>
    <t>TRUE TOTAL</t>
  </si>
  <si>
    <t>General_Type</t>
  </si>
  <si>
    <t>eBird_Group</t>
  </si>
  <si>
    <t>Snowy Plover</t>
  </si>
  <si>
    <t>Kingfishers</t>
  </si>
  <si>
    <t>Omnivores</t>
  </si>
  <si>
    <t>New World Sparrows</t>
  </si>
  <si>
    <t>Seed &amp; Fruit Eaters</t>
  </si>
  <si>
    <t>Finches, Euphonias, and Allies</t>
  </si>
  <si>
    <t>Warblers</t>
  </si>
  <si>
    <t>Wood-Warblers</t>
  </si>
  <si>
    <t>Insectivores</t>
  </si>
  <si>
    <t>Tits, Chickadees, and Titmice</t>
  </si>
  <si>
    <t>Wrens</t>
  </si>
  <si>
    <t>Hummingbirds</t>
  </si>
  <si>
    <t>Tyrant Flycatchers: Pewees, Kingbirds, and Allies</t>
  </si>
  <si>
    <t>Thrushes</t>
  </si>
  <si>
    <t>Jays, Magpies, Crows, and Ravens</t>
  </si>
  <si>
    <t>Raptors</t>
  </si>
  <si>
    <t>Vultures, Hawks, and Allies</t>
  </si>
  <si>
    <t>Shrikes</t>
  </si>
  <si>
    <t>Shorebirds</t>
  </si>
  <si>
    <t>Pigeons and Doves</t>
  </si>
  <si>
    <t>Waterfowl &amp; Friends</t>
  </si>
  <si>
    <t>Waterfowl</t>
  </si>
  <si>
    <t>Gnatcatchers</t>
  </si>
  <si>
    <t>Catbirds, Mockingbirds, and Thrashers</t>
  </si>
  <si>
    <t>Estrildids</t>
  </si>
  <si>
    <t>Rails, Gallinules, and Allies</t>
  </si>
  <si>
    <t>Herons, Egrets, Ibis</t>
  </si>
  <si>
    <t>Herons, Ibis, and Allies</t>
  </si>
  <si>
    <t>Cormorants</t>
  </si>
  <si>
    <t>Cormorants and Anhingas</t>
  </si>
  <si>
    <t>Grebes</t>
  </si>
  <si>
    <t>Penduline-Tits and Long-tailed Tits</t>
  </si>
  <si>
    <t>Cardinals, Grosbeaks, and Allies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</si>
</sst>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:ss"/>
    <numFmt numFmtId="165" formatCode="h:mm;@"/>
  </numFmts>
  <fonts count="3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  <fill>
      <patternFill patternType="solid">
        <fgColor rgb="FFFFFF66"/>
        <bgColor indexed="64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/>
      <diagonal/>
    </border>
  </borders>
  <cellStyleXfs count="2">
    <xf numFmtId="0" fontId="0" fillId="0" borderId="0"/>
    <xf numFmtId="0" fontId="1" fillId="2" borderId="1">
      <alignment horizontal="left"/>
    </xf>
  </cellStyleXfs>
  <cellXfs count="34">
    <xf numFmtId="0" fontId="0" fillId="0" borderId="0" xfId="0"/>
    <xf numFmtId="0" fontId="1" fillId="2" borderId="1" xfId="1" applyAlignment="1">
      <alignment horizontal="left"/>
    </xf>
    <xf numFmtId="164" fontId="0" fillId="0" borderId="0" xfId="0" applyNumberFormat="1"/>
    <xf numFmtId="14" fontId="0" fillId="0" borderId="0" xfId="0" applyNumberFormat="1"/>
    <xf numFmtId="0" fontId="1" fillId="2" borderId="1" xfId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wrapText="1"/>
    </xf>
    <xf numFmtId="0" fontId="0" fillId="0" borderId="0" xfId="0" pivotButton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NumberFormat="1" applyBorder="1" applyAlignment="1">
      <alignment horizontal="center"/>
    </xf>
    <xf numFmtId="0" fontId="0" fillId="0" borderId="5" xfId="0" applyBorder="1" applyAlignment="1">
      <alignment horizontal="left"/>
    </xf>
    <xf numFmtId="0" fontId="0" fillId="0" borderId="6" xfId="0" applyNumberFormat="1" applyBorder="1" applyAlignment="1">
      <alignment horizontal="center"/>
    </xf>
    <xf numFmtId="0" fontId="0" fillId="0" borderId="8" xfId="0" applyBorder="1" applyAlignment="1">
      <alignment horizontal="left"/>
    </xf>
    <xf numFmtId="0" fontId="0" fillId="0" borderId="9" xfId="0" applyNumberFormat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3" xfId="0" applyNumberFormat="1" applyFill="1" applyBorder="1" applyAlignment="1">
      <alignment horizontal="center"/>
    </xf>
    <xf numFmtId="0" fontId="0" fillId="3" borderId="4" xfId="0" applyNumberFormat="1" applyFill="1" applyBorder="1" applyAlignment="1">
      <alignment horizontal="center"/>
    </xf>
    <xf numFmtId="0" fontId="0" fillId="3" borderId="6" xfId="0" applyNumberFormat="1" applyFill="1" applyBorder="1" applyAlignment="1">
      <alignment horizontal="center"/>
    </xf>
    <xf numFmtId="0" fontId="0" fillId="3" borderId="7" xfId="0" applyNumberFormat="1" applyFill="1" applyBorder="1" applyAlignment="1">
      <alignment horizontal="center"/>
    </xf>
    <xf numFmtId="0" fontId="0" fillId="3" borderId="9" xfId="0" applyNumberFormat="1" applyFill="1" applyBorder="1" applyAlignment="1">
      <alignment horizontal="center"/>
    </xf>
    <xf numFmtId="0" fontId="0" fillId="3" borderId="10" xfId="0" applyNumberFormat="1" applyFill="1" applyBorder="1" applyAlignment="1">
      <alignment horizontal="center"/>
    </xf>
    <xf numFmtId="0" fontId="0" fillId="3" borderId="0" xfId="0" applyNumberFormat="1" applyFill="1" applyAlignment="1">
      <alignment horizontal="center"/>
    </xf>
    <xf numFmtId="0" fontId="0" fillId="4" borderId="0" xfId="0" applyFill="1" applyAlignment="1">
      <alignment horizontal="center"/>
    </xf>
    <xf numFmtId="0" fontId="0" fillId="4" borderId="3" xfId="0" applyNumberFormat="1" applyFill="1" applyBorder="1" applyAlignment="1">
      <alignment horizontal="center"/>
    </xf>
    <xf numFmtId="0" fontId="0" fillId="4" borderId="6" xfId="0" applyNumberFormat="1" applyFill="1" applyBorder="1" applyAlignment="1">
      <alignment horizontal="center"/>
    </xf>
    <xf numFmtId="0" fontId="0" fillId="4" borderId="9" xfId="0" applyNumberFormat="1" applyFill="1" applyBorder="1" applyAlignment="1">
      <alignment horizontal="center"/>
    </xf>
    <xf numFmtId="0" fontId="0" fillId="4" borderId="0" xfId="0" applyNumberForma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 wrapText="1"/>
    </xf>
  </cellXfs>
  <cellStyles count="2">
    <cellStyle name="Normal" xfId="0" builtinId="0"/>
    <cellStyle name="Style0" xfId="1" xr:uid="{00000000-0005-0000-0000-000001000000}"/>
  </cellStyles>
  <dxfs count="19"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border>
        <vertical style="thin">
          <color auto="1"/>
        </vertical>
        <horizontal style="hair">
          <color auto="1"/>
        </horizontal>
      </border>
    </dxf>
    <dxf>
      <border>
        <vertical style="thin">
          <color auto="1"/>
        </vertical>
        <horizontal style="hair">
          <color auto="1"/>
        </horizontal>
      </border>
    </dxf>
    <dxf>
      <border>
        <vertical style="thin">
          <color auto="1"/>
        </vertical>
        <horizontal style="hair">
          <color auto="1"/>
        </horizontal>
      </border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</dxfs>
  <tableStyles count="0" defaultTableStyle="TableStyleMedium9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lark" refreshedDate="43720.573417824075" createdVersion="6" refreshedVersion="6" minRefreshableVersion="3" recordCount="178" xr:uid="{00000000-000A-0000-FFFF-FFFF00000000}">
  <cacheSource type="worksheet">
    <worksheetSource ref="D1:N179" sheet="NCOS_Bird_Survey_Data_20190912"/>
  </cacheSource>
  <cacheFields count="9">
    <cacheField name="Species" numFmtId="0">
      <sharedItems count="54">
        <s v="Belted Kingfisher"/>
        <s v="California Towhee"/>
        <s v="House Finch"/>
        <s v="Orange-crowned Warbler"/>
        <s v="Oak Titmouse"/>
        <s v="House Wren"/>
        <s v="Anna's Hummingbird"/>
        <s v="Black Phoebe"/>
        <s v="Song Sparrow"/>
        <s v="Western Bluebird"/>
        <s v="American Crow"/>
        <s v="Cooper's Hawk"/>
        <s v="Say's Phoebe"/>
        <s v="Loggerhead Shrike"/>
        <s v="Killdeer"/>
        <s v="Mourning Dove"/>
        <s v="Yellow Warbler"/>
        <s v="Common Yellowthroat"/>
        <s v="Savannah Sparrow"/>
        <s v="Gadwall"/>
        <s v="Rock Pigeon (Feral Pigeon)"/>
        <s v="Blue-gray Gnatcatcher"/>
        <s v="Northern Mockingbird"/>
        <s v="Cassin's Kingbird"/>
        <s v="Lark Sparrow"/>
        <s v="Scaly-breasted Munia"/>
        <s v="Lesser Goldfinch"/>
        <s v="Mallard"/>
        <s v="Virginia Rail"/>
        <s v="Red-necked Phalarope"/>
        <s v="Black-necked Stilt"/>
        <s v="Western Sandpiper"/>
        <s v="Least Sandpiper"/>
        <s v="Long-billed Dowitcher"/>
        <s v="Snowy Egret"/>
        <s v="Great Egret"/>
        <s v="Double-crested Cormorant"/>
        <s v="Greater Yellowlegs"/>
        <s v="Black-crowned Night-Heron"/>
        <s v="Great Blue Heron"/>
        <s v="Lesser Yellowlegs"/>
        <s v="Red-tailed Hawk"/>
        <s v="Lincoln's Sparrow"/>
        <s v="Semipalmated Plover"/>
        <s v="Long-billed Curlew"/>
        <s v="Pied-billed Grebe"/>
        <s v="Northern Pintail"/>
        <s v="Bushtit"/>
        <s v="Eurasian Collared-Dove"/>
        <s v="Black-headed Grosbeak"/>
        <s v="Willow Flycatcher"/>
        <s v="Sora"/>
        <s v="Pectoral Sandpiper"/>
        <s v="Western Snowy Plover"/>
      </sharedItems>
    </cacheField>
    <cacheField name="Count" numFmtId="0">
      <sharedItems containsSemiMixedTypes="0" containsString="0" containsNumber="1" containsInteger="1" minValue="1" maxValue="90"/>
    </cacheField>
    <cacheField name="Repeat Observation" numFmtId="0">
      <sharedItems count="2">
        <s v="No"/>
        <s v="Yes"/>
      </sharedItems>
    </cacheField>
    <cacheField name="Substrate" numFmtId="0">
      <sharedItems containsBlank="1"/>
    </cacheField>
    <cacheField name="Sex" numFmtId="0">
      <sharedItems containsNonDate="0" containsString="0" containsBlank="1"/>
    </cacheField>
    <cacheField name="Breeding Activity" numFmtId="0">
      <sharedItems containsNonDate="0" containsString="0" containsBlank="1"/>
    </cacheField>
    <cacheField name="Observation Notes" numFmtId="0">
      <sharedItems containsBlank="1"/>
    </cacheField>
    <cacheField name="Water Level" numFmtId="0">
      <sharedItems containsString="0" containsBlank="1" containsNumber="1" minValue="5.5" maxValue="5.5"/>
    </cacheField>
    <cacheField name="Observers" numFmtId="0">
      <sharedItems count="2">
        <s v="WEST: Darwin, Beau, Steven, Conner"/>
        <s v="EAST: Lisa, Mark, Marsha, and Sharon Clark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78">
  <r>
    <x v="0"/>
    <n v="1"/>
    <x v="0"/>
    <s v="Air"/>
    <m/>
    <m/>
    <m/>
    <m/>
    <x v="0"/>
  </r>
  <r>
    <x v="1"/>
    <n v="1"/>
    <x v="0"/>
    <s v="Vegetation - Herbaceous"/>
    <m/>
    <m/>
    <m/>
    <m/>
    <x v="0"/>
  </r>
  <r>
    <x v="2"/>
    <n v="1"/>
    <x v="0"/>
    <m/>
    <m/>
    <m/>
    <m/>
    <m/>
    <x v="0"/>
  </r>
  <r>
    <x v="3"/>
    <n v="1"/>
    <x v="0"/>
    <s v="Vegetation - Tree"/>
    <m/>
    <m/>
    <m/>
    <m/>
    <x v="0"/>
  </r>
  <r>
    <x v="4"/>
    <n v="1"/>
    <x v="0"/>
    <s v="Vegetation - Tree"/>
    <m/>
    <m/>
    <m/>
    <m/>
    <x v="0"/>
  </r>
  <r>
    <x v="5"/>
    <n v="1"/>
    <x v="0"/>
    <m/>
    <m/>
    <m/>
    <m/>
    <m/>
    <x v="0"/>
  </r>
  <r>
    <x v="1"/>
    <n v="2"/>
    <x v="0"/>
    <s v="Vegetation - Shrub"/>
    <m/>
    <m/>
    <m/>
    <m/>
    <x v="0"/>
  </r>
  <r>
    <x v="6"/>
    <n v="1"/>
    <x v="0"/>
    <s v="Vegetation - Tree"/>
    <m/>
    <m/>
    <m/>
    <m/>
    <x v="0"/>
  </r>
  <r>
    <x v="7"/>
    <n v="1"/>
    <x v="0"/>
    <s v="Fence"/>
    <m/>
    <m/>
    <m/>
    <m/>
    <x v="0"/>
  </r>
  <r>
    <x v="8"/>
    <n v="1"/>
    <x v="0"/>
    <s v="Vegetation - Herbaceous"/>
    <m/>
    <m/>
    <m/>
    <m/>
    <x v="0"/>
  </r>
  <r>
    <x v="9"/>
    <n v="1"/>
    <x v="0"/>
    <s v="Vegetation - Herbaceous"/>
    <m/>
    <m/>
    <m/>
    <m/>
    <x v="0"/>
  </r>
  <r>
    <x v="10"/>
    <n v="1"/>
    <x v="0"/>
    <s v="Habitat Feature - Snag"/>
    <m/>
    <m/>
    <m/>
    <m/>
    <x v="0"/>
  </r>
  <r>
    <x v="11"/>
    <n v="1"/>
    <x v="0"/>
    <s v="Fence"/>
    <m/>
    <m/>
    <m/>
    <m/>
    <x v="0"/>
  </r>
  <r>
    <x v="12"/>
    <n v="1"/>
    <x v="0"/>
    <s v="Habitat Feature - Snag"/>
    <m/>
    <m/>
    <m/>
    <m/>
    <x v="0"/>
  </r>
  <r>
    <x v="12"/>
    <n v="1"/>
    <x v="0"/>
    <s v="Habitat Feature - Snag"/>
    <m/>
    <m/>
    <m/>
    <m/>
    <x v="0"/>
  </r>
  <r>
    <x v="13"/>
    <n v="1"/>
    <x v="0"/>
    <s v="Vegetation - Tree"/>
    <m/>
    <m/>
    <m/>
    <m/>
    <x v="0"/>
  </r>
  <r>
    <x v="13"/>
    <n v="1"/>
    <x v="0"/>
    <s v="Vegetation - Tree"/>
    <m/>
    <m/>
    <m/>
    <m/>
    <x v="0"/>
  </r>
  <r>
    <x v="13"/>
    <n v="1"/>
    <x v="0"/>
    <m/>
    <m/>
    <m/>
    <m/>
    <m/>
    <x v="0"/>
  </r>
  <r>
    <x v="14"/>
    <n v="56"/>
    <x v="0"/>
    <s v="Air"/>
    <m/>
    <m/>
    <m/>
    <m/>
    <x v="0"/>
  </r>
  <r>
    <x v="7"/>
    <n v="1"/>
    <x v="0"/>
    <s v="Vegetation - Herbaceous"/>
    <m/>
    <m/>
    <m/>
    <m/>
    <x v="0"/>
  </r>
  <r>
    <x v="15"/>
    <n v="2"/>
    <x v="0"/>
    <s v="Vegetation - Herbaceous"/>
    <m/>
    <m/>
    <m/>
    <m/>
    <x v="0"/>
  </r>
  <r>
    <x v="15"/>
    <n v="1"/>
    <x v="0"/>
    <s v="Vegetation - Tree"/>
    <m/>
    <m/>
    <m/>
    <m/>
    <x v="0"/>
  </r>
  <r>
    <x v="16"/>
    <n v="2"/>
    <x v="0"/>
    <s v="Vegetation - Tree"/>
    <m/>
    <m/>
    <m/>
    <m/>
    <x v="0"/>
  </r>
  <r>
    <x v="17"/>
    <n v="1"/>
    <x v="0"/>
    <s v="Vegetation - Tree"/>
    <m/>
    <m/>
    <m/>
    <m/>
    <x v="0"/>
  </r>
  <r>
    <x v="17"/>
    <n v="1"/>
    <x v="0"/>
    <s v="Vegetation - Tree"/>
    <m/>
    <m/>
    <m/>
    <m/>
    <x v="0"/>
  </r>
  <r>
    <x v="6"/>
    <n v="1"/>
    <x v="0"/>
    <s v="Vegetation - Tree"/>
    <m/>
    <m/>
    <m/>
    <m/>
    <x v="0"/>
  </r>
  <r>
    <x v="17"/>
    <n v="1"/>
    <x v="0"/>
    <s v="Vegetation - Herbaceous"/>
    <m/>
    <m/>
    <m/>
    <m/>
    <x v="0"/>
  </r>
  <r>
    <x v="7"/>
    <n v="1"/>
    <x v="0"/>
    <s v="Vegetation - Tree"/>
    <m/>
    <m/>
    <m/>
    <m/>
    <x v="0"/>
  </r>
  <r>
    <x v="7"/>
    <n v="1"/>
    <x v="0"/>
    <s v="Habitat Feature - Snag"/>
    <m/>
    <m/>
    <m/>
    <m/>
    <x v="0"/>
  </r>
  <r>
    <x v="18"/>
    <n v="7"/>
    <x v="0"/>
    <s v="Vegetation - Herbaceous"/>
    <m/>
    <m/>
    <m/>
    <m/>
    <x v="0"/>
  </r>
  <r>
    <x v="12"/>
    <n v="1"/>
    <x v="0"/>
    <s v="Habitat Feature - Snag"/>
    <m/>
    <m/>
    <m/>
    <m/>
    <x v="0"/>
  </r>
  <r>
    <x v="15"/>
    <n v="1"/>
    <x v="0"/>
    <s v="Bare ground"/>
    <m/>
    <m/>
    <m/>
    <m/>
    <x v="0"/>
  </r>
  <r>
    <x v="6"/>
    <n v="3"/>
    <x v="0"/>
    <s v="Vegetation - Tree"/>
    <m/>
    <m/>
    <m/>
    <m/>
    <x v="0"/>
  </r>
  <r>
    <x v="5"/>
    <n v="1"/>
    <x v="0"/>
    <s v="Vegetation - Tree"/>
    <m/>
    <m/>
    <m/>
    <m/>
    <x v="0"/>
  </r>
  <r>
    <x v="19"/>
    <n v="2"/>
    <x v="0"/>
    <s v="Water - Wading"/>
    <m/>
    <m/>
    <m/>
    <m/>
    <x v="0"/>
  </r>
  <r>
    <x v="20"/>
    <n v="8"/>
    <x v="0"/>
    <m/>
    <m/>
    <m/>
    <m/>
    <m/>
    <x v="0"/>
  </r>
  <r>
    <x v="3"/>
    <n v="2"/>
    <x v="0"/>
    <m/>
    <m/>
    <m/>
    <m/>
    <m/>
    <x v="0"/>
  </r>
  <r>
    <x v="17"/>
    <n v="1"/>
    <x v="0"/>
    <m/>
    <m/>
    <m/>
    <m/>
    <m/>
    <x v="0"/>
  </r>
  <r>
    <x v="10"/>
    <n v="1"/>
    <x v="0"/>
    <s v="Flyover"/>
    <m/>
    <m/>
    <m/>
    <m/>
    <x v="0"/>
  </r>
  <r>
    <x v="12"/>
    <n v="1"/>
    <x v="0"/>
    <s v="Flyover"/>
    <m/>
    <m/>
    <m/>
    <m/>
    <x v="0"/>
  </r>
  <r>
    <x v="21"/>
    <n v="1"/>
    <x v="0"/>
    <s v="Vegetation - Herbaceous"/>
    <m/>
    <m/>
    <m/>
    <m/>
    <x v="0"/>
  </r>
  <r>
    <x v="16"/>
    <n v="1"/>
    <x v="0"/>
    <s v="Vegetation - Tree"/>
    <m/>
    <m/>
    <m/>
    <m/>
    <x v="0"/>
  </r>
  <r>
    <x v="3"/>
    <n v="2"/>
    <x v="0"/>
    <s v="Vegetation - Tree"/>
    <m/>
    <m/>
    <m/>
    <m/>
    <x v="0"/>
  </r>
  <r>
    <x v="22"/>
    <n v="2"/>
    <x v="0"/>
    <s v="Vegetation - Tree"/>
    <m/>
    <m/>
    <m/>
    <m/>
    <x v="0"/>
  </r>
  <r>
    <x v="7"/>
    <n v="1"/>
    <x v="0"/>
    <m/>
    <m/>
    <m/>
    <m/>
    <m/>
    <x v="0"/>
  </r>
  <r>
    <x v="12"/>
    <n v="1"/>
    <x v="0"/>
    <s v="Vegetation - Tree"/>
    <m/>
    <m/>
    <m/>
    <m/>
    <x v="0"/>
  </r>
  <r>
    <x v="21"/>
    <n v="1"/>
    <x v="0"/>
    <s v="Vegetation - Tree"/>
    <m/>
    <m/>
    <m/>
    <m/>
    <x v="0"/>
  </r>
  <r>
    <x v="8"/>
    <n v="1"/>
    <x v="0"/>
    <m/>
    <m/>
    <m/>
    <m/>
    <m/>
    <x v="0"/>
  </r>
  <r>
    <x v="22"/>
    <n v="1"/>
    <x v="0"/>
    <s v="Vegetation - Shrub"/>
    <m/>
    <m/>
    <m/>
    <m/>
    <x v="0"/>
  </r>
  <r>
    <x v="17"/>
    <n v="1"/>
    <x v="0"/>
    <s v="Vegetation - Shrub"/>
    <m/>
    <m/>
    <m/>
    <m/>
    <x v="0"/>
  </r>
  <r>
    <x v="3"/>
    <n v="1"/>
    <x v="0"/>
    <m/>
    <m/>
    <m/>
    <m/>
    <m/>
    <x v="0"/>
  </r>
  <r>
    <x v="8"/>
    <n v="1"/>
    <x v="0"/>
    <s v="Vegetation - Shrub"/>
    <m/>
    <m/>
    <m/>
    <m/>
    <x v="0"/>
  </r>
  <r>
    <x v="23"/>
    <n v="2"/>
    <x v="0"/>
    <m/>
    <m/>
    <m/>
    <m/>
    <m/>
    <x v="0"/>
  </r>
  <r>
    <x v="24"/>
    <n v="2"/>
    <x v="0"/>
    <s v="Vegetation - Tree"/>
    <m/>
    <m/>
    <m/>
    <m/>
    <x v="0"/>
  </r>
  <r>
    <x v="9"/>
    <n v="2"/>
    <x v="0"/>
    <s v="Vegetation - Tree"/>
    <m/>
    <m/>
    <m/>
    <m/>
    <x v="0"/>
  </r>
  <r>
    <x v="9"/>
    <n v="1"/>
    <x v="0"/>
    <s v="Vegetation - Herbaceous"/>
    <m/>
    <m/>
    <m/>
    <m/>
    <x v="0"/>
  </r>
  <r>
    <x v="1"/>
    <n v="3"/>
    <x v="0"/>
    <s v="Bare ground"/>
    <m/>
    <m/>
    <m/>
    <m/>
    <x v="0"/>
  </r>
  <r>
    <x v="25"/>
    <n v="7"/>
    <x v="0"/>
    <m/>
    <m/>
    <m/>
    <m/>
    <m/>
    <x v="0"/>
  </r>
  <r>
    <x v="26"/>
    <n v="1"/>
    <x v="0"/>
    <m/>
    <m/>
    <m/>
    <m/>
    <m/>
    <x v="0"/>
  </r>
  <r>
    <x v="21"/>
    <n v="1"/>
    <x v="0"/>
    <s v="Vegetation - Shrub"/>
    <m/>
    <m/>
    <m/>
    <m/>
    <x v="0"/>
  </r>
  <r>
    <x v="10"/>
    <n v="3"/>
    <x v="0"/>
    <s v="Flyover"/>
    <m/>
    <m/>
    <m/>
    <m/>
    <x v="0"/>
  </r>
  <r>
    <x v="21"/>
    <n v="4"/>
    <x v="0"/>
    <s v="Vegetation - Herbaceous"/>
    <m/>
    <m/>
    <m/>
    <m/>
    <x v="0"/>
  </r>
  <r>
    <x v="17"/>
    <n v="2"/>
    <x v="0"/>
    <m/>
    <m/>
    <m/>
    <m/>
    <m/>
    <x v="0"/>
  </r>
  <r>
    <x v="2"/>
    <n v="1"/>
    <x v="0"/>
    <s v="Vegetation - Shrub"/>
    <m/>
    <m/>
    <m/>
    <m/>
    <x v="0"/>
  </r>
  <r>
    <x v="5"/>
    <n v="1"/>
    <x v="0"/>
    <s v="Vegetation - Shrub"/>
    <m/>
    <m/>
    <m/>
    <m/>
    <x v="0"/>
  </r>
  <r>
    <x v="23"/>
    <n v="2"/>
    <x v="0"/>
    <s v="Vegetation - Herbaceous"/>
    <m/>
    <m/>
    <m/>
    <m/>
    <x v="0"/>
  </r>
  <r>
    <x v="7"/>
    <n v="2"/>
    <x v="0"/>
    <s v="Fence"/>
    <m/>
    <m/>
    <m/>
    <m/>
    <x v="0"/>
  </r>
  <r>
    <x v="8"/>
    <n v="1"/>
    <x v="0"/>
    <s v="Vegetation - Herbaceous"/>
    <m/>
    <m/>
    <m/>
    <m/>
    <x v="0"/>
  </r>
  <r>
    <x v="8"/>
    <n v="1"/>
    <x v="0"/>
    <s v="Vegetation - Shrub"/>
    <m/>
    <m/>
    <m/>
    <m/>
    <x v="0"/>
  </r>
  <r>
    <x v="27"/>
    <n v="30"/>
    <x v="0"/>
    <s v="Water - Wading"/>
    <m/>
    <m/>
    <m/>
    <m/>
    <x v="0"/>
  </r>
  <r>
    <x v="28"/>
    <n v="1"/>
    <x v="0"/>
    <s v="Water - Wading"/>
    <m/>
    <m/>
    <s v="Virginia rail!"/>
    <m/>
    <x v="0"/>
  </r>
  <r>
    <x v="29"/>
    <n v="6"/>
    <x v="0"/>
    <s v="Water - Wading"/>
    <m/>
    <m/>
    <m/>
    <m/>
    <x v="0"/>
  </r>
  <r>
    <x v="30"/>
    <n v="2"/>
    <x v="0"/>
    <s v="Water - Wading"/>
    <m/>
    <m/>
    <m/>
    <m/>
    <x v="0"/>
  </r>
  <r>
    <x v="21"/>
    <n v="1"/>
    <x v="0"/>
    <m/>
    <m/>
    <m/>
    <m/>
    <m/>
    <x v="0"/>
  </r>
  <r>
    <x v="31"/>
    <n v="7"/>
    <x v="0"/>
    <s v="Water - Wading"/>
    <m/>
    <m/>
    <m/>
    <m/>
    <x v="0"/>
  </r>
  <r>
    <x v="32"/>
    <n v="1"/>
    <x v="0"/>
    <s v="Water - Wading"/>
    <m/>
    <m/>
    <m/>
    <m/>
    <x v="0"/>
  </r>
  <r>
    <x v="14"/>
    <n v="1"/>
    <x v="0"/>
    <s v="Water - Wading"/>
    <m/>
    <m/>
    <m/>
    <m/>
    <x v="0"/>
  </r>
  <r>
    <x v="33"/>
    <n v="1"/>
    <x v="0"/>
    <s v="Water - Wading"/>
    <m/>
    <m/>
    <m/>
    <m/>
    <x v="0"/>
  </r>
  <r>
    <x v="8"/>
    <n v="5"/>
    <x v="0"/>
    <m/>
    <m/>
    <m/>
    <m/>
    <m/>
    <x v="0"/>
  </r>
  <r>
    <x v="8"/>
    <n v="1"/>
    <x v="0"/>
    <m/>
    <m/>
    <m/>
    <m/>
    <m/>
    <x v="0"/>
  </r>
  <r>
    <x v="34"/>
    <n v="80"/>
    <x v="0"/>
    <s v="Mud"/>
    <m/>
    <m/>
    <m/>
    <m/>
    <x v="1"/>
  </r>
  <r>
    <x v="35"/>
    <n v="38"/>
    <x v="0"/>
    <s v="Mud"/>
    <m/>
    <m/>
    <m/>
    <m/>
    <x v="1"/>
  </r>
  <r>
    <x v="30"/>
    <n v="1"/>
    <x v="0"/>
    <s v="Mud"/>
    <m/>
    <m/>
    <m/>
    <m/>
    <x v="1"/>
  </r>
  <r>
    <x v="27"/>
    <n v="28"/>
    <x v="0"/>
    <s v="Water - Floating"/>
    <m/>
    <m/>
    <m/>
    <m/>
    <x v="1"/>
  </r>
  <r>
    <x v="36"/>
    <n v="11"/>
    <x v="0"/>
    <s v="Water - Floating"/>
    <m/>
    <m/>
    <m/>
    <m/>
    <x v="1"/>
  </r>
  <r>
    <x v="37"/>
    <n v="1"/>
    <x v="0"/>
    <s v="Mud"/>
    <m/>
    <m/>
    <m/>
    <m/>
    <x v="1"/>
  </r>
  <r>
    <x v="7"/>
    <n v="1"/>
    <x v="0"/>
    <s v="Bridge"/>
    <m/>
    <m/>
    <m/>
    <m/>
    <x v="1"/>
  </r>
  <r>
    <x v="38"/>
    <n v="1"/>
    <x v="0"/>
    <s v="Mud"/>
    <m/>
    <m/>
    <m/>
    <m/>
    <x v="1"/>
  </r>
  <r>
    <x v="39"/>
    <n v="11"/>
    <x v="0"/>
    <s v="Mud"/>
    <m/>
    <m/>
    <m/>
    <m/>
    <x v="1"/>
  </r>
  <r>
    <x v="40"/>
    <n v="2"/>
    <x v="0"/>
    <s v="Mud"/>
    <m/>
    <m/>
    <s v="lesser yellowlegs"/>
    <m/>
    <x v="1"/>
  </r>
  <r>
    <x v="5"/>
    <n v="1"/>
    <x v="0"/>
    <s v="Vegetation - Shrub"/>
    <m/>
    <m/>
    <m/>
    <m/>
    <x v="1"/>
  </r>
  <r>
    <x v="29"/>
    <n v="2"/>
    <x v="0"/>
    <s v="Water - Wading"/>
    <m/>
    <m/>
    <m/>
    <m/>
    <x v="1"/>
  </r>
  <r>
    <x v="30"/>
    <n v="1"/>
    <x v="0"/>
    <s v="Water - Wading"/>
    <m/>
    <m/>
    <m/>
    <m/>
    <x v="1"/>
  </r>
  <r>
    <x v="37"/>
    <n v="1"/>
    <x v="0"/>
    <s v="Mud"/>
    <m/>
    <m/>
    <m/>
    <m/>
    <x v="1"/>
  </r>
  <r>
    <x v="8"/>
    <n v="1"/>
    <x v="0"/>
    <s v="Vegetation - Shrub"/>
    <m/>
    <m/>
    <m/>
    <m/>
    <x v="1"/>
  </r>
  <r>
    <x v="30"/>
    <n v="2"/>
    <x v="0"/>
    <s v="Mud"/>
    <m/>
    <m/>
    <m/>
    <m/>
    <x v="1"/>
  </r>
  <r>
    <x v="10"/>
    <n v="9"/>
    <x v="0"/>
    <s v="Vegetation - Tree"/>
    <m/>
    <m/>
    <m/>
    <m/>
    <x v="1"/>
  </r>
  <r>
    <x v="41"/>
    <n v="2"/>
    <x v="0"/>
    <s v="Vegetation - Tree"/>
    <m/>
    <m/>
    <m/>
    <m/>
    <x v="1"/>
  </r>
  <r>
    <x v="1"/>
    <n v="2"/>
    <x v="0"/>
    <s v="Bare ground"/>
    <m/>
    <m/>
    <m/>
    <m/>
    <x v="1"/>
  </r>
  <r>
    <x v="31"/>
    <n v="2"/>
    <x v="0"/>
    <s v="Water - Wading"/>
    <m/>
    <m/>
    <m/>
    <m/>
    <x v="1"/>
  </r>
  <r>
    <x v="7"/>
    <n v="1"/>
    <x v="0"/>
    <s v="Vegetation - Shrub"/>
    <m/>
    <m/>
    <m/>
    <m/>
    <x v="1"/>
  </r>
  <r>
    <x v="8"/>
    <n v="2"/>
    <x v="0"/>
    <s v="Vegetation - Shrub"/>
    <m/>
    <m/>
    <m/>
    <m/>
    <x v="1"/>
  </r>
  <r>
    <x v="1"/>
    <n v="1"/>
    <x v="0"/>
    <s v="Vegetation - Tree"/>
    <m/>
    <m/>
    <m/>
    <m/>
    <x v="1"/>
  </r>
  <r>
    <x v="8"/>
    <n v="1"/>
    <x v="0"/>
    <s v="Fence"/>
    <m/>
    <m/>
    <m/>
    <m/>
    <x v="1"/>
  </r>
  <r>
    <x v="17"/>
    <n v="2"/>
    <x v="0"/>
    <s v="Vegetation - Shrub"/>
    <m/>
    <m/>
    <m/>
    <m/>
    <x v="1"/>
  </r>
  <r>
    <x v="42"/>
    <n v="1"/>
    <x v="0"/>
    <s v="Vegetation - Shrub"/>
    <m/>
    <m/>
    <m/>
    <m/>
    <x v="1"/>
  </r>
  <r>
    <x v="5"/>
    <n v="1"/>
    <x v="0"/>
    <s v="Vegetation - Shrub"/>
    <m/>
    <m/>
    <m/>
    <m/>
    <x v="1"/>
  </r>
  <r>
    <x v="8"/>
    <n v="2"/>
    <x v="0"/>
    <s v="Vegetation - Shrub"/>
    <m/>
    <m/>
    <m/>
    <m/>
    <x v="1"/>
  </r>
  <r>
    <x v="43"/>
    <n v="82"/>
    <x v="0"/>
    <s v="Mud"/>
    <m/>
    <m/>
    <m/>
    <m/>
    <x v="1"/>
  </r>
  <r>
    <x v="14"/>
    <n v="2"/>
    <x v="0"/>
    <s v="Mud"/>
    <m/>
    <m/>
    <m/>
    <m/>
    <x v="1"/>
  </r>
  <r>
    <x v="33"/>
    <n v="2"/>
    <x v="0"/>
    <s v="Mud"/>
    <m/>
    <m/>
    <m/>
    <m/>
    <x v="1"/>
  </r>
  <r>
    <x v="31"/>
    <n v="4"/>
    <x v="0"/>
    <s v="Water - Wading"/>
    <m/>
    <m/>
    <m/>
    <m/>
    <x v="1"/>
  </r>
  <r>
    <x v="27"/>
    <n v="47"/>
    <x v="0"/>
    <s v="Water - Floating"/>
    <m/>
    <m/>
    <m/>
    <m/>
    <x v="1"/>
  </r>
  <r>
    <x v="44"/>
    <n v="2"/>
    <x v="0"/>
    <s v="Mud"/>
    <m/>
    <m/>
    <m/>
    <m/>
    <x v="1"/>
  </r>
  <r>
    <x v="14"/>
    <n v="29"/>
    <x v="0"/>
    <s v="Air"/>
    <m/>
    <m/>
    <m/>
    <m/>
    <x v="1"/>
  </r>
  <r>
    <x v="19"/>
    <n v="3"/>
    <x v="0"/>
    <s v="Water - Wading"/>
    <m/>
    <m/>
    <m/>
    <m/>
    <x v="1"/>
  </r>
  <r>
    <x v="32"/>
    <n v="1"/>
    <x v="0"/>
    <s v="Mud"/>
    <m/>
    <m/>
    <m/>
    <m/>
    <x v="1"/>
  </r>
  <r>
    <x v="29"/>
    <n v="8"/>
    <x v="0"/>
    <s v="Water - Wading"/>
    <m/>
    <m/>
    <m/>
    <m/>
    <x v="1"/>
  </r>
  <r>
    <x v="14"/>
    <n v="40"/>
    <x v="1"/>
    <s v="Mud"/>
    <m/>
    <m/>
    <m/>
    <m/>
    <x v="1"/>
  </r>
  <r>
    <x v="31"/>
    <n v="5"/>
    <x v="0"/>
    <s v="Mud"/>
    <m/>
    <m/>
    <m/>
    <m/>
    <x v="1"/>
  </r>
  <r>
    <x v="30"/>
    <n v="2"/>
    <x v="0"/>
    <s v="Mud"/>
    <m/>
    <m/>
    <m/>
    <m/>
    <x v="1"/>
  </r>
  <r>
    <x v="8"/>
    <n v="1"/>
    <x v="0"/>
    <s v="Vegetation - Shrub"/>
    <m/>
    <m/>
    <m/>
    <m/>
    <x v="1"/>
  </r>
  <r>
    <x v="45"/>
    <n v="2"/>
    <x v="0"/>
    <s v="Water - Floating"/>
    <m/>
    <m/>
    <m/>
    <m/>
    <x v="1"/>
  </r>
  <r>
    <x v="46"/>
    <n v="1"/>
    <x v="0"/>
    <s v="Water - Floating"/>
    <m/>
    <m/>
    <m/>
    <m/>
    <x v="1"/>
  </r>
  <r>
    <x v="7"/>
    <n v="1"/>
    <x v="0"/>
    <s v="Vegetation - Tree"/>
    <m/>
    <m/>
    <m/>
    <m/>
    <x v="1"/>
  </r>
  <r>
    <x v="2"/>
    <n v="2"/>
    <x v="0"/>
    <s v="Vegetation - Tree"/>
    <m/>
    <m/>
    <m/>
    <m/>
    <x v="1"/>
  </r>
  <r>
    <x v="22"/>
    <n v="1"/>
    <x v="0"/>
    <s v="Vegetation - Tree"/>
    <m/>
    <m/>
    <m/>
    <m/>
    <x v="1"/>
  </r>
  <r>
    <x v="23"/>
    <n v="1"/>
    <x v="0"/>
    <s v="Vegetation - Tree"/>
    <m/>
    <m/>
    <m/>
    <m/>
    <x v="1"/>
  </r>
  <r>
    <x v="18"/>
    <n v="3"/>
    <x v="0"/>
    <s v="Fence"/>
    <m/>
    <m/>
    <m/>
    <m/>
    <x v="1"/>
  </r>
  <r>
    <x v="2"/>
    <n v="6"/>
    <x v="0"/>
    <s v="Vegetation - Tree"/>
    <m/>
    <m/>
    <m/>
    <m/>
    <x v="1"/>
  </r>
  <r>
    <x v="9"/>
    <n v="1"/>
    <x v="0"/>
    <s v="Vegetation - Herbaceous"/>
    <m/>
    <m/>
    <m/>
    <m/>
    <x v="1"/>
  </r>
  <r>
    <x v="27"/>
    <n v="6"/>
    <x v="0"/>
    <s v="Water - Floating"/>
    <m/>
    <m/>
    <m/>
    <m/>
    <x v="1"/>
  </r>
  <r>
    <x v="7"/>
    <n v="1"/>
    <x v="0"/>
    <s v="Fence"/>
    <m/>
    <m/>
    <m/>
    <m/>
    <x v="1"/>
  </r>
  <r>
    <x v="5"/>
    <n v="1"/>
    <x v="0"/>
    <s v="Vegetation - Shrub"/>
    <m/>
    <m/>
    <m/>
    <m/>
    <x v="1"/>
  </r>
  <r>
    <x v="2"/>
    <n v="4"/>
    <x v="0"/>
    <s v="Vegetation - Tree"/>
    <m/>
    <m/>
    <m/>
    <m/>
    <x v="1"/>
  </r>
  <r>
    <x v="26"/>
    <n v="1"/>
    <x v="0"/>
    <s v="Vegetation - Tree"/>
    <m/>
    <m/>
    <m/>
    <m/>
    <x v="1"/>
  </r>
  <r>
    <x v="23"/>
    <n v="1"/>
    <x v="0"/>
    <s v="Vegetation - Tree"/>
    <m/>
    <m/>
    <m/>
    <m/>
    <x v="1"/>
  </r>
  <r>
    <x v="7"/>
    <n v="1"/>
    <x v="0"/>
    <s v="Vegetation - Herbaceous"/>
    <m/>
    <m/>
    <m/>
    <m/>
    <x v="1"/>
  </r>
  <r>
    <x v="7"/>
    <n v="1"/>
    <x v="0"/>
    <s v="Vegetation - Tree"/>
    <m/>
    <m/>
    <m/>
    <m/>
    <x v="1"/>
  </r>
  <r>
    <x v="10"/>
    <n v="2"/>
    <x v="0"/>
    <m/>
    <m/>
    <m/>
    <m/>
    <m/>
    <x v="1"/>
  </r>
  <r>
    <x v="25"/>
    <n v="22"/>
    <x v="0"/>
    <s v="Vegetation - Shrub"/>
    <m/>
    <m/>
    <m/>
    <m/>
    <x v="1"/>
  </r>
  <r>
    <x v="8"/>
    <n v="1"/>
    <x v="0"/>
    <s v="Vegetation - Shrub"/>
    <m/>
    <m/>
    <m/>
    <m/>
    <x v="1"/>
  </r>
  <r>
    <x v="0"/>
    <n v="1"/>
    <x v="1"/>
    <s v="Bridge"/>
    <m/>
    <m/>
    <m/>
    <m/>
    <x v="1"/>
  </r>
  <r>
    <x v="7"/>
    <n v="1"/>
    <x v="1"/>
    <s v="Bridge"/>
    <m/>
    <m/>
    <m/>
    <m/>
    <x v="1"/>
  </r>
  <r>
    <x v="8"/>
    <n v="2"/>
    <x v="0"/>
    <s v="Vegetation - Shrub"/>
    <m/>
    <m/>
    <m/>
    <m/>
    <x v="1"/>
  </r>
  <r>
    <x v="5"/>
    <n v="1"/>
    <x v="0"/>
    <s v="Vegetation - Tree"/>
    <m/>
    <m/>
    <m/>
    <m/>
    <x v="1"/>
  </r>
  <r>
    <x v="8"/>
    <n v="2"/>
    <x v="0"/>
    <s v="Vegetation - Tree"/>
    <m/>
    <m/>
    <m/>
    <m/>
    <x v="1"/>
  </r>
  <r>
    <x v="47"/>
    <n v="8"/>
    <x v="0"/>
    <s v="Vegetation - Tree"/>
    <m/>
    <m/>
    <m/>
    <m/>
    <x v="1"/>
  </r>
  <r>
    <x v="48"/>
    <n v="1"/>
    <x v="0"/>
    <s v="Bridge"/>
    <m/>
    <m/>
    <m/>
    <m/>
    <x v="1"/>
  </r>
  <r>
    <x v="20"/>
    <n v="1"/>
    <x v="0"/>
    <s v="Air"/>
    <m/>
    <m/>
    <m/>
    <m/>
    <x v="1"/>
  </r>
  <r>
    <x v="49"/>
    <n v="2"/>
    <x v="0"/>
    <s v="Vegetation - Tree"/>
    <m/>
    <m/>
    <m/>
    <m/>
    <x v="1"/>
  </r>
  <r>
    <x v="7"/>
    <n v="1"/>
    <x v="0"/>
    <s v="Bare ground"/>
    <m/>
    <m/>
    <m/>
    <m/>
    <x v="1"/>
  </r>
  <r>
    <x v="9"/>
    <n v="1"/>
    <x v="0"/>
    <s v="Vegetation - Herbaceous"/>
    <m/>
    <m/>
    <m/>
    <m/>
    <x v="1"/>
  </r>
  <r>
    <x v="2"/>
    <n v="2"/>
    <x v="0"/>
    <s v="Vegetation - Tree"/>
    <m/>
    <m/>
    <m/>
    <m/>
    <x v="1"/>
  </r>
  <r>
    <x v="50"/>
    <n v="1"/>
    <x v="0"/>
    <s v="Vegetation - Tree"/>
    <m/>
    <m/>
    <m/>
    <m/>
    <x v="1"/>
  </r>
  <r>
    <x v="25"/>
    <n v="3"/>
    <x v="0"/>
    <s v="Vegetation - Herbaceous"/>
    <m/>
    <m/>
    <m/>
    <m/>
    <x v="1"/>
  </r>
  <r>
    <x v="11"/>
    <n v="1"/>
    <x v="0"/>
    <s v="Vegetation - Tree"/>
    <m/>
    <m/>
    <m/>
    <m/>
    <x v="1"/>
  </r>
  <r>
    <x v="4"/>
    <n v="1"/>
    <x v="0"/>
    <s v="Vegetation - Tree"/>
    <m/>
    <m/>
    <m/>
    <m/>
    <x v="1"/>
  </r>
  <r>
    <x v="17"/>
    <n v="1"/>
    <x v="0"/>
    <s v="Vegetation - Tree"/>
    <m/>
    <m/>
    <m/>
    <m/>
    <x v="1"/>
  </r>
  <r>
    <x v="17"/>
    <n v="2"/>
    <x v="0"/>
    <s v="Vegetation - Tree"/>
    <m/>
    <m/>
    <m/>
    <m/>
    <x v="1"/>
  </r>
  <r>
    <x v="47"/>
    <n v="10"/>
    <x v="1"/>
    <m/>
    <m/>
    <m/>
    <m/>
    <m/>
    <x v="1"/>
  </r>
  <r>
    <x v="38"/>
    <n v="1"/>
    <x v="0"/>
    <s v="Bare ground"/>
    <m/>
    <m/>
    <m/>
    <m/>
    <x v="1"/>
  </r>
  <r>
    <x v="23"/>
    <n v="1"/>
    <x v="0"/>
    <s v="Vegetation - Herbaceous"/>
    <m/>
    <m/>
    <m/>
    <m/>
    <x v="1"/>
  </r>
  <r>
    <x v="51"/>
    <n v="1"/>
    <x v="0"/>
    <s v="Vegetation - Herbaceous"/>
    <m/>
    <m/>
    <m/>
    <m/>
    <x v="1"/>
  </r>
  <r>
    <x v="7"/>
    <n v="1"/>
    <x v="0"/>
    <s v="Vegetation - Herbaceous"/>
    <m/>
    <m/>
    <m/>
    <m/>
    <x v="1"/>
  </r>
  <r>
    <x v="25"/>
    <n v="11"/>
    <x v="0"/>
    <s v="Vegetation - Herbaceous"/>
    <m/>
    <m/>
    <m/>
    <m/>
    <x v="1"/>
  </r>
  <r>
    <x v="17"/>
    <n v="2"/>
    <x v="0"/>
    <s v="Mud"/>
    <m/>
    <m/>
    <m/>
    <m/>
    <x v="1"/>
  </r>
  <r>
    <x v="9"/>
    <n v="4"/>
    <x v="0"/>
    <s v="Vegetation - Tree"/>
    <m/>
    <m/>
    <m/>
    <m/>
    <x v="1"/>
  </r>
  <r>
    <x v="11"/>
    <n v="1"/>
    <x v="1"/>
    <s v="Vegetation - Tree"/>
    <m/>
    <m/>
    <m/>
    <m/>
    <x v="1"/>
  </r>
  <r>
    <x v="12"/>
    <n v="1"/>
    <x v="0"/>
    <s v="Fence"/>
    <m/>
    <m/>
    <m/>
    <m/>
    <x v="1"/>
  </r>
  <r>
    <x v="7"/>
    <n v="2"/>
    <x v="0"/>
    <s v="Fence"/>
    <m/>
    <m/>
    <m/>
    <m/>
    <x v="1"/>
  </r>
  <r>
    <x v="10"/>
    <n v="1"/>
    <x v="0"/>
    <s v="Fence"/>
    <m/>
    <m/>
    <m/>
    <m/>
    <x v="1"/>
  </r>
  <r>
    <x v="52"/>
    <n v="2"/>
    <x v="0"/>
    <s v="Mud"/>
    <m/>
    <m/>
    <s v="spectral sandpiper"/>
    <n v="5.5"/>
    <x v="1"/>
  </r>
  <r>
    <x v="5"/>
    <n v="1"/>
    <x v="0"/>
    <s v="Vegetation - Shrub"/>
    <m/>
    <m/>
    <m/>
    <m/>
    <x v="1"/>
  </r>
  <r>
    <x v="43"/>
    <n v="90"/>
    <x v="0"/>
    <s v="Mud"/>
    <m/>
    <m/>
    <m/>
    <m/>
    <x v="1"/>
  </r>
  <r>
    <x v="29"/>
    <n v="1"/>
    <x v="0"/>
    <s v="Water - Wading"/>
    <m/>
    <m/>
    <m/>
    <m/>
    <x v="1"/>
  </r>
  <r>
    <x v="53"/>
    <n v="8"/>
    <x v="0"/>
    <s v="Mud"/>
    <m/>
    <m/>
    <m/>
    <m/>
    <x v="1"/>
  </r>
  <r>
    <x v="16"/>
    <n v="1"/>
    <x v="0"/>
    <s v="Vegetation - Herbaceous"/>
    <m/>
    <m/>
    <m/>
    <m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1" cacheId="18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G60" firstHeaderRow="1" firstDataRow="3" firstDataCol="1"/>
  <pivotFields count="9">
    <pivotField axis="axisRow" showAll="0">
      <items count="55">
        <item x="10"/>
        <item x="6"/>
        <item x="0"/>
        <item x="7"/>
        <item x="38"/>
        <item x="49"/>
        <item x="30"/>
        <item x="21"/>
        <item x="47"/>
        <item x="1"/>
        <item x="23"/>
        <item x="17"/>
        <item x="11"/>
        <item x="36"/>
        <item x="48"/>
        <item x="19"/>
        <item x="39"/>
        <item x="35"/>
        <item x="37"/>
        <item x="2"/>
        <item x="5"/>
        <item x="14"/>
        <item x="24"/>
        <item x="32"/>
        <item x="26"/>
        <item x="40"/>
        <item x="42"/>
        <item x="13"/>
        <item x="44"/>
        <item x="33"/>
        <item x="27"/>
        <item x="15"/>
        <item x="22"/>
        <item x="46"/>
        <item x="4"/>
        <item x="3"/>
        <item x="52"/>
        <item x="45"/>
        <item x="29"/>
        <item x="41"/>
        <item x="20"/>
        <item x="18"/>
        <item x="12"/>
        <item x="25"/>
        <item x="43"/>
        <item x="34"/>
        <item x="8"/>
        <item x="51"/>
        <item x="28"/>
        <item x="9"/>
        <item x="31"/>
        <item x="53"/>
        <item x="50"/>
        <item x="16"/>
        <item t="default"/>
      </items>
    </pivotField>
    <pivotField dataField="1"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</pivotFields>
  <rowFields count="1">
    <field x="0"/>
  </rowFields>
  <rowItems count="5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 t="grand">
      <x/>
    </i>
  </rowItems>
  <colFields count="2">
    <field x="2"/>
    <field x="8"/>
  </colFields>
  <colItems count="6">
    <i>
      <x/>
      <x/>
    </i>
    <i r="1">
      <x v="1"/>
    </i>
    <i t="default">
      <x/>
    </i>
    <i>
      <x v="1"/>
      <x/>
    </i>
    <i t="default">
      <x v="1"/>
    </i>
    <i t="grand">
      <x/>
    </i>
  </colItems>
  <dataFields count="1">
    <dataField name="Sum of Count" fld="1" baseField="0" baseItem="0"/>
  </dataFields>
  <formats count="19">
    <format dxfId="18">
      <pivotArea outline="0" collapsedLevelsAreSubtotals="1" fieldPosition="0">
        <references count="1">
          <reference field="2" count="0" selected="0" defaultSubtotal="1"/>
        </references>
      </pivotArea>
    </format>
    <format dxfId="17">
      <pivotArea field="2" type="button" dataOnly="0" labelOnly="1" outline="0" axis="axisCol" fieldPosition="0"/>
    </format>
    <format dxfId="16">
      <pivotArea field="8" type="button" dataOnly="0" labelOnly="1" outline="0" axis="axisCol" fieldPosition="1"/>
    </format>
    <format dxfId="15">
      <pivotArea type="topRight" dataOnly="0" labelOnly="1" outline="0" fieldPosition="0"/>
    </format>
    <format dxfId="14">
      <pivotArea dataOnly="0" labelOnly="1" fieldPosition="0">
        <references count="1">
          <reference field="2" count="0"/>
        </references>
      </pivotArea>
    </format>
    <format dxfId="13">
      <pivotArea dataOnly="0" labelOnly="1" fieldPosition="0">
        <references count="1">
          <reference field="2" count="0" defaultSubtotal="1"/>
        </references>
      </pivotArea>
    </format>
    <format dxfId="12">
      <pivotArea dataOnly="0" labelOnly="1" fieldPosition="0">
        <references count="2">
          <reference field="2" count="1" selected="0">
            <x v="0"/>
          </reference>
          <reference field="8" count="0"/>
        </references>
      </pivotArea>
    </format>
    <format dxfId="11">
      <pivotArea dataOnly="0" labelOnly="1" fieldPosition="0">
        <references count="2">
          <reference field="2" count="1" selected="0">
            <x v="1"/>
          </reference>
          <reference field="8" count="1">
            <x v="0"/>
          </reference>
        </references>
      </pivotArea>
    </format>
    <format dxfId="10">
      <pivotArea collapsedLevelsAreSubtotals="1" fieldPosition="0">
        <references count="2">
          <reference field="0" count="0"/>
          <reference field="2" count="0" selected="0" defaultSubtotal="1"/>
        </references>
      </pivotArea>
    </format>
    <format dxfId="9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8">
      <pivotArea dataOnly="0" labelOnly="1" fieldPosition="0">
        <references count="1">
          <reference field="0" count="4">
            <x v="50"/>
            <x v="51"/>
            <x v="52"/>
            <x v="53"/>
          </reference>
        </references>
      </pivotArea>
    </format>
    <format dxfId="7">
      <pivotArea outline="0" collapsedLevelsAreSubtotals="1" fieldPosition="0">
        <references count="1">
          <reference field="2" count="1" selected="0" defaultSubtotal="1">
            <x v="1"/>
          </reference>
        </references>
      </pivotArea>
    </format>
    <format dxfId="6">
      <pivotArea type="topRight" dataOnly="0" labelOnly="1" outline="0" offset="B1:C1" fieldPosition="0"/>
    </format>
    <format dxfId="5">
      <pivotArea dataOnly="0" labelOnly="1" fieldPosition="0">
        <references count="1">
          <reference field="2" count="1">
            <x v="1"/>
          </reference>
        </references>
      </pivotArea>
    </format>
    <format dxfId="4">
      <pivotArea dataOnly="0" labelOnly="1" fieldPosition="0">
        <references count="1">
          <reference field="2" count="1" defaultSubtotal="1">
            <x v="1"/>
          </reference>
        </references>
      </pivotArea>
    </format>
    <format dxfId="3">
      <pivotArea dataOnly="0" labelOnly="1" fieldPosition="0">
        <references count="2">
          <reference field="2" count="1" selected="0">
            <x v="1"/>
          </reference>
          <reference field="8" count="1">
            <x v="0"/>
          </reference>
        </references>
      </pivotArea>
    </format>
    <format dxfId="2">
      <pivotArea outline="0" collapsedLevelsAreSubtotals="1" fieldPosition="0">
        <references count="1">
          <reference field="2" count="1" selected="0" defaultSubtotal="1">
            <x v="0"/>
          </reference>
        </references>
      </pivotArea>
    </format>
    <format dxfId="1">
      <pivotArea type="topRight" dataOnly="0" labelOnly="1" outline="0" offset="A1" fieldPosition="0"/>
    </format>
    <format dxfId="0">
      <pivotArea dataOnly="0" labelOnly="1" fieldPosition="0">
        <references count="1">
          <reference field="2" count="1" defaultSubtotal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"/>
  <sheetViews>
    <sheetView workbookViewId="0">
      <selection activeCell="C7" sqref="C7"/>
    </sheetView>
  </sheetViews>
  <sheetFormatPr defaultRowHeight="15" x14ac:dyDescent="0.25"/>
  <cols>
    <col min="1" max="1" width="9.7109375" bestFit="1" customWidth="1"/>
    <col min="2" max="2" width="12.7109375" bestFit="1" customWidth="1"/>
    <col min="3" max="3" width="39.140625" bestFit="1" customWidth="1"/>
  </cols>
  <sheetData>
    <row r="1" spans="1:23" ht="16.5" thickBot="1" x14ac:dyDescent="0.3">
      <c r="A1" s="1" t="s">
        <v>281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  <c r="U1" s="1" t="s">
        <v>27</v>
      </c>
      <c r="V1" s="1" t="s">
        <v>28</v>
      </c>
      <c r="W1" s="1" t="s">
        <v>29</v>
      </c>
    </row>
    <row r="2" spans="1:23" ht="30.75" customHeight="1" x14ac:dyDescent="0.25">
      <c r="A2" s="3">
        <v>43720</v>
      </c>
      <c r="B2">
        <v>5.5</v>
      </c>
      <c r="C2" s="10" t="s">
        <v>294</v>
      </c>
      <c r="D2" t="s">
        <v>277</v>
      </c>
      <c r="E2" t="s">
        <v>278</v>
      </c>
      <c r="F2">
        <v>68</v>
      </c>
      <c r="G2">
        <v>0</v>
      </c>
      <c r="L2">
        <v>75</v>
      </c>
      <c r="R2" t="s">
        <v>279</v>
      </c>
      <c r="S2" t="s">
        <v>280</v>
      </c>
      <c r="T2" s="2">
        <v>43720.703738425917</v>
      </c>
      <c r="U2" t="s">
        <v>158</v>
      </c>
      <c r="V2" s="2">
        <v>43720.717962962961</v>
      </c>
      <c r="W2" t="s">
        <v>158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79"/>
  <sheetViews>
    <sheetView tabSelected="1" workbookViewId="0">
      <selection activeCell="G2" sqref="G2:N179"/>
    </sheetView>
  </sheetViews>
  <sheetFormatPr defaultRowHeight="15" x14ac:dyDescent="0.25"/>
  <cols>
    <col min="2" max="2" width="10.42578125" bestFit="1" customWidth="1"/>
    <col min="3" max="3" width="12" style="6" bestFit="1" customWidth="1"/>
    <col min="4" max="4" width="26" bestFit="1" customWidth="1"/>
    <col min="5" max="6" width="26" customWidth="1"/>
    <col min="12" max="12" width="21.85546875" bestFit="1" customWidth="1"/>
    <col min="14" max="14" width="32.7109375" bestFit="1" customWidth="1"/>
    <col min="31" max="31" width="18.28515625" bestFit="1" customWidth="1"/>
  </cols>
  <sheetData>
    <row r="1" spans="1:34" ht="16.5" thickBot="1" x14ac:dyDescent="0.3">
      <c r="A1" s="1" t="s">
        <v>0</v>
      </c>
      <c r="B1" s="1" t="s">
        <v>281</v>
      </c>
      <c r="C1" s="4" t="s">
        <v>282</v>
      </c>
      <c r="D1" s="1" t="s">
        <v>1</v>
      </c>
      <c r="E1" s="1" t="s">
        <v>297</v>
      </c>
      <c r="F1" s="1" t="s">
        <v>298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23</v>
      </c>
      <c r="AC1" s="1" t="s">
        <v>24</v>
      </c>
      <c r="AD1" s="1" t="s">
        <v>25</v>
      </c>
      <c r="AE1" s="1" t="s">
        <v>26</v>
      </c>
      <c r="AF1" s="1" t="s">
        <v>27</v>
      </c>
      <c r="AG1" s="1" t="s">
        <v>28</v>
      </c>
      <c r="AH1" s="1" t="s">
        <v>29</v>
      </c>
    </row>
    <row r="2" spans="1:34" x14ac:dyDescent="0.25">
      <c r="A2">
        <v>12</v>
      </c>
      <c r="B2" s="3">
        <v>43720</v>
      </c>
      <c r="C2" s="5">
        <f t="shared" ref="C2:C33" si="0">AE2-(7/24)</f>
        <v>43720.333981481483</v>
      </c>
      <c r="D2" t="s">
        <v>58</v>
      </c>
      <c r="E2" t="s">
        <v>301</v>
      </c>
      <c r="F2" t="s">
        <v>313</v>
      </c>
      <c r="G2">
        <v>1</v>
      </c>
      <c r="H2" t="s">
        <v>31</v>
      </c>
      <c r="I2" t="s">
        <v>59</v>
      </c>
      <c r="N2" t="s">
        <v>287</v>
      </c>
      <c r="AD2" t="s">
        <v>60</v>
      </c>
      <c r="AE2" s="2">
        <v>43720.625648148147</v>
      </c>
      <c r="AF2" t="s">
        <v>34</v>
      </c>
      <c r="AG2" s="2">
        <v>43720.625648148147</v>
      </c>
      <c r="AH2" t="s">
        <v>34</v>
      </c>
    </row>
    <row r="3" spans="1:34" x14ac:dyDescent="0.25">
      <c r="A3">
        <v>39</v>
      </c>
      <c r="B3" s="3">
        <v>43720</v>
      </c>
      <c r="C3" s="5">
        <f t="shared" si="0"/>
        <v>43720.365289351859</v>
      </c>
      <c r="D3" t="s">
        <v>58</v>
      </c>
      <c r="E3" t="s">
        <v>301</v>
      </c>
      <c r="F3" t="s">
        <v>313</v>
      </c>
      <c r="G3">
        <v>1</v>
      </c>
      <c r="H3" t="s">
        <v>31</v>
      </c>
      <c r="I3" t="s">
        <v>99</v>
      </c>
      <c r="N3" t="s">
        <v>287</v>
      </c>
      <c r="AD3" t="s">
        <v>100</v>
      </c>
      <c r="AE3" s="2">
        <v>43720.656956018523</v>
      </c>
      <c r="AF3" t="s">
        <v>34</v>
      </c>
      <c r="AG3" s="2">
        <v>43720.656956018523</v>
      </c>
      <c r="AH3" t="s">
        <v>34</v>
      </c>
    </row>
    <row r="4" spans="1:34" x14ac:dyDescent="0.25">
      <c r="A4">
        <v>61</v>
      </c>
      <c r="B4" s="3">
        <v>43720</v>
      </c>
      <c r="C4" s="5">
        <f t="shared" si="0"/>
        <v>43720.381550925929</v>
      </c>
      <c r="D4" t="s">
        <v>58</v>
      </c>
      <c r="E4" t="s">
        <v>301</v>
      </c>
      <c r="F4" t="s">
        <v>313</v>
      </c>
      <c r="G4">
        <v>3</v>
      </c>
      <c r="H4" t="s">
        <v>31</v>
      </c>
      <c r="I4" t="s">
        <v>99</v>
      </c>
      <c r="N4" t="s">
        <v>287</v>
      </c>
      <c r="AD4" t="s">
        <v>128</v>
      </c>
      <c r="AE4" s="2">
        <v>43720.673217592594</v>
      </c>
      <c r="AF4" t="s">
        <v>34</v>
      </c>
      <c r="AG4" s="2">
        <v>43720.673217592594</v>
      </c>
      <c r="AH4" t="s">
        <v>34</v>
      </c>
    </row>
    <row r="5" spans="1:34" x14ac:dyDescent="0.25">
      <c r="A5">
        <v>97</v>
      </c>
      <c r="B5" s="3">
        <v>43720</v>
      </c>
      <c r="C5" s="5">
        <f t="shared" si="0"/>
        <v>43720.322777777779</v>
      </c>
      <c r="D5" t="s">
        <v>58</v>
      </c>
      <c r="E5" t="s">
        <v>301</v>
      </c>
      <c r="F5" t="s">
        <v>313</v>
      </c>
      <c r="G5">
        <v>9</v>
      </c>
      <c r="H5" t="s">
        <v>31</v>
      </c>
      <c r="I5" t="s">
        <v>41</v>
      </c>
      <c r="N5" t="s">
        <v>286</v>
      </c>
      <c r="AD5" t="s">
        <v>182</v>
      </c>
      <c r="AE5" s="2">
        <v>43720.614444444444</v>
      </c>
      <c r="AF5" t="s">
        <v>158</v>
      </c>
      <c r="AG5" s="2">
        <v>43720.614444444444</v>
      </c>
      <c r="AH5" t="s">
        <v>158</v>
      </c>
    </row>
    <row r="6" spans="1:34" x14ac:dyDescent="0.25">
      <c r="A6">
        <v>140</v>
      </c>
      <c r="B6" s="3">
        <v>43720</v>
      </c>
      <c r="C6" s="5">
        <f t="shared" si="0"/>
        <v>43720.361134259263</v>
      </c>
      <c r="D6" t="s">
        <v>58</v>
      </c>
      <c r="E6" t="s">
        <v>301</v>
      </c>
      <c r="F6" t="s">
        <v>313</v>
      </c>
      <c r="G6">
        <v>2</v>
      </c>
      <c r="H6" t="s">
        <v>31</v>
      </c>
      <c r="N6" t="s">
        <v>286</v>
      </c>
      <c r="AD6" t="s">
        <v>232</v>
      </c>
      <c r="AE6" s="2">
        <v>43720.652800925927</v>
      </c>
      <c r="AF6" t="s">
        <v>158</v>
      </c>
      <c r="AG6" s="2">
        <v>43720.652800925927</v>
      </c>
      <c r="AH6" t="s">
        <v>158</v>
      </c>
    </row>
    <row r="7" spans="1:34" x14ac:dyDescent="0.25">
      <c r="A7">
        <v>172</v>
      </c>
      <c r="B7" s="3">
        <v>43720</v>
      </c>
      <c r="C7" s="5">
        <f t="shared" si="0"/>
        <v>43720.396041666667</v>
      </c>
      <c r="D7" t="s">
        <v>58</v>
      </c>
      <c r="E7" t="s">
        <v>301</v>
      </c>
      <c r="F7" t="s">
        <v>313</v>
      </c>
      <c r="G7">
        <v>1</v>
      </c>
      <c r="H7" t="s">
        <v>31</v>
      </c>
      <c r="I7" t="s">
        <v>52</v>
      </c>
      <c r="N7" t="s">
        <v>286</v>
      </c>
      <c r="AD7" t="s">
        <v>269</v>
      </c>
      <c r="AE7" s="2">
        <v>43720.687708333331</v>
      </c>
      <c r="AF7" t="s">
        <v>158</v>
      </c>
      <c r="AG7" s="2">
        <v>43720.687708333331</v>
      </c>
      <c r="AH7" t="s">
        <v>158</v>
      </c>
    </row>
    <row r="8" spans="1:34" x14ac:dyDescent="0.25">
      <c r="A8">
        <v>8</v>
      </c>
      <c r="B8" s="3">
        <v>43720</v>
      </c>
      <c r="C8" s="5">
        <f t="shared" si="0"/>
        <v>43720.327569444446</v>
      </c>
      <c r="D8" t="s">
        <v>49</v>
      </c>
      <c r="E8" t="s">
        <v>310</v>
      </c>
      <c r="F8" t="s">
        <v>310</v>
      </c>
      <c r="G8">
        <v>1</v>
      </c>
      <c r="H8" t="s">
        <v>31</v>
      </c>
      <c r="I8" t="s">
        <v>41</v>
      </c>
      <c r="N8" t="s">
        <v>287</v>
      </c>
      <c r="AD8" t="s">
        <v>50</v>
      </c>
      <c r="AE8" s="2">
        <v>43720.61923611111</v>
      </c>
      <c r="AF8" t="s">
        <v>34</v>
      </c>
      <c r="AG8" s="2">
        <v>43720.61923611111</v>
      </c>
      <c r="AH8" t="s">
        <v>34</v>
      </c>
    </row>
    <row r="9" spans="1:34" x14ac:dyDescent="0.25">
      <c r="A9">
        <v>26</v>
      </c>
      <c r="B9" s="3">
        <v>43720</v>
      </c>
      <c r="C9" s="5">
        <f t="shared" si="0"/>
        <v>43720.344722222224</v>
      </c>
      <c r="D9" t="s">
        <v>49</v>
      </c>
      <c r="E9" t="s">
        <v>310</v>
      </c>
      <c r="F9" t="s">
        <v>310</v>
      </c>
      <c r="G9">
        <v>1</v>
      </c>
      <c r="H9" t="s">
        <v>31</v>
      </c>
      <c r="I9" t="s">
        <v>41</v>
      </c>
      <c r="N9" t="s">
        <v>287</v>
      </c>
      <c r="AD9" t="s">
        <v>81</v>
      </c>
      <c r="AE9" s="2">
        <v>43720.636388888888</v>
      </c>
      <c r="AF9" t="s">
        <v>34</v>
      </c>
      <c r="AG9" s="2">
        <v>43720.636388888888</v>
      </c>
      <c r="AH9" t="s">
        <v>34</v>
      </c>
    </row>
    <row r="10" spans="1:34" x14ac:dyDescent="0.25">
      <c r="A10">
        <v>33</v>
      </c>
      <c r="B10" s="3">
        <v>43720</v>
      </c>
      <c r="C10" s="5">
        <f t="shared" si="0"/>
        <v>43720.354652777773</v>
      </c>
      <c r="D10" t="s">
        <v>49</v>
      </c>
      <c r="E10" t="s">
        <v>310</v>
      </c>
      <c r="F10" t="s">
        <v>310</v>
      </c>
      <c r="G10">
        <v>3</v>
      </c>
      <c r="H10" t="s">
        <v>31</v>
      </c>
      <c r="I10" t="s">
        <v>41</v>
      </c>
      <c r="N10" t="s">
        <v>287</v>
      </c>
      <c r="AD10" t="s">
        <v>90</v>
      </c>
      <c r="AE10" s="2">
        <v>43720.646319444437</v>
      </c>
      <c r="AF10" t="s">
        <v>34</v>
      </c>
      <c r="AG10" s="2">
        <v>43720.646319444437</v>
      </c>
      <c r="AH10" t="s">
        <v>34</v>
      </c>
    </row>
    <row r="11" spans="1:34" x14ac:dyDescent="0.25">
      <c r="A11">
        <v>1</v>
      </c>
      <c r="B11" s="3">
        <v>43720</v>
      </c>
      <c r="C11" s="5">
        <f t="shared" si="0"/>
        <v>43720.320381944446</v>
      </c>
      <c r="D11" t="s">
        <v>30</v>
      </c>
      <c r="E11" t="s">
        <v>300</v>
      </c>
      <c r="F11" t="s">
        <v>300</v>
      </c>
      <c r="G11">
        <v>1</v>
      </c>
      <c r="H11" t="s">
        <v>31</v>
      </c>
      <c r="I11" t="s">
        <v>32</v>
      </c>
      <c r="N11" t="s">
        <v>287</v>
      </c>
      <c r="AD11" t="s">
        <v>33</v>
      </c>
      <c r="AE11" s="2">
        <v>43720.61204861111</v>
      </c>
      <c r="AF11" t="s">
        <v>34</v>
      </c>
      <c r="AG11" s="2">
        <v>43720.61204861111</v>
      </c>
      <c r="AH11" t="s">
        <v>34</v>
      </c>
    </row>
    <row r="12" spans="1:34" x14ac:dyDescent="0.25">
      <c r="A12">
        <v>143</v>
      </c>
      <c r="B12" s="3">
        <v>43720</v>
      </c>
      <c r="C12" s="5">
        <f t="shared" si="0"/>
        <v>43720.362719907418</v>
      </c>
      <c r="D12" t="s">
        <v>30</v>
      </c>
      <c r="E12" t="s">
        <v>300</v>
      </c>
      <c r="F12" t="s">
        <v>300</v>
      </c>
      <c r="G12">
        <v>1</v>
      </c>
      <c r="H12" t="s">
        <v>208</v>
      </c>
      <c r="I12" t="s">
        <v>168</v>
      </c>
      <c r="N12" t="s">
        <v>286</v>
      </c>
      <c r="AD12" t="s">
        <v>235</v>
      </c>
      <c r="AE12" s="2">
        <v>43720.654386574082</v>
      </c>
      <c r="AF12" t="s">
        <v>158</v>
      </c>
      <c r="AG12" s="2">
        <v>43720.654386574082</v>
      </c>
      <c r="AH12" t="s">
        <v>158</v>
      </c>
    </row>
    <row r="13" spans="1:34" x14ac:dyDescent="0.25">
      <c r="A13">
        <v>9</v>
      </c>
      <c r="B13" s="3">
        <v>43720</v>
      </c>
      <c r="C13" s="5">
        <f t="shared" si="0"/>
        <v>43720.330659722225</v>
      </c>
      <c r="D13" t="s">
        <v>51</v>
      </c>
      <c r="E13" t="s">
        <v>307</v>
      </c>
      <c r="F13" t="s">
        <v>311</v>
      </c>
      <c r="G13">
        <v>1</v>
      </c>
      <c r="H13" t="s">
        <v>31</v>
      </c>
      <c r="I13" t="s">
        <v>52</v>
      </c>
      <c r="N13" t="s">
        <v>287</v>
      </c>
      <c r="AD13" t="s">
        <v>53</v>
      </c>
      <c r="AE13" s="2">
        <v>43720.62232638889</v>
      </c>
      <c r="AF13" t="s">
        <v>34</v>
      </c>
      <c r="AG13" s="2">
        <v>43720.62232638889</v>
      </c>
      <c r="AH13" t="s">
        <v>34</v>
      </c>
    </row>
    <row r="14" spans="1:34" x14ac:dyDescent="0.25">
      <c r="A14">
        <v>20</v>
      </c>
      <c r="B14" s="3">
        <v>43720</v>
      </c>
      <c r="C14" s="5">
        <f t="shared" si="0"/>
        <v>43720.339780092596</v>
      </c>
      <c r="D14" t="s">
        <v>51</v>
      </c>
      <c r="E14" t="s">
        <v>307</v>
      </c>
      <c r="F14" t="s">
        <v>311</v>
      </c>
      <c r="G14">
        <v>1</v>
      </c>
      <c r="H14" t="s">
        <v>31</v>
      </c>
      <c r="I14" t="s">
        <v>36</v>
      </c>
      <c r="N14" t="s">
        <v>287</v>
      </c>
      <c r="AD14" t="s">
        <v>72</v>
      </c>
      <c r="AE14" s="2">
        <v>43720.63144675926</v>
      </c>
      <c r="AF14" t="s">
        <v>34</v>
      </c>
      <c r="AG14" s="2">
        <v>43720.63144675926</v>
      </c>
      <c r="AH14" t="s">
        <v>34</v>
      </c>
    </row>
    <row r="15" spans="1:34" x14ac:dyDescent="0.25">
      <c r="A15">
        <v>28</v>
      </c>
      <c r="B15" s="3">
        <v>43720</v>
      </c>
      <c r="C15" s="5">
        <f t="shared" si="0"/>
        <v>43720.348668981489</v>
      </c>
      <c r="D15" t="s">
        <v>51</v>
      </c>
      <c r="E15" t="s">
        <v>307</v>
      </c>
      <c r="F15" t="s">
        <v>311</v>
      </c>
      <c r="G15">
        <v>1</v>
      </c>
      <c r="H15" t="s">
        <v>31</v>
      </c>
      <c r="I15" t="s">
        <v>41</v>
      </c>
      <c r="N15" t="s">
        <v>287</v>
      </c>
      <c r="AD15" t="s">
        <v>83</v>
      </c>
      <c r="AE15" s="2">
        <v>43720.640335648153</v>
      </c>
      <c r="AF15" t="s">
        <v>34</v>
      </c>
      <c r="AG15" s="2">
        <v>43720.640335648153</v>
      </c>
      <c r="AH15" t="s">
        <v>34</v>
      </c>
    </row>
    <row r="16" spans="1:34" x14ac:dyDescent="0.25">
      <c r="A16">
        <v>29</v>
      </c>
      <c r="B16" s="3">
        <v>43720</v>
      </c>
      <c r="C16" s="5">
        <f t="shared" si="0"/>
        <v>43720.350092592606</v>
      </c>
      <c r="D16" t="s">
        <v>51</v>
      </c>
      <c r="E16" t="s">
        <v>307</v>
      </c>
      <c r="F16" t="s">
        <v>311</v>
      </c>
      <c r="G16">
        <v>1</v>
      </c>
      <c r="H16" t="s">
        <v>31</v>
      </c>
      <c r="I16" t="s">
        <v>59</v>
      </c>
      <c r="N16" t="s">
        <v>287</v>
      </c>
      <c r="AD16" t="s">
        <v>84</v>
      </c>
      <c r="AE16" s="2">
        <v>43720.64175925927</v>
      </c>
      <c r="AF16" t="s">
        <v>34</v>
      </c>
      <c r="AG16" s="2">
        <v>43720.64175925927</v>
      </c>
      <c r="AH16" t="s">
        <v>34</v>
      </c>
    </row>
    <row r="17" spans="1:34" x14ac:dyDescent="0.25">
      <c r="A17">
        <v>45</v>
      </c>
      <c r="B17" s="3">
        <v>43720</v>
      </c>
      <c r="C17" s="5">
        <f t="shared" si="0"/>
        <v>43720.371331018512</v>
      </c>
      <c r="D17" t="s">
        <v>51</v>
      </c>
      <c r="E17" t="s">
        <v>307</v>
      </c>
      <c r="F17" t="s">
        <v>311</v>
      </c>
      <c r="G17">
        <v>1</v>
      </c>
      <c r="H17" t="s">
        <v>31</v>
      </c>
      <c r="N17" t="s">
        <v>287</v>
      </c>
      <c r="AD17" t="s">
        <v>108</v>
      </c>
      <c r="AE17" s="2">
        <v>43720.662997685176</v>
      </c>
      <c r="AF17" t="s">
        <v>34</v>
      </c>
      <c r="AG17" s="2">
        <v>43720.662997685176</v>
      </c>
      <c r="AH17" t="s">
        <v>34</v>
      </c>
    </row>
    <row r="18" spans="1:34" x14ac:dyDescent="0.25">
      <c r="A18">
        <v>67</v>
      </c>
      <c r="B18" s="3">
        <v>43720</v>
      </c>
      <c r="C18" s="5">
        <f t="shared" si="0"/>
        <v>43720.392465277779</v>
      </c>
      <c r="D18" t="s">
        <v>51</v>
      </c>
      <c r="E18" t="s">
        <v>307</v>
      </c>
      <c r="F18" t="s">
        <v>311</v>
      </c>
      <c r="G18">
        <v>2</v>
      </c>
      <c r="H18" t="s">
        <v>31</v>
      </c>
      <c r="I18" t="s">
        <v>52</v>
      </c>
      <c r="N18" t="s">
        <v>287</v>
      </c>
      <c r="AD18" t="s">
        <v>134</v>
      </c>
      <c r="AE18" s="2">
        <v>43720.684131944443</v>
      </c>
      <c r="AF18" t="s">
        <v>34</v>
      </c>
      <c r="AG18" s="2">
        <v>43720.684131944443</v>
      </c>
      <c r="AH18" t="s">
        <v>34</v>
      </c>
    </row>
    <row r="19" spans="1:34" x14ac:dyDescent="0.25">
      <c r="A19">
        <v>87</v>
      </c>
      <c r="B19" s="3">
        <v>43720</v>
      </c>
      <c r="C19" s="5">
        <f t="shared" si="0"/>
        <v>43720.310833333337</v>
      </c>
      <c r="D19" t="s">
        <v>51</v>
      </c>
      <c r="E19" t="s">
        <v>307</v>
      </c>
      <c r="F19" t="s">
        <v>311</v>
      </c>
      <c r="G19">
        <v>1</v>
      </c>
      <c r="H19" t="s">
        <v>31</v>
      </c>
      <c r="I19" t="s">
        <v>168</v>
      </c>
      <c r="N19" t="s">
        <v>286</v>
      </c>
      <c r="AD19" t="s">
        <v>169</v>
      </c>
      <c r="AE19" s="2">
        <v>43720.602500000001</v>
      </c>
      <c r="AF19" t="s">
        <v>158</v>
      </c>
      <c r="AG19" s="2">
        <v>43720.602500000001</v>
      </c>
      <c r="AH19" t="s">
        <v>158</v>
      </c>
    </row>
    <row r="20" spans="1:34" x14ac:dyDescent="0.25">
      <c r="A20">
        <v>101</v>
      </c>
      <c r="B20" s="3">
        <v>43720</v>
      </c>
      <c r="C20" s="5">
        <f t="shared" si="0"/>
        <v>43720.325381944444</v>
      </c>
      <c r="D20" t="s">
        <v>51</v>
      </c>
      <c r="E20" t="s">
        <v>307</v>
      </c>
      <c r="F20" t="s">
        <v>311</v>
      </c>
      <c r="G20">
        <v>1</v>
      </c>
      <c r="H20" t="s">
        <v>31</v>
      </c>
      <c r="I20" t="s">
        <v>47</v>
      </c>
      <c r="N20" t="s">
        <v>286</v>
      </c>
      <c r="AD20" t="s">
        <v>187</v>
      </c>
      <c r="AE20" s="2">
        <v>43720.617048611108</v>
      </c>
      <c r="AF20" t="s">
        <v>158</v>
      </c>
      <c r="AG20" s="2">
        <v>43720.617048611108</v>
      </c>
      <c r="AH20" t="s">
        <v>158</v>
      </c>
    </row>
    <row r="21" spans="1:34" x14ac:dyDescent="0.25">
      <c r="A21">
        <v>125</v>
      </c>
      <c r="B21" s="3">
        <v>43720</v>
      </c>
      <c r="C21" s="5">
        <f t="shared" si="0"/>
        <v>43720.348125000004</v>
      </c>
      <c r="D21" t="s">
        <v>51</v>
      </c>
      <c r="E21" t="s">
        <v>307</v>
      </c>
      <c r="F21" t="s">
        <v>311</v>
      </c>
      <c r="G21">
        <v>1</v>
      </c>
      <c r="H21" t="s">
        <v>31</v>
      </c>
      <c r="I21" t="s">
        <v>41</v>
      </c>
      <c r="N21" t="s">
        <v>286</v>
      </c>
      <c r="AD21" t="s">
        <v>217</v>
      </c>
      <c r="AE21" s="2">
        <v>43720.639791666668</v>
      </c>
      <c r="AF21" t="s">
        <v>158</v>
      </c>
      <c r="AG21" s="2">
        <v>43720.639791666668</v>
      </c>
      <c r="AH21" t="s">
        <v>158</v>
      </c>
    </row>
    <row r="22" spans="1:34" x14ac:dyDescent="0.25">
      <c r="A22">
        <v>133</v>
      </c>
      <c r="B22" s="3">
        <v>43720</v>
      </c>
      <c r="C22" s="5">
        <f t="shared" si="0"/>
        <v>43720.354432870379</v>
      </c>
      <c r="D22" t="s">
        <v>51</v>
      </c>
      <c r="E22" t="s">
        <v>307</v>
      </c>
      <c r="F22" t="s">
        <v>311</v>
      </c>
      <c r="G22">
        <v>1</v>
      </c>
      <c r="H22" t="s">
        <v>31</v>
      </c>
      <c r="I22" t="s">
        <v>52</v>
      </c>
      <c r="N22" t="s">
        <v>286</v>
      </c>
      <c r="AD22" t="s">
        <v>225</v>
      </c>
      <c r="AE22" s="2">
        <v>43720.646099537043</v>
      </c>
      <c r="AF22" t="s">
        <v>158</v>
      </c>
      <c r="AG22" s="2">
        <v>43720.646099537043</v>
      </c>
      <c r="AH22" t="s">
        <v>158</v>
      </c>
    </row>
    <row r="23" spans="1:34" x14ac:dyDescent="0.25">
      <c r="A23">
        <v>138</v>
      </c>
      <c r="B23" s="3">
        <v>43720</v>
      </c>
      <c r="C23" s="5">
        <f t="shared" si="0"/>
        <v>43720.359907407408</v>
      </c>
      <c r="D23" t="s">
        <v>51</v>
      </c>
      <c r="E23" t="s">
        <v>307</v>
      </c>
      <c r="F23" t="s">
        <v>311</v>
      </c>
      <c r="G23">
        <v>1</v>
      </c>
      <c r="H23" t="s">
        <v>31</v>
      </c>
      <c r="I23" t="s">
        <v>36</v>
      </c>
      <c r="N23" t="s">
        <v>286</v>
      </c>
      <c r="AD23" t="s">
        <v>230</v>
      </c>
      <c r="AE23" s="2">
        <v>43720.651574074072</v>
      </c>
      <c r="AF23" t="s">
        <v>158</v>
      </c>
      <c r="AG23" s="2">
        <v>43720.651574074072</v>
      </c>
      <c r="AH23" t="s">
        <v>158</v>
      </c>
    </row>
    <row r="24" spans="1:34" x14ac:dyDescent="0.25">
      <c r="A24">
        <v>139</v>
      </c>
      <c r="B24" s="3">
        <v>43720</v>
      </c>
      <c r="C24" s="5">
        <f t="shared" si="0"/>
        <v>43720.360300925939</v>
      </c>
      <c r="D24" t="s">
        <v>51</v>
      </c>
      <c r="E24" t="s">
        <v>307</v>
      </c>
      <c r="F24" t="s">
        <v>311</v>
      </c>
      <c r="G24">
        <v>1</v>
      </c>
      <c r="H24" t="s">
        <v>31</v>
      </c>
      <c r="I24" t="s">
        <v>41</v>
      </c>
      <c r="N24" t="s">
        <v>286</v>
      </c>
      <c r="AD24" t="s">
        <v>231</v>
      </c>
      <c r="AE24" s="2">
        <v>43720.651967592603</v>
      </c>
      <c r="AF24" t="s">
        <v>158</v>
      </c>
      <c r="AG24" s="2">
        <v>43720.651967592603</v>
      </c>
      <c r="AH24" t="s">
        <v>158</v>
      </c>
    </row>
    <row r="25" spans="1:34" x14ac:dyDescent="0.25">
      <c r="A25">
        <v>144</v>
      </c>
      <c r="B25" s="3">
        <v>43720</v>
      </c>
      <c r="C25" s="5">
        <f t="shared" si="0"/>
        <v>43720.363043981473</v>
      </c>
      <c r="D25" t="s">
        <v>51</v>
      </c>
      <c r="E25" t="s">
        <v>307</v>
      </c>
      <c r="F25" t="s">
        <v>311</v>
      </c>
      <c r="G25">
        <v>1</v>
      </c>
      <c r="H25" t="s">
        <v>208</v>
      </c>
      <c r="I25" t="s">
        <v>168</v>
      </c>
      <c r="N25" t="s">
        <v>286</v>
      </c>
      <c r="AD25" t="s">
        <v>236</v>
      </c>
      <c r="AE25" s="2">
        <v>43720.654710648138</v>
      </c>
      <c r="AF25" t="s">
        <v>158</v>
      </c>
      <c r="AG25" s="2">
        <v>43720.654710648138</v>
      </c>
      <c r="AH25" t="s">
        <v>158</v>
      </c>
    </row>
    <row r="26" spans="1:34" x14ac:dyDescent="0.25">
      <c r="A26">
        <v>152</v>
      </c>
      <c r="B26" s="3">
        <v>43720</v>
      </c>
      <c r="C26" s="5">
        <f t="shared" si="0"/>
        <v>43720.370960648142</v>
      </c>
      <c r="D26" t="s">
        <v>51</v>
      </c>
      <c r="E26" t="s">
        <v>307</v>
      </c>
      <c r="F26" t="s">
        <v>311</v>
      </c>
      <c r="G26">
        <v>1</v>
      </c>
      <c r="H26" t="s">
        <v>31</v>
      </c>
      <c r="I26" t="s">
        <v>88</v>
      </c>
      <c r="N26" t="s">
        <v>286</v>
      </c>
      <c r="AD26" t="s">
        <v>247</v>
      </c>
      <c r="AE26" s="2">
        <v>43720.662627314807</v>
      </c>
      <c r="AF26" t="s">
        <v>158</v>
      </c>
      <c r="AG26" s="2">
        <v>43720.662627314807</v>
      </c>
      <c r="AH26" t="s">
        <v>158</v>
      </c>
    </row>
    <row r="27" spans="1:34" x14ac:dyDescent="0.25">
      <c r="A27">
        <v>165</v>
      </c>
      <c r="B27" s="3">
        <v>43720</v>
      </c>
      <c r="C27" s="5">
        <f t="shared" si="0"/>
        <v>43720.387222222227</v>
      </c>
      <c r="D27" t="s">
        <v>51</v>
      </c>
      <c r="E27" t="s">
        <v>307</v>
      </c>
      <c r="F27" t="s">
        <v>311</v>
      </c>
      <c r="G27">
        <v>1</v>
      </c>
      <c r="H27" t="s">
        <v>31</v>
      </c>
      <c r="I27" t="s">
        <v>36</v>
      </c>
      <c r="N27" t="s">
        <v>286</v>
      </c>
      <c r="AD27" t="s">
        <v>262</v>
      </c>
      <c r="AE27" s="2">
        <v>43720.678888888891</v>
      </c>
      <c r="AF27" t="s">
        <v>158</v>
      </c>
      <c r="AG27" s="2">
        <v>43720.678888888891</v>
      </c>
      <c r="AH27" t="s">
        <v>158</v>
      </c>
    </row>
    <row r="28" spans="1:34" x14ac:dyDescent="0.25">
      <c r="A28">
        <v>171</v>
      </c>
      <c r="B28" s="3">
        <v>43720</v>
      </c>
      <c r="C28" s="5">
        <f t="shared" si="0"/>
        <v>43720.394571759272</v>
      </c>
      <c r="D28" t="s">
        <v>51</v>
      </c>
      <c r="E28" t="s">
        <v>307</v>
      </c>
      <c r="F28" t="s">
        <v>311</v>
      </c>
      <c r="G28">
        <v>2</v>
      </c>
      <c r="H28" t="s">
        <v>31</v>
      </c>
      <c r="I28" t="s">
        <v>52</v>
      </c>
      <c r="N28" t="s">
        <v>286</v>
      </c>
      <c r="AD28" t="s">
        <v>268</v>
      </c>
      <c r="AE28" s="2">
        <v>43720.686238425937</v>
      </c>
      <c r="AF28" t="s">
        <v>158</v>
      </c>
      <c r="AG28" s="2">
        <v>43720.686238425937</v>
      </c>
      <c r="AH28" t="s">
        <v>158</v>
      </c>
    </row>
    <row r="29" spans="1:34" x14ac:dyDescent="0.25">
      <c r="A29">
        <v>88</v>
      </c>
      <c r="B29" s="3">
        <v>43720</v>
      </c>
      <c r="C29" s="5">
        <f t="shared" si="0"/>
        <v>43720.311249999999</v>
      </c>
      <c r="D29" t="s">
        <v>170</v>
      </c>
      <c r="E29" t="s">
        <v>325</v>
      </c>
      <c r="F29" t="s">
        <v>326</v>
      </c>
      <c r="G29">
        <v>1</v>
      </c>
      <c r="H29" t="s">
        <v>31</v>
      </c>
      <c r="I29" t="s">
        <v>156</v>
      </c>
      <c r="N29" t="s">
        <v>286</v>
      </c>
      <c r="AD29" t="s">
        <v>171</v>
      </c>
      <c r="AE29" s="2">
        <v>43720.602916666663</v>
      </c>
      <c r="AF29" t="s">
        <v>158</v>
      </c>
      <c r="AG29" s="2">
        <v>43720.602916666663</v>
      </c>
      <c r="AH29" t="s">
        <v>158</v>
      </c>
    </row>
    <row r="30" spans="1:34" x14ac:dyDescent="0.25">
      <c r="A30">
        <v>162</v>
      </c>
      <c r="B30" s="3">
        <v>43720</v>
      </c>
      <c r="C30" s="5">
        <f t="shared" si="0"/>
        <v>43720.385671296295</v>
      </c>
      <c r="D30" t="s">
        <v>170</v>
      </c>
      <c r="E30" t="s">
        <v>325</v>
      </c>
      <c r="F30" t="s">
        <v>326</v>
      </c>
      <c r="G30">
        <v>1</v>
      </c>
      <c r="H30" t="s">
        <v>31</v>
      </c>
      <c r="I30" t="s">
        <v>88</v>
      </c>
      <c r="N30" t="s">
        <v>286</v>
      </c>
      <c r="AD30" t="s">
        <v>258</v>
      </c>
      <c r="AE30" s="2">
        <v>43720.677337962959</v>
      </c>
      <c r="AF30" t="s">
        <v>158</v>
      </c>
      <c r="AG30" s="2">
        <v>43720.677337962959</v>
      </c>
      <c r="AH30" t="s">
        <v>158</v>
      </c>
    </row>
    <row r="31" spans="1:34" x14ac:dyDescent="0.25">
      <c r="A31">
        <v>151</v>
      </c>
      <c r="B31" s="3">
        <v>43720</v>
      </c>
      <c r="C31" s="5">
        <f t="shared" si="0"/>
        <v>43720.370636574087</v>
      </c>
      <c r="D31" t="s">
        <v>245</v>
      </c>
      <c r="E31" t="s">
        <v>303</v>
      </c>
      <c r="F31" t="s">
        <v>331</v>
      </c>
      <c r="G31">
        <v>2</v>
      </c>
      <c r="H31" t="s">
        <v>31</v>
      </c>
      <c r="I31" t="s">
        <v>41</v>
      </c>
      <c r="N31" t="s">
        <v>286</v>
      </c>
      <c r="AD31" t="s">
        <v>246</v>
      </c>
      <c r="AE31" s="2">
        <v>43720.662303240751</v>
      </c>
      <c r="AF31" t="s">
        <v>158</v>
      </c>
      <c r="AG31" s="2">
        <v>43720.662303240751</v>
      </c>
      <c r="AH31" t="s">
        <v>158</v>
      </c>
    </row>
    <row r="32" spans="1:34" x14ac:dyDescent="0.25">
      <c r="A32">
        <v>73</v>
      </c>
      <c r="B32" s="3">
        <v>43720</v>
      </c>
      <c r="C32" s="5">
        <f t="shared" si="0"/>
        <v>43720.407511574078</v>
      </c>
      <c r="D32" t="s">
        <v>143</v>
      </c>
      <c r="E32" t="s">
        <v>317</v>
      </c>
      <c r="F32" t="s">
        <v>317</v>
      </c>
      <c r="G32">
        <v>2</v>
      </c>
      <c r="H32" t="s">
        <v>31</v>
      </c>
      <c r="I32" t="s">
        <v>93</v>
      </c>
      <c r="N32" t="s">
        <v>287</v>
      </c>
      <c r="AD32" t="s">
        <v>144</v>
      </c>
      <c r="AE32" s="2">
        <v>43720.699178240742</v>
      </c>
      <c r="AF32" t="s">
        <v>34</v>
      </c>
      <c r="AG32" s="2">
        <v>43720.699178240742</v>
      </c>
      <c r="AH32" t="s">
        <v>34</v>
      </c>
    </row>
    <row r="33" spans="1:34" x14ac:dyDescent="0.25">
      <c r="A33">
        <v>83</v>
      </c>
      <c r="B33" s="3">
        <v>43720</v>
      </c>
      <c r="C33" s="5">
        <f t="shared" si="0"/>
        <v>43720.309108796297</v>
      </c>
      <c r="D33" t="s">
        <v>143</v>
      </c>
      <c r="E33" t="s">
        <v>317</v>
      </c>
      <c r="F33" t="s">
        <v>317</v>
      </c>
      <c r="G33">
        <v>1</v>
      </c>
      <c r="H33" t="s">
        <v>31</v>
      </c>
      <c r="I33" t="s">
        <v>156</v>
      </c>
      <c r="N33" t="s">
        <v>286</v>
      </c>
      <c r="AD33" t="s">
        <v>161</v>
      </c>
      <c r="AE33" s="2">
        <v>43720.600775462961</v>
      </c>
      <c r="AF33" t="s">
        <v>158</v>
      </c>
      <c r="AG33" s="2">
        <v>43720.600775462961</v>
      </c>
      <c r="AH33" t="s">
        <v>158</v>
      </c>
    </row>
    <row r="34" spans="1:34" x14ac:dyDescent="0.25">
      <c r="A34">
        <v>93</v>
      </c>
      <c r="B34" s="3">
        <v>43720</v>
      </c>
      <c r="C34" s="5">
        <f t="shared" ref="C34:C65" si="1">AE34-(7/24)</f>
        <v>43720.319664351853</v>
      </c>
      <c r="D34" t="s">
        <v>143</v>
      </c>
      <c r="E34" t="s">
        <v>317</v>
      </c>
      <c r="F34" t="s">
        <v>317</v>
      </c>
      <c r="G34">
        <v>1</v>
      </c>
      <c r="H34" t="s">
        <v>31</v>
      </c>
      <c r="I34" t="s">
        <v>93</v>
      </c>
      <c r="N34" t="s">
        <v>286</v>
      </c>
      <c r="AD34" t="s">
        <v>178</v>
      </c>
      <c r="AE34" s="2">
        <v>43720.611331018517</v>
      </c>
      <c r="AF34" t="s">
        <v>158</v>
      </c>
      <c r="AG34" s="2">
        <v>43720.611331018517</v>
      </c>
      <c r="AH34" t="s">
        <v>158</v>
      </c>
    </row>
    <row r="35" spans="1:34" x14ac:dyDescent="0.25">
      <c r="A35">
        <v>96</v>
      </c>
      <c r="B35" s="3">
        <v>43720</v>
      </c>
      <c r="C35" s="5">
        <f t="shared" si="1"/>
        <v>43720.322361111124</v>
      </c>
      <c r="D35" t="s">
        <v>143</v>
      </c>
      <c r="E35" t="s">
        <v>317</v>
      </c>
      <c r="F35" t="s">
        <v>317</v>
      </c>
      <c r="G35">
        <v>2</v>
      </c>
      <c r="H35" t="s">
        <v>31</v>
      </c>
      <c r="I35" t="s">
        <v>156</v>
      </c>
      <c r="N35" t="s">
        <v>286</v>
      </c>
      <c r="AD35" t="s">
        <v>181</v>
      </c>
      <c r="AE35" s="2">
        <v>43720.614027777789</v>
      </c>
      <c r="AF35" t="s">
        <v>158</v>
      </c>
      <c r="AG35" s="2">
        <v>43720.614027777789</v>
      </c>
      <c r="AH35" t="s">
        <v>158</v>
      </c>
    </row>
    <row r="36" spans="1:34" x14ac:dyDescent="0.25">
      <c r="A36">
        <v>121</v>
      </c>
      <c r="B36" s="3">
        <v>43720</v>
      </c>
      <c r="C36" s="5">
        <f t="shared" si="1"/>
        <v>43720.342546296299</v>
      </c>
      <c r="D36" t="s">
        <v>143</v>
      </c>
      <c r="E36" t="s">
        <v>317</v>
      </c>
      <c r="F36" t="s">
        <v>317</v>
      </c>
      <c r="G36">
        <v>2</v>
      </c>
      <c r="H36" t="s">
        <v>31</v>
      </c>
      <c r="I36" t="s">
        <v>156</v>
      </c>
      <c r="N36" t="s">
        <v>286</v>
      </c>
      <c r="AD36" t="s">
        <v>211</v>
      </c>
      <c r="AE36" s="2">
        <v>43720.634212962963</v>
      </c>
      <c r="AF36" t="s">
        <v>158</v>
      </c>
      <c r="AG36" s="2">
        <v>43720.634212962963</v>
      </c>
      <c r="AH36" t="s">
        <v>158</v>
      </c>
    </row>
    <row r="37" spans="1:34" x14ac:dyDescent="0.25">
      <c r="A37">
        <v>41</v>
      </c>
      <c r="B37" s="3">
        <v>43720</v>
      </c>
      <c r="C37" s="5">
        <f t="shared" si="1"/>
        <v>43720.367499999993</v>
      </c>
      <c r="D37" t="s">
        <v>102</v>
      </c>
      <c r="E37" t="s">
        <v>307</v>
      </c>
      <c r="F37" t="s">
        <v>321</v>
      </c>
      <c r="G37">
        <v>1</v>
      </c>
      <c r="H37" t="s">
        <v>31</v>
      </c>
      <c r="I37" t="s">
        <v>36</v>
      </c>
      <c r="N37" t="s">
        <v>287</v>
      </c>
      <c r="AD37" t="s">
        <v>103</v>
      </c>
      <c r="AE37" s="2">
        <v>43720.659166666657</v>
      </c>
      <c r="AF37" t="s">
        <v>34</v>
      </c>
      <c r="AG37" s="2">
        <v>43720.659166666657</v>
      </c>
      <c r="AH37" t="s">
        <v>34</v>
      </c>
    </row>
    <row r="38" spans="1:34" x14ac:dyDescent="0.25">
      <c r="A38">
        <v>47</v>
      </c>
      <c r="B38" s="3">
        <v>43720</v>
      </c>
      <c r="C38" s="5">
        <f t="shared" si="1"/>
        <v>43720.373634259253</v>
      </c>
      <c r="D38" t="s">
        <v>102</v>
      </c>
      <c r="E38" t="s">
        <v>307</v>
      </c>
      <c r="F38" t="s">
        <v>321</v>
      </c>
      <c r="G38">
        <v>1</v>
      </c>
      <c r="H38" t="s">
        <v>31</v>
      </c>
      <c r="I38" t="s">
        <v>41</v>
      </c>
      <c r="N38" t="s">
        <v>287</v>
      </c>
      <c r="AD38" t="s">
        <v>110</v>
      </c>
      <c r="AE38" s="2">
        <v>43720.665300925917</v>
      </c>
      <c r="AF38" t="s">
        <v>34</v>
      </c>
      <c r="AG38" s="2">
        <v>43720.665300925917</v>
      </c>
      <c r="AH38" t="s">
        <v>34</v>
      </c>
    </row>
    <row r="39" spans="1:34" x14ac:dyDescent="0.25">
      <c r="A39">
        <v>60</v>
      </c>
      <c r="B39" s="3">
        <v>43720</v>
      </c>
      <c r="C39" s="5">
        <f t="shared" si="1"/>
        <v>43720.381284722229</v>
      </c>
      <c r="D39" t="s">
        <v>102</v>
      </c>
      <c r="E39" t="s">
        <v>307</v>
      </c>
      <c r="F39" t="s">
        <v>321</v>
      </c>
      <c r="G39">
        <v>1</v>
      </c>
      <c r="H39" t="s">
        <v>31</v>
      </c>
      <c r="I39" t="s">
        <v>47</v>
      </c>
      <c r="N39" t="s">
        <v>287</v>
      </c>
      <c r="AD39" t="s">
        <v>127</v>
      </c>
      <c r="AE39" s="2">
        <v>43720.672951388893</v>
      </c>
      <c r="AF39" t="s">
        <v>34</v>
      </c>
      <c r="AG39" s="2">
        <v>43720.672951388893</v>
      </c>
      <c r="AH39" t="s">
        <v>34</v>
      </c>
    </row>
    <row r="40" spans="1:34" x14ac:dyDescent="0.25">
      <c r="A40">
        <v>62</v>
      </c>
      <c r="B40" s="3">
        <v>43720</v>
      </c>
      <c r="C40" s="5">
        <f t="shared" si="1"/>
        <v>43720.381874999999</v>
      </c>
      <c r="D40" t="s">
        <v>102</v>
      </c>
      <c r="E40" t="s">
        <v>307</v>
      </c>
      <c r="F40" t="s">
        <v>321</v>
      </c>
      <c r="G40">
        <v>4</v>
      </c>
      <c r="H40" t="s">
        <v>31</v>
      </c>
      <c r="I40" t="s">
        <v>36</v>
      </c>
      <c r="N40" t="s">
        <v>287</v>
      </c>
      <c r="AD40" t="s">
        <v>129</v>
      </c>
      <c r="AE40" s="2">
        <v>43720.673541666663</v>
      </c>
      <c r="AF40" t="s">
        <v>34</v>
      </c>
      <c r="AG40" s="2">
        <v>43720.673541666663</v>
      </c>
      <c r="AH40" t="s">
        <v>34</v>
      </c>
    </row>
    <row r="41" spans="1:34" x14ac:dyDescent="0.25">
      <c r="A41">
        <v>74</v>
      </c>
      <c r="B41" s="3">
        <v>43720</v>
      </c>
      <c r="C41" s="5">
        <f t="shared" si="1"/>
        <v>43720.407881944448</v>
      </c>
      <c r="D41" t="s">
        <v>102</v>
      </c>
      <c r="E41" t="s">
        <v>307</v>
      </c>
      <c r="F41" t="s">
        <v>321</v>
      </c>
      <c r="G41">
        <v>1</v>
      </c>
      <c r="H41" t="s">
        <v>31</v>
      </c>
      <c r="N41" t="s">
        <v>287</v>
      </c>
      <c r="AD41" t="s">
        <v>145</v>
      </c>
      <c r="AE41" s="2">
        <v>43720.699548611112</v>
      </c>
      <c r="AF41" t="s">
        <v>34</v>
      </c>
      <c r="AG41" s="2">
        <v>43720.699548611112</v>
      </c>
      <c r="AH41" t="s">
        <v>34</v>
      </c>
    </row>
    <row r="42" spans="1:34" x14ac:dyDescent="0.25">
      <c r="A42">
        <v>148</v>
      </c>
      <c r="B42" s="3">
        <v>43720</v>
      </c>
      <c r="C42" s="5">
        <f t="shared" si="1"/>
        <v>43720.368715277778</v>
      </c>
      <c r="D42" t="s">
        <v>240</v>
      </c>
      <c r="E42" t="s">
        <v>307</v>
      </c>
      <c r="F42" t="s">
        <v>330</v>
      </c>
      <c r="G42">
        <v>8</v>
      </c>
      <c r="H42" t="s">
        <v>31</v>
      </c>
      <c r="I42" t="s">
        <v>41</v>
      </c>
      <c r="N42" t="s">
        <v>286</v>
      </c>
      <c r="AD42" t="s">
        <v>241</v>
      </c>
      <c r="AE42" s="2">
        <v>43720.660381944443</v>
      </c>
      <c r="AF42" t="s">
        <v>158</v>
      </c>
      <c r="AG42" s="2">
        <v>43720.660381944443</v>
      </c>
      <c r="AH42" t="s">
        <v>158</v>
      </c>
    </row>
    <row r="43" spans="1:34" x14ac:dyDescent="0.25">
      <c r="A43">
        <v>161</v>
      </c>
      <c r="B43" s="3">
        <v>43720</v>
      </c>
      <c r="C43" s="5">
        <f t="shared" si="1"/>
        <v>43720.382118055553</v>
      </c>
      <c r="D43" t="s">
        <v>240</v>
      </c>
      <c r="E43" t="s">
        <v>307</v>
      </c>
      <c r="F43" t="s">
        <v>330</v>
      </c>
      <c r="G43">
        <v>10</v>
      </c>
      <c r="H43" t="s">
        <v>208</v>
      </c>
      <c r="N43" t="s">
        <v>286</v>
      </c>
      <c r="AD43" t="s">
        <v>257</v>
      </c>
      <c r="AE43" s="2">
        <v>43720.673784722218</v>
      </c>
      <c r="AF43" t="s">
        <v>158</v>
      </c>
      <c r="AG43" s="2">
        <v>43720.673784722218</v>
      </c>
      <c r="AH43" t="s">
        <v>158</v>
      </c>
    </row>
    <row r="44" spans="1:34" x14ac:dyDescent="0.25">
      <c r="A44">
        <v>2</v>
      </c>
      <c r="B44" s="3">
        <v>43720</v>
      </c>
      <c r="C44" s="5">
        <f t="shared" si="1"/>
        <v>43720.321192129639</v>
      </c>
      <c r="D44" t="s">
        <v>35</v>
      </c>
      <c r="E44" t="s">
        <v>301</v>
      </c>
      <c r="F44" t="s">
        <v>302</v>
      </c>
      <c r="G44">
        <v>1</v>
      </c>
      <c r="H44" t="s">
        <v>31</v>
      </c>
      <c r="I44" t="s">
        <v>36</v>
      </c>
      <c r="N44" t="s">
        <v>287</v>
      </c>
      <c r="AD44" t="s">
        <v>37</v>
      </c>
      <c r="AE44" s="2">
        <v>43720.612858796303</v>
      </c>
      <c r="AF44" t="s">
        <v>34</v>
      </c>
      <c r="AG44" s="2">
        <v>43720.612858796303</v>
      </c>
      <c r="AH44" t="s">
        <v>34</v>
      </c>
    </row>
    <row r="45" spans="1:34" x14ac:dyDescent="0.25">
      <c r="A45">
        <v>7</v>
      </c>
      <c r="B45" s="3">
        <v>43720</v>
      </c>
      <c r="C45" s="5">
        <f t="shared" si="1"/>
        <v>43720.327025462968</v>
      </c>
      <c r="D45" t="s">
        <v>35</v>
      </c>
      <c r="E45" t="s">
        <v>301</v>
      </c>
      <c r="F45" t="s">
        <v>302</v>
      </c>
      <c r="G45">
        <v>2</v>
      </c>
      <c r="H45" t="s">
        <v>31</v>
      </c>
      <c r="I45" t="s">
        <v>47</v>
      </c>
      <c r="N45" t="s">
        <v>287</v>
      </c>
      <c r="AD45" t="s">
        <v>48</v>
      </c>
      <c r="AE45" s="2">
        <v>43720.618692129632</v>
      </c>
      <c r="AF45" t="s">
        <v>34</v>
      </c>
      <c r="AG45" s="2">
        <v>43720.61886574074</v>
      </c>
      <c r="AH45" t="s">
        <v>34</v>
      </c>
    </row>
    <row r="46" spans="1:34" x14ac:dyDescent="0.25">
      <c r="A46">
        <v>57</v>
      </c>
      <c r="B46" s="3">
        <v>43720</v>
      </c>
      <c r="C46" s="5">
        <f t="shared" si="1"/>
        <v>43720.378321759279</v>
      </c>
      <c r="D46" t="s">
        <v>35</v>
      </c>
      <c r="E46" t="s">
        <v>301</v>
      </c>
      <c r="F46" t="s">
        <v>302</v>
      </c>
      <c r="G46">
        <v>3</v>
      </c>
      <c r="H46" t="s">
        <v>31</v>
      </c>
      <c r="I46" t="s">
        <v>88</v>
      </c>
      <c r="N46" t="s">
        <v>287</v>
      </c>
      <c r="AD46" t="s">
        <v>122</v>
      </c>
      <c r="AE46" s="2">
        <v>43720.669988425943</v>
      </c>
      <c r="AF46" t="s">
        <v>34</v>
      </c>
      <c r="AG46" s="2">
        <v>43720.671736111108</v>
      </c>
      <c r="AH46" t="s">
        <v>34</v>
      </c>
    </row>
    <row r="47" spans="1:34" x14ac:dyDescent="0.25">
      <c r="A47">
        <v>99</v>
      </c>
      <c r="B47" s="3">
        <v>43720</v>
      </c>
      <c r="C47" s="5">
        <f t="shared" si="1"/>
        <v>43720.323287037048</v>
      </c>
      <c r="D47" t="s">
        <v>35</v>
      </c>
      <c r="E47" t="s">
        <v>301</v>
      </c>
      <c r="F47" t="s">
        <v>302</v>
      </c>
      <c r="G47">
        <v>2</v>
      </c>
      <c r="H47" t="s">
        <v>31</v>
      </c>
      <c r="I47" t="s">
        <v>88</v>
      </c>
      <c r="N47" t="s">
        <v>286</v>
      </c>
      <c r="AD47" t="s">
        <v>185</v>
      </c>
      <c r="AE47" s="2">
        <v>43720.614953703713</v>
      </c>
      <c r="AF47" t="s">
        <v>158</v>
      </c>
      <c r="AG47" s="2">
        <v>43720.614953703713</v>
      </c>
      <c r="AH47" t="s">
        <v>158</v>
      </c>
    </row>
    <row r="48" spans="1:34" x14ac:dyDescent="0.25">
      <c r="A48">
        <v>103</v>
      </c>
      <c r="B48" s="3">
        <v>43720</v>
      </c>
      <c r="C48" s="5">
        <f t="shared" si="1"/>
        <v>43720.327060185198</v>
      </c>
      <c r="D48" t="s">
        <v>35</v>
      </c>
      <c r="E48" t="s">
        <v>301</v>
      </c>
      <c r="F48" t="s">
        <v>302</v>
      </c>
      <c r="G48">
        <v>1</v>
      </c>
      <c r="H48" t="s">
        <v>31</v>
      </c>
      <c r="I48" t="s">
        <v>41</v>
      </c>
      <c r="N48" t="s">
        <v>286</v>
      </c>
      <c r="AD48" t="s">
        <v>189</v>
      </c>
      <c r="AE48" s="2">
        <v>43720.618726851862</v>
      </c>
      <c r="AF48" t="s">
        <v>158</v>
      </c>
      <c r="AG48" s="2">
        <v>43720.618726851862</v>
      </c>
      <c r="AH48" t="s">
        <v>158</v>
      </c>
    </row>
    <row r="49" spans="1:34" x14ac:dyDescent="0.25">
      <c r="A49">
        <v>53</v>
      </c>
      <c r="B49" s="3">
        <v>43720</v>
      </c>
      <c r="C49" s="5">
        <f t="shared" si="1"/>
        <v>43720.376574074078</v>
      </c>
      <c r="D49" t="s">
        <v>116</v>
      </c>
      <c r="E49" t="s">
        <v>307</v>
      </c>
      <c r="F49" t="s">
        <v>311</v>
      </c>
      <c r="G49">
        <v>2</v>
      </c>
      <c r="H49" t="s">
        <v>31</v>
      </c>
      <c r="N49" t="s">
        <v>287</v>
      </c>
      <c r="AD49" t="s">
        <v>117</v>
      </c>
      <c r="AE49" s="2">
        <v>43720.668240740742</v>
      </c>
      <c r="AF49" t="s">
        <v>34</v>
      </c>
      <c r="AG49" s="2">
        <v>43720.668240740742</v>
      </c>
      <c r="AH49" t="s">
        <v>34</v>
      </c>
    </row>
    <row r="50" spans="1:34" x14ac:dyDescent="0.25">
      <c r="A50">
        <v>66</v>
      </c>
      <c r="B50" s="3">
        <v>43720</v>
      </c>
      <c r="C50" s="5">
        <f t="shared" si="1"/>
        <v>43720.392175925939</v>
      </c>
      <c r="D50" t="s">
        <v>116</v>
      </c>
      <c r="E50" t="s">
        <v>307</v>
      </c>
      <c r="F50" t="s">
        <v>311</v>
      </c>
      <c r="G50">
        <v>2</v>
      </c>
      <c r="H50" t="s">
        <v>31</v>
      </c>
      <c r="I50" t="s">
        <v>36</v>
      </c>
      <c r="N50" t="s">
        <v>287</v>
      </c>
      <c r="AD50" t="s">
        <v>133</v>
      </c>
      <c r="AE50" s="2">
        <v>43720.683842592603</v>
      </c>
      <c r="AF50" t="s">
        <v>34</v>
      </c>
      <c r="AG50" s="2">
        <v>43720.683842592603</v>
      </c>
      <c r="AH50" t="s">
        <v>34</v>
      </c>
    </row>
    <row r="51" spans="1:34" x14ac:dyDescent="0.25">
      <c r="A51">
        <v>128</v>
      </c>
      <c r="B51" s="3">
        <v>43720</v>
      </c>
      <c r="C51" s="5">
        <f t="shared" si="1"/>
        <v>43720.348784722235</v>
      </c>
      <c r="D51" t="s">
        <v>116</v>
      </c>
      <c r="E51" t="s">
        <v>307</v>
      </c>
      <c r="F51" t="s">
        <v>311</v>
      </c>
      <c r="G51">
        <v>1</v>
      </c>
      <c r="H51" t="s">
        <v>31</v>
      </c>
      <c r="I51" t="s">
        <v>41</v>
      </c>
      <c r="N51" t="s">
        <v>286</v>
      </c>
      <c r="AD51" t="s">
        <v>220</v>
      </c>
      <c r="AE51" s="2">
        <v>43720.640451388899</v>
      </c>
      <c r="AF51" t="s">
        <v>158</v>
      </c>
      <c r="AG51" s="2">
        <v>43720.640451388899</v>
      </c>
      <c r="AH51" t="s">
        <v>158</v>
      </c>
    </row>
    <row r="52" spans="1:34" x14ac:dyDescent="0.25">
      <c r="A52">
        <v>137</v>
      </c>
      <c r="B52" s="3">
        <v>43720</v>
      </c>
      <c r="C52" s="5">
        <f t="shared" si="1"/>
        <v>43720.358599537038</v>
      </c>
      <c r="D52" t="s">
        <v>116</v>
      </c>
      <c r="E52" t="s">
        <v>307</v>
      </c>
      <c r="F52" t="s">
        <v>311</v>
      </c>
      <c r="G52">
        <v>1</v>
      </c>
      <c r="H52" t="s">
        <v>31</v>
      </c>
      <c r="I52" t="s">
        <v>41</v>
      </c>
      <c r="N52" t="s">
        <v>286</v>
      </c>
      <c r="AD52" t="s">
        <v>229</v>
      </c>
      <c r="AE52" s="2">
        <v>43720.650266203702</v>
      </c>
      <c r="AF52" t="s">
        <v>158</v>
      </c>
      <c r="AG52" s="2">
        <v>43720.650266203702</v>
      </c>
      <c r="AH52" t="s">
        <v>158</v>
      </c>
    </row>
    <row r="53" spans="1:34" x14ac:dyDescent="0.25">
      <c r="A53">
        <v>163</v>
      </c>
      <c r="B53" s="3">
        <v>43720</v>
      </c>
      <c r="C53" s="5">
        <f t="shared" si="1"/>
        <v>43720.386168981473</v>
      </c>
      <c r="D53" t="s">
        <v>116</v>
      </c>
      <c r="E53" t="s">
        <v>307</v>
      </c>
      <c r="F53" t="s">
        <v>311</v>
      </c>
      <c r="G53">
        <v>1</v>
      </c>
      <c r="H53" t="s">
        <v>31</v>
      </c>
      <c r="I53" t="s">
        <v>36</v>
      </c>
      <c r="N53" t="s">
        <v>286</v>
      </c>
      <c r="AD53" t="s">
        <v>259</v>
      </c>
      <c r="AE53" s="2">
        <v>43720.677835648137</v>
      </c>
      <c r="AF53" t="s">
        <v>158</v>
      </c>
      <c r="AG53" s="2">
        <v>43720.677835648137</v>
      </c>
      <c r="AH53" t="s">
        <v>158</v>
      </c>
    </row>
    <row r="54" spans="1:34" x14ac:dyDescent="0.25">
      <c r="A54">
        <v>24</v>
      </c>
      <c r="B54" s="3">
        <v>43720</v>
      </c>
      <c r="C54" s="5">
        <f t="shared" si="1"/>
        <v>43720.344050925938</v>
      </c>
      <c r="D54" t="s">
        <v>78</v>
      </c>
      <c r="E54" t="s">
        <v>305</v>
      </c>
      <c r="F54" t="s">
        <v>306</v>
      </c>
      <c r="G54">
        <v>1</v>
      </c>
      <c r="H54" t="s">
        <v>31</v>
      </c>
      <c r="I54" t="s">
        <v>41</v>
      </c>
      <c r="N54" t="s">
        <v>287</v>
      </c>
      <c r="AD54" t="s">
        <v>79</v>
      </c>
      <c r="AE54" s="2">
        <v>43720.635717592602</v>
      </c>
      <c r="AF54" t="s">
        <v>34</v>
      </c>
      <c r="AG54" s="2">
        <v>43720.635717592602</v>
      </c>
      <c r="AH54" t="s">
        <v>34</v>
      </c>
    </row>
    <row r="55" spans="1:34" x14ac:dyDescent="0.25">
      <c r="A55">
        <v>25</v>
      </c>
      <c r="B55" s="3">
        <v>43720</v>
      </c>
      <c r="C55" s="5">
        <f t="shared" si="1"/>
        <v>43720.344444444447</v>
      </c>
      <c r="D55" t="s">
        <v>78</v>
      </c>
      <c r="E55" t="s">
        <v>305</v>
      </c>
      <c r="F55" t="s">
        <v>306</v>
      </c>
      <c r="G55">
        <v>1</v>
      </c>
      <c r="H55" t="s">
        <v>31</v>
      </c>
      <c r="I55" t="s">
        <v>41</v>
      </c>
      <c r="N55" t="s">
        <v>287</v>
      </c>
      <c r="AD55" t="s">
        <v>80</v>
      </c>
      <c r="AE55" s="2">
        <v>43720.636111111111</v>
      </c>
      <c r="AF55" t="s">
        <v>34</v>
      </c>
      <c r="AG55" s="2">
        <v>43720.636111111111</v>
      </c>
      <c r="AH55" t="s">
        <v>34</v>
      </c>
    </row>
    <row r="56" spans="1:34" x14ac:dyDescent="0.25">
      <c r="A56">
        <v>27</v>
      </c>
      <c r="B56" s="3">
        <v>43720</v>
      </c>
      <c r="C56" s="5">
        <f t="shared" si="1"/>
        <v>43720.345254629639</v>
      </c>
      <c r="D56" t="s">
        <v>78</v>
      </c>
      <c r="E56" t="s">
        <v>305</v>
      </c>
      <c r="F56" t="s">
        <v>306</v>
      </c>
      <c r="G56">
        <v>1</v>
      </c>
      <c r="H56" t="s">
        <v>31</v>
      </c>
      <c r="I56" t="s">
        <v>36</v>
      </c>
      <c r="N56" t="s">
        <v>287</v>
      </c>
      <c r="AD56" t="s">
        <v>82</v>
      </c>
      <c r="AE56" s="2">
        <v>43720.636921296304</v>
      </c>
      <c r="AF56" t="s">
        <v>34</v>
      </c>
      <c r="AG56" s="2">
        <v>43720.636921296304</v>
      </c>
      <c r="AH56" t="s">
        <v>34</v>
      </c>
    </row>
    <row r="57" spans="1:34" x14ac:dyDescent="0.25">
      <c r="A57">
        <v>38</v>
      </c>
      <c r="B57" s="3">
        <v>43720</v>
      </c>
      <c r="C57" s="5">
        <f t="shared" si="1"/>
        <v>43720.364861111113</v>
      </c>
      <c r="D57" t="s">
        <v>78</v>
      </c>
      <c r="E57" t="s">
        <v>305</v>
      </c>
      <c r="F57" t="s">
        <v>306</v>
      </c>
      <c r="G57">
        <v>1</v>
      </c>
      <c r="H57" t="s">
        <v>31</v>
      </c>
      <c r="N57" t="s">
        <v>287</v>
      </c>
      <c r="AD57" t="s">
        <v>98</v>
      </c>
      <c r="AE57" s="2">
        <v>43720.656527777777</v>
      </c>
      <c r="AF57" t="s">
        <v>34</v>
      </c>
      <c r="AG57" s="2">
        <v>43720.656527777777</v>
      </c>
      <c r="AH57" t="s">
        <v>34</v>
      </c>
    </row>
    <row r="58" spans="1:34" x14ac:dyDescent="0.25">
      <c r="A58">
        <v>50</v>
      </c>
      <c r="B58" s="3">
        <v>43720</v>
      </c>
      <c r="C58" s="5">
        <f t="shared" si="1"/>
        <v>43720.374016203707</v>
      </c>
      <c r="D58" t="s">
        <v>78</v>
      </c>
      <c r="E58" t="s">
        <v>305</v>
      </c>
      <c r="F58" t="s">
        <v>306</v>
      </c>
      <c r="G58">
        <v>1</v>
      </c>
      <c r="H58" t="s">
        <v>31</v>
      </c>
      <c r="I58" t="s">
        <v>47</v>
      </c>
      <c r="N58" t="s">
        <v>287</v>
      </c>
      <c r="AD58" t="s">
        <v>113</v>
      </c>
      <c r="AE58" s="2">
        <v>43720.665682870371</v>
      </c>
      <c r="AF58" t="s">
        <v>34</v>
      </c>
      <c r="AG58" s="2">
        <v>43720.665775462963</v>
      </c>
      <c r="AH58" t="s">
        <v>34</v>
      </c>
    </row>
    <row r="59" spans="1:34" x14ac:dyDescent="0.25">
      <c r="A59">
        <v>63</v>
      </c>
      <c r="B59" s="3">
        <v>43720</v>
      </c>
      <c r="C59" s="5">
        <f t="shared" si="1"/>
        <v>43720.383090277777</v>
      </c>
      <c r="D59" t="s">
        <v>78</v>
      </c>
      <c r="E59" t="s">
        <v>305</v>
      </c>
      <c r="F59" t="s">
        <v>306</v>
      </c>
      <c r="G59">
        <v>2</v>
      </c>
      <c r="H59" t="s">
        <v>31</v>
      </c>
      <c r="N59" t="s">
        <v>287</v>
      </c>
      <c r="AD59" t="s">
        <v>130</v>
      </c>
      <c r="AE59" s="2">
        <v>43720.674756944441</v>
      </c>
      <c r="AF59" t="s">
        <v>34</v>
      </c>
      <c r="AG59" s="2">
        <v>43720.674756944441</v>
      </c>
      <c r="AH59" t="s">
        <v>34</v>
      </c>
    </row>
    <row r="60" spans="1:34" x14ac:dyDescent="0.25">
      <c r="A60">
        <v>105</v>
      </c>
      <c r="B60" s="3">
        <v>43720</v>
      </c>
      <c r="C60" s="5">
        <f t="shared" si="1"/>
        <v>43720.328032407408</v>
      </c>
      <c r="D60" t="s">
        <v>78</v>
      </c>
      <c r="E60" t="s">
        <v>305</v>
      </c>
      <c r="F60" t="s">
        <v>306</v>
      </c>
      <c r="G60">
        <v>2</v>
      </c>
      <c r="H60" t="s">
        <v>31</v>
      </c>
      <c r="I60" t="s">
        <v>47</v>
      </c>
      <c r="N60" t="s">
        <v>286</v>
      </c>
      <c r="AD60" t="s">
        <v>191</v>
      </c>
      <c r="AE60" s="2">
        <v>43720.619699074072</v>
      </c>
      <c r="AF60" t="s">
        <v>158</v>
      </c>
      <c r="AG60" s="2">
        <v>43720.620081018518</v>
      </c>
      <c r="AH60" t="s">
        <v>158</v>
      </c>
    </row>
    <row r="61" spans="1:34" x14ac:dyDescent="0.25">
      <c r="A61">
        <v>159</v>
      </c>
      <c r="B61" s="3">
        <v>43720</v>
      </c>
      <c r="C61" s="5">
        <f t="shared" si="1"/>
        <v>43720.380810185183</v>
      </c>
      <c r="D61" t="s">
        <v>78</v>
      </c>
      <c r="E61" t="s">
        <v>305</v>
      </c>
      <c r="F61" t="s">
        <v>306</v>
      </c>
      <c r="G61">
        <v>1</v>
      </c>
      <c r="H61" t="s">
        <v>31</v>
      </c>
      <c r="I61" t="s">
        <v>41</v>
      </c>
      <c r="N61" t="s">
        <v>286</v>
      </c>
      <c r="AD61" t="s">
        <v>255</v>
      </c>
      <c r="AE61" s="2">
        <v>43720.672476851847</v>
      </c>
      <c r="AF61" t="s">
        <v>158</v>
      </c>
      <c r="AG61" s="2">
        <v>43720.672476851847</v>
      </c>
      <c r="AH61" t="s">
        <v>158</v>
      </c>
    </row>
    <row r="62" spans="1:34" x14ac:dyDescent="0.25">
      <c r="A62">
        <v>160</v>
      </c>
      <c r="B62" s="3">
        <v>43720</v>
      </c>
      <c r="C62" s="5">
        <f t="shared" si="1"/>
        <v>43720.381238425929</v>
      </c>
      <c r="D62" t="s">
        <v>78</v>
      </c>
      <c r="E62" t="s">
        <v>305</v>
      </c>
      <c r="F62" t="s">
        <v>306</v>
      </c>
      <c r="G62">
        <v>2</v>
      </c>
      <c r="H62" t="s">
        <v>31</v>
      </c>
      <c r="I62" t="s">
        <v>41</v>
      </c>
      <c r="N62" t="s">
        <v>286</v>
      </c>
      <c r="AD62" t="s">
        <v>256</v>
      </c>
      <c r="AE62" s="2">
        <v>43720.672905092593</v>
      </c>
      <c r="AF62" t="s">
        <v>158</v>
      </c>
      <c r="AG62" s="2">
        <v>43720.673356481479</v>
      </c>
      <c r="AH62" t="s">
        <v>158</v>
      </c>
    </row>
    <row r="63" spans="1:34" x14ac:dyDescent="0.25">
      <c r="A63">
        <v>167</v>
      </c>
      <c r="B63" s="3">
        <v>43720</v>
      </c>
      <c r="C63" s="5">
        <f t="shared" si="1"/>
        <v>43720.387847222235</v>
      </c>
      <c r="D63" t="s">
        <v>78</v>
      </c>
      <c r="E63" t="s">
        <v>305</v>
      </c>
      <c r="F63" t="s">
        <v>306</v>
      </c>
      <c r="G63">
        <v>2</v>
      </c>
      <c r="H63" t="s">
        <v>31</v>
      </c>
      <c r="I63" t="s">
        <v>156</v>
      </c>
      <c r="N63" t="s">
        <v>286</v>
      </c>
      <c r="AD63" t="s">
        <v>264</v>
      </c>
      <c r="AE63" s="2">
        <v>43720.679513888899</v>
      </c>
      <c r="AF63" t="s">
        <v>158</v>
      </c>
      <c r="AG63" s="2">
        <v>43720.679513888899</v>
      </c>
      <c r="AH63" t="s">
        <v>158</v>
      </c>
    </row>
    <row r="64" spans="1:34" x14ac:dyDescent="0.25">
      <c r="A64">
        <v>13</v>
      </c>
      <c r="B64" s="3">
        <v>43720</v>
      </c>
      <c r="C64" s="5">
        <f t="shared" si="1"/>
        <v>43720.334594907406</v>
      </c>
      <c r="D64" t="s">
        <v>61</v>
      </c>
      <c r="E64" t="s">
        <v>314</v>
      </c>
      <c r="F64" t="s">
        <v>315</v>
      </c>
      <c r="G64">
        <v>1</v>
      </c>
      <c r="H64" t="s">
        <v>31</v>
      </c>
      <c r="I64" t="s">
        <v>52</v>
      </c>
      <c r="N64" t="s">
        <v>287</v>
      </c>
      <c r="AD64" t="s">
        <v>62</v>
      </c>
      <c r="AE64" s="2">
        <v>43720.626261574071</v>
      </c>
      <c r="AF64" t="s">
        <v>34</v>
      </c>
      <c r="AG64" s="2">
        <v>43720.626261574071</v>
      </c>
      <c r="AH64" t="s">
        <v>34</v>
      </c>
    </row>
    <row r="65" spans="1:34" x14ac:dyDescent="0.25">
      <c r="A65">
        <v>157</v>
      </c>
      <c r="B65" s="3">
        <v>43720</v>
      </c>
      <c r="C65" s="5">
        <f t="shared" si="1"/>
        <v>43720.377974537048</v>
      </c>
      <c r="D65" t="s">
        <v>61</v>
      </c>
      <c r="E65" t="s">
        <v>314</v>
      </c>
      <c r="F65" t="s">
        <v>315</v>
      </c>
      <c r="G65">
        <v>1</v>
      </c>
      <c r="H65" t="s">
        <v>31</v>
      </c>
      <c r="I65" t="s">
        <v>41</v>
      </c>
      <c r="N65" t="s">
        <v>286</v>
      </c>
      <c r="AD65" t="s">
        <v>253</v>
      </c>
      <c r="AE65" s="2">
        <v>43720.669641203713</v>
      </c>
      <c r="AF65" t="s">
        <v>158</v>
      </c>
      <c r="AG65" s="2">
        <v>43720.669641203713</v>
      </c>
      <c r="AH65" t="s">
        <v>158</v>
      </c>
    </row>
    <row r="66" spans="1:34" x14ac:dyDescent="0.25">
      <c r="A66">
        <v>169</v>
      </c>
      <c r="B66" s="3">
        <v>43720</v>
      </c>
      <c r="C66" s="5">
        <f t="shared" ref="C66:C97" si="2">AE66-(7/24)</f>
        <v>43720.393229166679</v>
      </c>
      <c r="D66" t="s">
        <v>61</v>
      </c>
      <c r="E66" t="s">
        <v>314</v>
      </c>
      <c r="F66" t="s">
        <v>315</v>
      </c>
      <c r="G66">
        <v>1</v>
      </c>
      <c r="H66" t="s">
        <v>208</v>
      </c>
      <c r="I66" t="s">
        <v>41</v>
      </c>
      <c r="N66" t="s">
        <v>286</v>
      </c>
      <c r="AD66" t="s">
        <v>266</v>
      </c>
      <c r="AE66" s="2">
        <v>43720.684895833343</v>
      </c>
      <c r="AF66" t="s">
        <v>158</v>
      </c>
      <c r="AG66" s="2">
        <v>43720.684895833343</v>
      </c>
      <c r="AH66" t="s">
        <v>158</v>
      </c>
    </row>
    <row r="67" spans="1:34" x14ac:dyDescent="0.25">
      <c r="A67">
        <v>85</v>
      </c>
      <c r="B67" s="3">
        <v>43720</v>
      </c>
      <c r="C67" s="5">
        <f t="shared" si="2"/>
        <v>43720.310034722235</v>
      </c>
      <c r="D67" t="s">
        <v>164</v>
      </c>
      <c r="E67" t="s">
        <v>327</v>
      </c>
      <c r="F67" t="s">
        <v>328</v>
      </c>
      <c r="G67">
        <v>11</v>
      </c>
      <c r="H67" t="s">
        <v>31</v>
      </c>
      <c r="I67" t="s">
        <v>162</v>
      </c>
      <c r="N67" t="s">
        <v>286</v>
      </c>
      <c r="AD67" t="s">
        <v>165</v>
      </c>
      <c r="AE67" s="2">
        <v>43720.6017013889</v>
      </c>
      <c r="AF67" t="s">
        <v>158</v>
      </c>
      <c r="AG67" s="2">
        <v>43720.6017013889</v>
      </c>
      <c r="AH67" t="s">
        <v>158</v>
      </c>
    </row>
    <row r="68" spans="1:34" x14ac:dyDescent="0.25">
      <c r="A68">
        <v>149</v>
      </c>
      <c r="B68" s="3">
        <v>43720</v>
      </c>
      <c r="C68" s="5">
        <f t="shared" si="2"/>
        <v>43720.369027777779</v>
      </c>
      <c r="D68" t="s">
        <v>242</v>
      </c>
      <c r="E68" t="s">
        <v>303</v>
      </c>
      <c r="F68" t="s">
        <v>318</v>
      </c>
      <c r="G68">
        <v>1</v>
      </c>
      <c r="H68" t="s">
        <v>31</v>
      </c>
      <c r="I68" t="s">
        <v>168</v>
      </c>
      <c r="N68" t="s">
        <v>286</v>
      </c>
      <c r="AD68" t="s">
        <v>243</v>
      </c>
      <c r="AE68" s="2">
        <v>43720.660694444443</v>
      </c>
      <c r="AF68" t="s">
        <v>158</v>
      </c>
      <c r="AG68" s="2">
        <v>43720.660694444443</v>
      </c>
      <c r="AH68" t="s">
        <v>158</v>
      </c>
    </row>
    <row r="69" spans="1:34" x14ac:dyDescent="0.25">
      <c r="A69">
        <v>35</v>
      </c>
      <c r="B69" s="3">
        <v>43720</v>
      </c>
      <c r="C69" s="5">
        <f t="shared" si="2"/>
        <v>43720.358460648153</v>
      </c>
      <c r="D69" t="s">
        <v>92</v>
      </c>
      <c r="E69" t="s">
        <v>319</v>
      </c>
      <c r="F69" t="s">
        <v>320</v>
      </c>
      <c r="G69">
        <v>2</v>
      </c>
      <c r="H69" t="s">
        <v>31</v>
      </c>
      <c r="I69" t="s">
        <v>93</v>
      </c>
      <c r="N69" t="s">
        <v>287</v>
      </c>
      <c r="AD69" t="s">
        <v>94</v>
      </c>
      <c r="AE69" s="2">
        <v>43720.650127314817</v>
      </c>
      <c r="AF69" t="s">
        <v>34</v>
      </c>
      <c r="AG69" s="2">
        <v>43720.687245370369</v>
      </c>
      <c r="AH69" t="s">
        <v>34</v>
      </c>
    </row>
    <row r="70" spans="1:34" x14ac:dyDescent="0.25">
      <c r="A70">
        <v>116</v>
      </c>
      <c r="B70" s="3">
        <v>43720</v>
      </c>
      <c r="C70" s="5">
        <f t="shared" si="2"/>
        <v>43720.338136574079</v>
      </c>
      <c r="D70" t="s">
        <v>92</v>
      </c>
      <c r="E70" t="s">
        <v>319</v>
      </c>
      <c r="F70" t="s">
        <v>320</v>
      </c>
      <c r="G70">
        <v>3</v>
      </c>
      <c r="H70" t="s">
        <v>31</v>
      </c>
      <c r="I70" t="s">
        <v>93</v>
      </c>
      <c r="N70" t="s">
        <v>286</v>
      </c>
      <c r="AD70" t="s">
        <v>205</v>
      </c>
      <c r="AE70" s="2">
        <v>43720.629803240743</v>
      </c>
      <c r="AF70" t="s">
        <v>158</v>
      </c>
      <c r="AG70" s="2">
        <v>43720.629803240743</v>
      </c>
      <c r="AH70" t="s">
        <v>158</v>
      </c>
    </row>
    <row r="71" spans="1:34" x14ac:dyDescent="0.25">
      <c r="A71">
        <v>89</v>
      </c>
      <c r="B71" s="3">
        <v>43720</v>
      </c>
      <c r="C71" s="5">
        <f t="shared" si="2"/>
        <v>43720.311493055553</v>
      </c>
      <c r="D71" t="s">
        <v>172</v>
      </c>
      <c r="E71" t="s">
        <v>325</v>
      </c>
      <c r="F71" t="s">
        <v>326</v>
      </c>
      <c r="G71">
        <v>11</v>
      </c>
      <c r="H71" t="s">
        <v>31</v>
      </c>
      <c r="I71" t="s">
        <v>156</v>
      </c>
      <c r="N71" t="s">
        <v>286</v>
      </c>
      <c r="AD71" t="s">
        <v>173</v>
      </c>
      <c r="AE71" s="2">
        <v>43720.603159722217</v>
      </c>
      <c r="AF71" t="s">
        <v>158</v>
      </c>
      <c r="AG71" s="2">
        <v>43720.603159722217</v>
      </c>
      <c r="AH71" t="s">
        <v>158</v>
      </c>
    </row>
    <row r="72" spans="1:34" x14ac:dyDescent="0.25">
      <c r="A72">
        <v>82</v>
      </c>
      <c r="B72" s="3">
        <v>43720</v>
      </c>
      <c r="C72" s="5">
        <f t="shared" si="2"/>
        <v>43720.308842592596</v>
      </c>
      <c r="D72" t="s">
        <v>159</v>
      </c>
      <c r="E72" t="s">
        <v>325</v>
      </c>
      <c r="F72" t="s">
        <v>326</v>
      </c>
      <c r="G72">
        <v>38</v>
      </c>
      <c r="H72" t="s">
        <v>31</v>
      </c>
      <c r="I72" t="s">
        <v>156</v>
      </c>
      <c r="N72" t="s">
        <v>286</v>
      </c>
      <c r="AD72" t="s">
        <v>160</v>
      </c>
      <c r="AE72" s="2">
        <v>43720.60050925926</v>
      </c>
      <c r="AF72" t="s">
        <v>158</v>
      </c>
      <c r="AG72" s="2">
        <v>43720.60119212963</v>
      </c>
      <c r="AH72" t="s">
        <v>158</v>
      </c>
    </row>
    <row r="73" spans="1:34" x14ac:dyDescent="0.25">
      <c r="A73">
        <v>86</v>
      </c>
      <c r="B73" s="3">
        <v>43720</v>
      </c>
      <c r="C73" s="5">
        <f t="shared" si="2"/>
        <v>43720.310243055559</v>
      </c>
      <c r="D73" t="s">
        <v>166</v>
      </c>
      <c r="E73" t="s">
        <v>317</v>
      </c>
      <c r="F73" t="s">
        <v>317</v>
      </c>
      <c r="G73">
        <v>1</v>
      </c>
      <c r="H73" t="s">
        <v>31</v>
      </c>
      <c r="I73" t="s">
        <v>156</v>
      </c>
      <c r="N73" t="s">
        <v>286</v>
      </c>
      <c r="AD73" t="s">
        <v>167</v>
      </c>
      <c r="AE73" s="2">
        <v>43720.601909722223</v>
      </c>
      <c r="AF73" t="s">
        <v>158</v>
      </c>
      <c r="AG73" s="2">
        <v>43720.604930555557</v>
      </c>
      <c r="AH73" t="s">
        <v>158</v>
      </c>
    </row>
    <row r="74" spans="1:34" x14ac:dyDescent="0.25">
      <c r="A74">
        <v>94</v>
      </c>
      <c r="B74" s="3">
        <v>43720</v>
      </c>
      <c r="C74" s="5">
        <f t="shared" si="2"/>
        <v>43720.319884259268</v>
      </c>
      <c r="D74" t="s">
        <v>166</v>
      </c>
      <c r="E74" t="s">
        <v>317</v>
      </c>
      <c r="F74" t="s">
        <v>317</v>
      </c>
      <c r="G74">
        <v>1</v>
      </c>
      <c r="H74" t="s">
        <v>31</v>
      </c>
      <c r="I74" t="s">
        <v>156</v>
      </c>
      <c r="N74" t="s">
        <v>286</v>
      </c>
      <c r="AD74" t="s">
        <v>179</v>
      </c>
      <c r="AE74" s="2">
        <v>43720.611550925933</v>
      </c>
      <c r="AF74" t="s">
        <v>158</v>
      </c>
      <c r="AG74" s="2">
        <v>43720.611550925933</v>
      </c>
      <c r="AH74" t="s">
        <v>158</v>
      </c>
    </row>
    <row r="75" spans="1:34" x14ac:dyDescent="0.25">
      <c r="A75">
        <v>3</v>
      </c>
      <c r="B75" s="3">
        <v>43720</v>
      </c>
      <c r="C75" s="5">
        <f t="shared" si="2"/>
        <v>43720.322731481494</v>
      </c>
      <c r="D75" t="s">
        <v>38</v>
      </c>
      <c r="E75" t="s">
        <v>303</v>
      </c>
      <c r="F75" t="s">
        <v>304</v>
      </c>
      <c r="G75">
        <v>1</v>
      </c>
      <c r="H75" t="s">
        <v>31</v>
      </c>
      <c r="N75" t="s">
        <v>287</v>
      </c>
      <c r="AD75" t="s">
        <v>39</v>
      </c>
      <c r="AE75" s="2">
        <v>43720.614398148158</v>
      </c>
      <c r="AF75" t="s">
        <v>34</v>
      </c>
      <c r="AG75" s="2">
        <v>43720.614398148158</v>
      </c>
      <c r="AH75" t="s">
        <v>34</v>
      </c>
    </row>
    <row r="76" spans="1:34" x14ac:dyDescent="0.25">
      <c r="A76">
        <v>64</v>
      </c>
      <c r="B76" s="3">
        <v>43720</v>
      </c>
      <c r="C76" s="5">
        <f t="shared" si="2"/>
        <v>43720.388356481482</v>
      </c>
      <c r="D76" t="s">
        <v>38</v>
      </c>
      <c r="E76" t="s">
        <v>303</v>
      </c>
      <c r="F76" t="s">
        <v>304</v>
      </c>
      <c r="G76">
        <v>1</v>
      </c>
      <c r="H76" t="s">
        <v>31</v>
      </c>
      <c r="I76" t="s">
        <v>47</v>
      </c>
      <c r="N76" t="s">
        <v>287</v>
      </c>
      <c r="AD76" t="s">
        <v>131</v>
      </c>
      <c r="AE76" s="2">
        <v>43720.680023148147</v>
      </c>
      <c r="AF76" t="s">
        <v>34</v>
      </c>
      <c r="AG76" s="2">
        <v>43720.680023148147</v>
      </c>
      <c r="AH76" t="s">
        <v>34</v>
      </c>
    </row>
    <row r="77" spans="1:34" x14ac:dyDescent="0.25">
      <c r="A77">
        <v>126</v>
      </c>
      <c r="B77" s="3">
        <v>43720</v>
      </c>
      <c r="C77" s="5">
        <f t="shared" si="2"/>
        <v>43720.348275462966</v>
      </c>
      <c r="D77" t="s">
        <v>38</v>
      </c>
      <c r="E77" t="s">
        <v>303</v>
      </c>
      <c r="F77" t="s">
        <v>304</v>
      </c>
      <c r="G77">
        <v>2</v>
      </c>
      <c r="H77" t="s">
        <v>31</v>
      </c>
      <c r="I77" t="s">
        <v>41</v>
      </c>
      <c r="N77" t="s">
        <v>286</v>
      </c>
      <c r="AD77" t="s">
        <v>218</v>
      </c>
      <c r="AE77" s="2">
        <v>43720.63994212963</v>
      </c>
      <c r="AF77" t="s">
        <v>158</v>
      </c>
      <c r="AG77" s="2">
        <v>43720.63994212963</v>
      </c>
      <c r="AH77" t="s">
        <v>158</v>
      </c>
    </row>
    <row r="78" spans="1:34" x14ac:dyDescent="0.25">
      <c r="A78">
        <v>130</v>
      </c>
      <c r="B78" s="3">
        <v>43720</v>
      </c>
      <c r="C78" s="5">
        <f t="shared" si="2"/>
        <v>43720.351307870384</v>
      </c>
      <c r="D78" t="s">
        <v>38</v>
      </c>
      <c r="E78" t="s">
        <v>303</v>
      </c>
      <c r="F78" t="s">
        <v>304</v>
      </c>
      <c r="G78">
        <v>6</v>
      </c>
      <c r="H78" t="s">
        <v>31</v>
      </c>
      <c r="I78" t="s">
        <v>41</v>
      </c>
      <c r="N78" t="s">
        <v>286</v>
      </c>
      <c r="AD78" t="s">
        <v>222</v>
      </c>
      <c r="AE78" s="2">
        <v>43720.642974537048</v>
      </c>
      <c r="AF78" t="s">
        <v>158</v>
      </c>
      <c r="AG78" s="2">
        <v>43720.642974537048</v>
      </c>
      <c r="AH78" t="s">
        <v>158</v>
      </c>
    </row>
    <row r="79" spans="1:34" x14ac:dyDescent="0.25">
      <c r="A79">
        <v>135</v>
      </c>
      <c r="B79" s="3">
        <v>43720</v>
      </c>
      <c r="C79" s="5">
        <f t="shared" si="2"/>
        <v>43720.355254629634</v>
      </c>
      <c r="D79" t="s">
        <v>38</v>
      </c>
      <c r="E79" t="s">
        <v>303</v>
      </c>
      <c r="F79" t="s">
        <v>304</v>
      </c>
      <c r="G79">
        <v>4</v>
      </c>
      <c r="H79" t="s">
        <v>31</v>
      </c>
      <c r="I79" t="s">
        <v>41</v>
      </c>
      <c r="N79" t="s">
        <v>286</v>
      </c>
      <c r="AD79" t="s">
        <v>227</v>
      </c>
      <c r="AE79" s="2">
        <v>43720.646921296298</v>
      </c>
      <c r="AF79" t="s">
        <v>158</v>
      </c>
      <c r="AG79" s="2">
        <v>43720.646921296298</v>
      </c>
      <c r="AH79" t="s">
        <v>158</v>
      </c>
    </row>
    <row r="80" spans="1:34" x14ac:dyDescent="0.25">
      <c r="A80">
        <v>154</v>
      </c>
      <c r="B80" s="3">
        <v>43720</v>
      </c>
      <c r="C80" s="5">
        <f t="shared" si="2"/>
        <v>43720.372719907413</v>
      </c>
      <c r="D80" t="s">
        <v>38</v>
      </c>
      <c r="E80" t="s">
        <v>303</v>
      </c>
      <c r="F80" t="s">
        <v>304</v>
      </c>
      <c r="G80">
        <v>2</v>
      </c>
      <c r="H80" t="s">
        <v>31</v>
      </c>
      <c r="I80" t="s">
        <v>41</v>
      </c>
      <c r="N80" t="s">
        <v>286</v>
      </c>
      <c r="AD80" t="s">
        <v>249</v>
      </c>
      <c r="AE80" s="2">
        <v>43720.664386574077</v>
      </c>
      <c r="AF80" t="s">
        <v>158</v>
      </c>
      <c r="AG80" s="2">
        <v>43720.664386574077</v>
      </c>
      <c r="AH80" t="s">
        <v>158</v>
      </c>
    </row>
    <row r="81" spans="1:34" x14ac:dyDescent="0.25">
      <c r="A81">
        <v>6</v>
      </c>
      <c r="B81" s="3">
        <v>43720</v>
      </c>
      <c r="C81" s="5">
        <f t="shared" si="2"/>
        <v>43720.324745370373</v>
      </c>
      <c r="D81" t="s">
        <v>45</v>
      </c>
      <c r="E81" t="s">
        <v>307</v>
      </c>
      <c r="F81" t="s">
        <v>309</v>
      </c>
      <c r="G81">
        <v>1</v>
      </c>
      <c r="H81" t="s">
        <v>31</v>
      </c>
      <c r="N81" t="s">
        <v>287</v>
      </c>
      <c r="AD81" t="s">
        <v>46</v>
      </c>
      <c r="AE81" s="2">
        <v>43720.616412037038</v>
      </c>
      <c r="AF81" t="s">
        <v>34</v>
      </c>
      <c r="AG81" s="2">
        <v>43720.616412037038</v>
      </c>
      <c r="AH81" t="s">
        <v>34</v>
      </c>
    </row>
    <row r="82" spans="1:34" x14ac:dyDescent="0.25">
      <c r="A82">
        <v>34</v>
      </c>
      <c r="B82" s="3">
        <v>43720</v>
      </c>
      <c r="C82" s="5">
        <f t="shared" si="2"/>
        <v>43720.355243055557</v>
      </c>
      <c r="D82" t="s">
        <v>45</v>
      </c>
      <c r="E82" t="s">
        <v>307</v>
      </c>
      <c r="F82" t="s">
        <v>309</v>
      </c>
      <c r="G82">
        <v>1</v>
      </c>
      <c r="H82" t="s">
        <v>31</v>
      </c>
      <c r="I82" t="s">
        <v>41</v>
      </c>
      <c r="N82" t="s">
        <v>287</v>
      </c>
      <c r="AD82" t="s">
        <v>91</v>
      </c>
      <c r="AE82" s="2">
        <v>43720.646909722222</v>
      </c>
      <c r="AF82" t="s">
        <v>34</v>
      </c>
      <c r="AG82" s="2">
        <v>43720.646909722222</v>
      </c>
      <c r="AH82" t="s">
        <v>34</v>
      </c>
    </row>
    <row r="83" spans="1:34" x14ac:dyDescent="0.25">
      <c r="A83">
        <v>65</v>
      </c>
      <c r="B83" s="3">
        <v>43720</v>
      </c>
      <c r="C83" s="5">
        <f t="shared" si="2"/>
        <v>43720.389120370375</v>
      </c>
      <c r="D83" t="s">
        <v>45</v>
      </c>
      <c r="E83" t="s">
        <v>307</v>
      </c>
      <c r="F83" t="s">
        <v>309</v>
      </c>
      <c r="G83">
        <v>1</v>
      </c>
      <c r="H83" t="s">
        <v>31</v>
      </c>
      <c r="I83" t="s">
        <v>47</v>
      </c>
      <c r="N83" t="s">
        <v>287</v>
      </c>
      <c r="AD83" t="s">
        <v>132</v>
      </c>
      <c r="AE83" s="2">
        <v>43720.680787037039</v>
      </c>
      <c r="AF83" t="s">
        <v>34</v>
      </c>
      <c r="AG83" s="2">
        <v>43720.680787037039</v>
      </c>
      <c r="AH83" t="s">
        <v>34</v>
      </c>
    </row>
    <row r="84" spans="1:34" x14ac:dyDescent="0.25">
      <c r="A84">
        <v>91</v>
      </c>
      <c r="B84" s="3">
        <v>43720</v>
      </c>
      <c r="C84" s="5">
        <f t="shared" si="2"/>
        <v>43720.315844907418</v>
      </c>
      <c r="D84" t="s">
        <v>45</v>
      </c>
      <c r="E84" t="s">
        <v>307</v>
      </c>
      <c r="F84" t="s">
        <v>309</v>
      </c>
      <c r="G84">
        <v>1</v>
      </c>
      <c r="H84" t="s">
        <v>31</v>
      </c>
      <c r="I84" t="s">
        <v>47</v>
      </c>
      <c r="N84" t="s">
        <v>286</v>
      </c>
      <c r="AD84" t="s">
        <v>176</v>
      </c>
      <c r="AE84" s="2">
        <v>43720.607511574082</v>
      </c>
      <c r="AF84" t="s">
        <v>158</v>
      </c>
      <c r="AG84" s="2">
        <v>43720.607511574082</v>
      </c>
      <c r="AH84" t="s">
        <v>158</v>
      </c>
    </row>
    <row r="85" spans="1:34" x14ac:dyDescent="0.25">
      <c r="A85">
        <v>107</v>
      </c>
      <c r="B85" s="3">
        <v>43720</v>
      </c>
      <c r="C85" s="5">
        <f t="shared" si="2"/>
        <v>43720.330289351856</v>
      </c>
      <c r="D85" t="s">
        <v>45</v>
      </c>
      <c r="E85" t="s">
        <v>307</v>
      </c>
      <c r="F85" t="s">
        <v>309</v>
      </c>
      <c r="G85">
        <v>1</v>
      </c>
      <c r="H85" t="s">
        <v>31</v>
      </c>
      <c r="I85" t="s">
        <v>47</v>
      </c>
      <c r="N85" t="s">
        <v>286</v>
      </c>
      <c r="AD85" t="s">
        <v>194</v>
      </c>
      <c r="AE85" s="2">
        <v>43720.62195601852</v>
      </c>
      <c r="AF85" t="s">
        <v>158</v>
      </c>
      <c r="AG85" s="2">
        <v>43720.62195601852</v>
      </c>
      <c r="AH85" t="s">
        <v>158</v>
      </c>
    </row>
    <row r="86" spans="1:34" x14ac:dyDescent="0.25">
      <c r="A86">
        <v>134</v>
      </c>
      <c r="B86" s="3">
        <v>43720</v>
      </c>
      <c r="C86" s="5">
        <f t="shared" si="2"/>
        <v>43720.354652777773</v>
      </c>
      <c r="D86" t="s">
        <v>45</v>
      </c>
      <c r="E86" t="s">
        <v>307</v>
      </c>
      <c r="F86" t="s">
        <v>309</v>
      </c>
      <c r="G86">
        <v>1</v>
      </c>
      <c r="H86" t="s">
        <v>31</v>
      </c>
      <c r="I86" t="s">
        <v>47</v>
      </c>
      <c r="N86" t="s">
        <v>286</v>
      </c>
      <c r="AD86" t="s">
        <v>226</v>
      </c>
      <c r="AE86" s="2">
        <v>43720.646319444437</v>
      </c>
      <c r="AF86" t="s">
        <v>158</v>
      </c>
      <c r="AG86" s="2">
        <v>43720.646319444437</v>
      </c>
      <c r="AH86" t="s">
        <v>158</v>
      </c>
    </row>
    <row r="87" spans="1:34" x14ac:dyDescent="0.25">
      <c r="A87">
        <v>146</v>
      </c>
      <c r="B87" s="3">
        <v>43720</v>
      </c>
      <c r="C87" s="5">
        <f t="shared" si="2"/>
        <v>43720.366620370383</v>
      </c>
      <c r="D87" t="s">
        <v>45</v>
      </c>
      <c r="E87" t="s">
        <v>307</v>
      </c>
      <c r="F87" t="s">
        <v>309</v>
      </c>
      <c r="G87">
        <v>1</v>
      </c>
      <c r="H87" t="s">
        <v>31</v>
      </c>
      <c r="I87" t="s">
        <v>41</v>
      </c>
      <c r="N87" t="s">
        <v>286</v>
      </c>
      <c r="AD87" t="s">
        <v>238</v>
      </c>
      <c r="AE87" s="2">
        <v>43720.658287037048</v>
      </c>
      <c r="AF87" t="s">
        <v>158</v>
      </c>
      <c r="AG87" s="2">
        <v>43720.658287037048</v>
      </c>
      <c r="AH87" t="s">
        <v>158</v>
      </c>
    </row>
    <row r="88" spans="1:34" x14ac:dyDescent="0.25">
      <c r="A88">
        <v>174</v>
      </c>
      <c r="B88" s="3">
        <v>43720</v>
      </c>
      <c r="C88" s="5">
        <f t="shared" si="2"/>
        <v>43720.400810185187</v>
      </c>
      <c r="D88" t="s">
        <v>45</v>
      </c>
      <c r="E88" t="s">
        <v>307</v>
      </c>
      <c r="F88" t="s">
        <v>309</v>
      </c>
      <c r="G88">
        <v>1</v>
      </c>
      <c r="H88" t="s">
        <v>31</v>
      </c>
      <c r="I88" t="s">
        <v>47</v>
      </c>
      <c r="N88" t="s">
        <v>286</v>
      </c>
      <c r="AD88" t="s">
        <v>272</v>
      </c>
      <c r="AE88" s="2">
        <v>43720.692476851851</v>
      </c>
      <c r="AF88" t="s">
        <v>158</v>
      </c>
      <c r="AG88" s="2">
        <v>43720.692476851851</v>
      </c>
      <c r="AH88" t="s">
        <v>158</v>
      </c>
    </row>
    <row r="89" spans="1:34" x14ac:dyDescent="0.25">
      <c r="A89">
        <v>19</v>
      </c>
      <c r="B89" s="3">
        <v>43720</v>
      </c>
      <c r="C89" s="5">
        <f t="shared" si="2"/>
        <v>43720.339375000003</v>
      </c>
      <c r="D89" t="s">
        <v>70</v>
      </c>
      <c r="E89" t="s">
        <v>317</v>
      </c>
      <c r="F89" t="s">
        <v>317</v>
      </c>
      <c r="G89">
        <v>56</v>
      </c>
      <c r="H89" t="s">
        <v>31</v>
      </c>
      <c r="I89" t="s">
        <v>32</v>
      </c>
      <c r="N89" t="s">
        <v>287</v>
      </c>
      <c r="AD89" t="s">
        <v>71</v>
      </c>
      <c r="AE89" s="2">
        <v>43720.631041666667</v>
      </c>
      <c r="AF89" t="s">
        <v>34</v>
      </c>
      <c r="AG89" s="2">
        <v>43720.631041666667</v>
      </c>
      <c r="AH89" t="s">
        <v>34</v>
      </c>
    </row>
    <row r="90" spans="1:34" x14ac:dyDescent="0.25">
      <c r="A90">
        <v>77</v>
      </c>
      <c r="B90" s="3">
        <v>43720</v>
      </c>
      <c r="C90" s="5">
        <f t="shared" si="2"/>
        <v>43720.410601851865</v>
      </c>
      <c r="D90" t="s">
        <v>70</v>
      </c>
      <c r="E90" t="s">
        <v>317</v>
      </c>
      <c r="F90" t="s">
        <v>317</v>
      </c>
      <c r="G90">
        <v>1</v>
      </c>
      <c r="H90" t="s">
        <v>31</v>
      </c>
      <c r="I90" t="s">
        <v>93</v>
      </c>
      <c r="N90" t="s">
        <v>287</v>
      </c>
      <c r="AD90" t="s">
        <v>150</v>
      </c>
      <c r="AE90" s="2">
        <v>43720.702268518529</v>
      </c>
      <c r="AF90" t="s">
        <v>34</v>
      </c>
      <c r="AG90" s="2">
        <v>43720.702268518529</v>
      </c>
      <c r="AH90" t="s">
        <v>34</v>
      </c>
    </row>
    <row r="91" spans="1:34" x14ac:dyDescent="0.25">
      <c r="A91">
        <v>110</v>
      </c>
      <c r="B91" s="3">
        <v>43720</v>
      </c>
      <c r="C91" s="5">
        <f t="shared" si="2"/>
        <v>43720.333645833336</v>
      </c>
      <c r="D91" t="s">
        <v>70</v>
      </c>
      <c r="E91" t="s">
        <v>317</v>
      </c>
      <c r="F91" t="s">
        <v>317</v>
      </c>
      <c r="G91">
        <v>2</v>
      </c>
      <c r="H91" t="s">
        <v>31</v>
      </c>
      <c r="I91" t="s">
        <v>156</v>
      </c>
      <c r="N91" t="s">
        <v>286</v>
      </c>
      <c r="AD91" t="s">
        <v>198</v>
      </c>
      <c r="AE91" s="2">
        <v>43720.6253125</v>
      </c>
      <c r="AF91" t="s">
        <v>158</v>
      </c>
      <c r="AG91" s="2">
        <v>43720.6253125</v>
      </c>
      <c r="AH91" t="s">
        <v>158</v>
      </c>
    </row>
    <row r="92" spans="1:34" x14ac:dyDescent="0.25">
      <c r="A92">
        <v>115</v>
      </c>
      <c r="B92" s="3">
        <v>43720</v>
      </c>
      <c r="C92" s="5">
        <f t="shared" si="2"/>
        <v>43720.337870370378</v>
      </c>
      <c r="D92" t="s">
        <v>70</v>
      </c>
      <c r="E92" t="s">
        <v>317</v>
      </c>
      <c r="F92" t="s">
        <v>317</v>
      </c>
      <c r="G92">
        <v>29</v>
      </c>
      <c r="H92" t="s">
        <v>31</v>
      </c>
      <c r="I92" t="s">
        <v>32</v>
      </c>
      <c r="N92" t="s">
        <v>286</v>
      </c>
      <c r="AD92" t="s">
        <v>204</v>
      </c>
      <c r="AE92" s="2">
        <v>43720.629537037043</v>
      </c>
      <c r="AF92" t="s">
        <v>158</v>
      </c>
      <c r="AG92" s="2">
        <v>43720.629537037043</v>
      </c>
      <c r="AH92" t="s">
        <v>158</v>
      </c>
    </row>
    <row r="93" spans="1:34" x14ac:dyDescent="0.25">
      <c r="A93">
        <v>119</v>
      </c>
      <c r="B93" s="3">
        <v>43720</v>
      </c>
      <c r="C93" s="5">
        <f t="shared" si="2"/>
        <v>43720.340300925927</v>
      </c>
      <c r="D93" t="s">
        <v>70</v>
      </c>
      <c r="E93" t="s">
        <v>317</v>
      </c>
      <c r="F93" t="s">
        <v>317</v>
      </c>
      <c r="G93">
        <v>40</v>
      </c>
      <c r="H93" t="s">
        <v>208</v>
      </c>
      <c r="I93" t="s">
        <v>156</v>
      </c>
      <c r="N93" t="s">
        <v>286</v>
      </c>
      <c r="AD93" t="s">
        <v>209</v>
      </c>
      <c r="AE93" s="2">
        <v>43720.631967592592</v>
      </c>
      <c r="AF93" t="s">
        <v>158</v>
      </c>
      <c r="AG93" s="2">
        <v>43720.631967592592</v>
      </c>
      <c r="AH93" t="s">
        <v>158</v>
      </c>
    </row>
    <row r="94" spans="1:34" x14ac:dyDescent="0.25">
      <c r="A94">
        <v>54</v>
      </c>
      <c r="B94" s="3">
        <v>43720</v>
      </c>
      <c r="C94" s="5">
        <f t="shared" si="2"/>
        <v>43720.376770833333</v>
      </c>
      <c r="D94" t="s">
        <v>118</v>
      </c>
      <c r="E94" t="s">
        <v>303</v>
      </c>
      <c r="F94" t="s">
        <v>302</v>
      </c>
      <c r="G94">
        <v>2</v>
      </c>
      <c r="H94" t="s">
        <v>31</v>
      </c>
      <c r="I94" t="s">
        <v>41</v>
      </c>
      <c r="N94" t="s">
        <v>287</v>
      </c>
      <c r="AD94" t="s">
        <v>119</v>
      </c>
      <c r="AE94" s="2">
        <v>43720.668437499997</v>
      </c>
      <c r="AF94" t="s">
        <v>34</v>
      </c>
      <c r="AG94" s="2">
        <v>43720.668437499997</v>
      </c>
      <c r="AH94" t="s">
        <v>34</v>
      </c>
    </row>
    <row r="95" spans="1:34" x14ac:dyDescent="0.25">
      <c r="A95">
        <v>76</v>
      </c>
      <c r="B95" s="3">
        <v>43720</v>
      </c>
      <c r="C95" s="5">
        <f t="shared" si="2"/>
        <v>43720.410208333335</v>
      </c>
      <c r="D95" t="s">
        <v>148</v>
      </c>
      <c r="E95" t="s">
        <v>317</v>
      </c>
      <c r="F95" t="s">
        <v>317</v>
      </c>
      <c r="G95">
        <v>1</v>
      </c>
      <c r="H95" t="s">
        <v>31</v>
      </c>
      <c r="I95" t="s">
        <v>93</v>
      </c>
      <c r="N95" t="s">
        <v>287</v>
      </c>
      <c r="AD95" t="s">
        <v>149</v>
      </c>
      <c r="AE95" s="2">
        <v>43720.701874999999</v>
      </c>
      <c r="AF95" t="s">
        <v>34</v>
      </c>
      <c r="AG95" s="2">
        <v>43720.701874999999</v>
      </c>
      <c r="AH95" t="s">
        <v>34</v>
      </c>
    </row>
    <row r="96" spans="1:34" x14ac:dyDescent="0.25">
      <c r="A96">
        <v>117</v>
      </c>
      <c r="B96" s="3">
        <v>43720</v>
      </c>
      <c r="C96" s="5">
        <f t="shared" si="2"/>
        <v>43720.339560185188</v>
      </c>
      <c r="D96" t="s">
        <v>148</v>
      </c>
      <c r="E96" t="s">
        <v>317</v>
      </c>
      <c r="F96" t="s">
        <v>317</v>
      </c>
      <c r="G96">
        <v>1</v>
      </c>
      <c r="H96" t="s">
        <v>31</v>
      </c>
      <c r="I96" t="s">
        <v>156</v>
      </c>
      <c r="N96" t="s">
        <v>286</v>
      </c>
      <c r="AD96" t="s">
        <v>206</v>
      </c>
      <c r="AE96" s="2">
        <v>43720.631226851852</v>
      </c>
      <c r="AF96" t="s">
        <v>158</v>
      </c>
      <c r="AG96" s="2">
        <v>43720.631226851852</v>
      </c>
      <c r="AH96" t="s">
        <v>158</v>
      </c>
    </row>
    <row r="97" spans="1:34" x14ac:dyDescent="0.25">
      <c r="A97">
        <v>59</v>
      </c>
      <c r="B97" s="3">
        <v>43720</v>
      </c>
      <c r="C97" s="5">
        <f t="shared" si="2"/>
        <v>43720.380682870375</v>
      </c>
      <c r="D97" t="s">
        <v>125</v>
      </c>
      <c r="E97" t="s">
        <v>303</v>
      </c>
      <c r="F97" t="s">
        <v>304</v>
      </c>
      <c r="G97">
        <v>1</v>
      </c>
      <c r="H97" t="s">
        <v>31</v>
      </c>
      <c r="N97" t="s">
        <v>287</v>
      </c>
      <c r="AD97" t="s">
        <v>126</v>
      </c>
      <c r="AE97" s="2">
        <v>43720.672349537039</v>
      </c>
      <c r="AF97" t="s">
        <v>34</v>
      </c>
      <c r="AG97" s="2">
        <v>43720.672349537039</v>
      </c>
      <c r="AH97" t="s">
        <v>34</v>
      </c>
    </row>
    <row r="98" spans="1:34" x14ac:dyDescent="0.25">
      <c r="A98">
        <v>136</v>
      </c>
      <c r="B98" s="3">
        <v>43720</v>
      </c>
      <c r="C98" s="5">
        <f t="shared" ref="C98:C129" si="3">AE98-(7/24)</f>
        <v>43720.356469907412</v>
      </c>
      <c r="D98" t="s">
        <v>125</v>
      </c>
      <c r="E98" t="s">
        <v>303</v>
      </c>
      <c r="F98" t="s">
        <v>304</v>
      </c>
      <c r="G98">
        <v>1</v>
      </c>
      <c r="H98" t="s">
        <v>31</v>
      </c>
      <c r="I98" t="s">
        <v>41</v>
      </c>
      <c r="N98" t="s">
        <v>286</v>
      </c>
      <c r="AD98" t="s">
        <v>228</v>
      </c>
      <c r="AE98" s="2">
        <v>43720.648136574076</v>
      </c>
      <c r="AF98" t="s">
        <v>158</v>
      </c>
      <c r="AG98" s="2">
        <v>43720.648136574076</v>
      </c>
      <c r="AH98" t="s">
        <v>158</v>
      </c>
    </row>
    <row r="99" spans="1:34" x14ac:dyDescent="0.25">
      <c r="A99">
        <v>90</v>
      </c>
      <c r="B99" s="3">
        <v>43720</v>
      </c>
      <c r="C99" s="5">
        <f t="shared" si="3"/>
        <v>43720.313726851855</v>
      </c>
      <c r="D99" t="s">
        <v>284</v>
      </c>
      <c r="E99" t="s">
        <v>317</v>
      </c>
      <c r="F99" t="s">
        <v>317</v>
      </c>
      <c r="G99">
        <v>2</v>
      </c>
      <c r="H99" t="s">
        <v>31</v>
      </c>
      <c r="I99" t="s">
        <v>156</v>
      </c>
      <c r="L99" t="s">
        <v>174</v>
      </c>
      <c r="N99" t="s">
        <v>286</v>
      </c>
      <c r="AD99" t="s">
        <v>175</v>
      </c>
      <c r="AE99" s="2">
        <v>43720.605393518519</v>
      </c>
      <c r="AF99" t="s">
        <v>158</v>
      </c>
      <c r="AG99" s="2">
        <v>43720.608715277784</v>
      </c>
      <c r="AH99" t="s">
        <v>158</v>
      </c>
    </row>
    <row r="100" spans="1:34" x14ac:dyDescent="0.25">
      <c r="A100">
        <v>106</v>
      </c>
      <c r="B100" s="3">
        <v>43720</v>
      </c>
      <c r="C100" s="5">
        <f t="shared" si="3"/>
        <v>43720.328680555554</v>
      </c>
      <c r="D100" t="s">
        <v>192</v>
      </c>
      <c r="E100" t="s">
        <v>307</v>
      </c>
      <c r="F100" t="s">
        <v>302</v>
      </c>
      <c r="G100">
        <v>1</v>
      </c>
      <c r="H100" t="s">
        <v>31</v>
      </c>
      <c r="I100" t="s">
        <v>47</v>
      </c>
      <c r="N100" t="s">
        <v>286</v>
      </c>
      <c r="AD100" t="s">
        <v>193</v>
      </c>
      <c r="AE100" s="2">
        <v>43720.620347222219</v>
      </c>
      <c r="AF100" t="s">
        <v>158</v>
      </c>
      <c r="AG100" s="2">
        <v>43720.620347222219</v>
      </c>
      <c r="AH100" t="s">
        <v>158</v>
      </c>
    </row>
    <row r="101" spans="1:34" x14ac:dyDescent="0.25">
      <c r="A101">
        <v>16</v>
      </c>
      <c r="B101" s="3">
        <v>43720</v>
      </c>
      <c r="C101" s="5">
        <f t="shared" si="3"/>
        <v>43720.338043981486</v>
      </c>
      <c r="D101" t="s">
        <v>66</v>
      </c>
      <c r="E101" t="s">
        <v>314</v>
      </c>
      <c r="F101" t="s">
        <v>316</v>
      </c>
      <c r="G101">
        <v>1</v>
      </c>
      <c r="H101" t="s">
        <v>31</v>
      </c>
      <c r="I101" t="s">
        <v>41</v>
      </c>
      <c r="N101" t="s">
        <v>287</v>
      </c>
      <c r="AD101" t="s">
        <v>67</v>
      </c>
      <c r="AE101" s="2">
        <v>43720.629710648151</v>
      </c>
      <c r="AF101" t="s">
        <v>34</v>
      </c>
      <c r="AG101" s="2">
        <v>43720.629710648151</v>
      </c>
      <c r="AH101" t="s">
        <v>34</v>
      </c>
    </row>
    <row r="102" spans="1:34" x14ac:dyDescent="0.25">
      <c r="A102">
        <v>17</v>
      </c>
      <c r="B102" s="3">
        <v>43720</v>
      </c>
      <c r="C102" s="5">
        <f t="shared" si="3"/>
        <v>43720.338333333333</v>
      </c>
      <c r="D102" t="s">
        <v>66</v>
      </c>
      <c r="E102" t="s">
        <v>314</v>
      </c>
      <c r="F102" t="s">
        <v>316</v>
      </c>
      <c r="G102">
        <v>1</v>
      </c>
      <c r="H102" t="s">
        <v>31</v>
      </c>
      <c r="I102" t="s">
        <v>41</v>
      </c>
      <c r="N102" t="s">
        <v>287</v>
      </c>
      <c r="AD102" t="s">
        <v>68</v>
      </c>
      <c r="AE102" s="2">
        <v>43720.63</v>
      </c>
      <c r="AF102" t="s">
        <v>34</v>
      </c>
      <c r="AG102" s="2">
        <v>43720.63</v>
      </c>
      <c r="AH102" t="s">
        <v>34</v>
      </c>
    </row>
    <row r="103" spans="1:34" x14ac:dyDescent="0.25">
      <c r="A103">
        <v>18</v>
      </c>
      <c r="B103" s="3">
        <v>43720</v>
      </c>
      <c r="C103" s="5">
        <f t="shared" si="3"/>
        <v>43720.338495370379</v>
      </c>
      <c r="D103" t="s">
        <v>66</v>
      </c>
      <c r="E103" t="s">
        <v>314</v>
      </c>
      <c r="F103" t="s">
        <v>316</v>
      </c>
      <c r="G103">
        <v>1</v>
      </c>
      <c r="H103" t="s">
        <v>31</v>
      </c>
      <c r="N103" t="s">
        <v>287</v>
      </c>
      <c r="AD103" t="s">
        <v>69</v>
      </c>
      <c r="AE103" s="2">
        <v>43720.630162037043</v>
      </c>
      <c r="AF103" t="s">
        <v>34</v>
      </c>
      <c r="AG103" s="2">
        <v>43720.630162037043</v>
      </c>
      <c r="AH103" t="s">
        <v>34</v>
      </c>
    </row>
    <row r="104" spans="1:34" x14ac:dyDescent="0.25">
      <c r="A104">
        <v>114</v>
      </c>
      <c r="B104" s="3">
        <v>43720</v>
      </c>
      <c r="C104" s="5">
        <f t="shared" si="3"/>
        <v>43720.336932870363</v>
      </c>
      <c r="D104" t="s">
        <v>202</v>
      </c>
      <c r="E104" t="s">
        <v>317</v>
      </c>
      <c r="F104" t="s">
        <v>317</v>
      </c>
      <c r="G104">
        <v>2</v>
      </c>
      <c r="H104" t="s">
        <v>31</v>
      </c>
      <c r="I104" t="s">
        <v>156</v>
      </c>
      <c r="N104" t="s">
        <v>286</v>
      </c>
      <c r="AD104" t="s">
        <v>203</v>
      </c>
      <c r="AE104" s="2">
        <v>43720.628599537027</v>
      </c>
      <c r="AF104" t="s">
        <v>158</v>
      </c>
      <c r="AG104" s="2">
        <v>43720.628599537027</v>
      </c>
      <c r="AH104" t="s">
        <v>158</v>
      </c>
    </row>
    <row r="105" spans="1:34" x14ac:dyDescent="0.25">
      <c r="A105">
        <v>78</v>
      </c>
      <c r="B105" s="3">
        <v>43720</v>
      </c>
      <c r="C105" s="5">
        <f t="shared" si="3"/>
        <v>43720.411076388889</v>
      </c>
      <c r="D105" t="s">
        <v>151</v>
      </c>
      <c r="E105" t="s">
        <v>317</v>
      </c>
      <c r="F105" t="s">
        <v>317</v>
      </c>
      <c r="G105">
        <v>1</v>
      </c>
      <c r="H105" t="s">
        <v>31</v>
      </c>
      <c r="I105" t="s">
        <v>93</v>
      </c>
      <c r="N105" t="s">
        <v>287</v>
      </c>
      <c r="AD105" t="s">
        <v>152</v>
      </c>
      <c r="AE105" s="2">
        <v>43720.702743055554</v>
      </c>
      <c r="AF105" t="s">
        <v>34</v>
      </c>
      <c r="AG105" s="2">
        <v>43720.702743055554</v>
      </c>
      <c r="AH105" t="s">
        <v>34</v>
      </c>
    </row>
    <row r="106" spans="1:34" x14ac:dyDescent="0.25">
      <c r="A106">
        <v>111</v>
      </c>
      <c r="B106" s="3">
        <v>43720</v>
      </c>
      <c r="C106" s="5">
        <f t="shared" si="3"/>
        <v>43720.334432870375</v>
      </c>
      <c r="D106" t="s">
        <v>151</v>
      </c>
      <c r="E106" t="s">
        <v>317</v>
      </c>
      <c r="F106" t="s">
        <v>317</v>
      </c>
      <c r="G106">
        <v>2</v>
      </c>
      <c r="H106" t="s">
        <v>31</v>
      </c>
      <c r="I106" t="s">
        <v>156</v>
      </c>
      <c r="N106" t="s">
        <v>286</v>
      </c>
      <c r="AD106" t="s">
        <v>199</v>
      </c>
      <c r="AE106" s="2">
        <v>43720.626099537039</v>
      </c>
      <c r="AF106" t="s">
        <v>158</v>
      </c>
      <c r="AG106" s="2">
        <v>43720.626099537039</v>
      </c>
      <c r="AH106" t="s">
        <v>158</v>
      </c>
    </row>
    <row r="107" spans="1:34" x14ac:dyDescent="0.25">
      <c r="A107">
        <v>70</v>
      </c>
      <c r="B107" s="3">
        <v>43720</v>
      </c>
      <c r="C107" s="5">
        <f t="shared" si="3"/>
        <v>43720.395752314827</v>
      </c>
      <c r="D107" t="s">
        <v>137</v>
      </c>
      <c r="E107" t="s">
        <v>319</v>
      </c>
      <c r="F107" t="s">
        <v>320</v>
      </c>
      <c r="G107">
        <v>30</v>
      </c>
      <c r="H107" t="s">
        <v>31</v>
      </c>
      <c r="I107" t="s">
        <v>93</v>
      </c>
      <c r="N107" t="s">
        <v>287</v>
      </c>
      <c r="AD107" t="s">
        <v>138</v>
      </c>
      <c r="AE107" s="2">
        <v>43720.687418981492</v>
      </c>
      <c r="AF107" t="s">
        <v>34</v>
      </c>
      <c r="AG107" s="2">
        <v>43720.687418981492</v>
      </c>
      <c r="AH107" t="s">
        <v>34</v>
      </c>
    </row>
    <row r="108" spans="1:34" x14ac:dyDescent="0.25">
      <c r="A108">
        <v>84</v>
      </c>
      <c r="B108" s="3">
        <v>43720</v>
      </c>
      <c r="C108" s="5">
        <f t="shared" si="3"/>
        <v>43720.309814814827</v>
      </c>
      <c r="D108" t="s">
        <v>137</v>
      </c>
      <c r="E108" t="s">
        <v>319</v>
      </c>
      <c r="F108" t="s">
        <v>320</v>
      </c>
      <c r="G108">
        <v>28</v>
      </c>
      <c r="H108" t="s">
        <v>31</v>
      </c>
      <c r="I108" t="s">
        <v>162</v>
      </c>
      <c r="N108" t="s">
        <v>286</v>
      </c>
      <c r="AD108" t="s">
        <v>163</v>
      </c>
      <c r="AE108" s="2">
        <v>43720.601481481492</v>
      </c>
      <c r="AF108" t="s">
        <v>158</v>
      </c>
      <c r="AG108" s="2">
        <v>43720.601481481492</v>
      </c>
      <c r="AH108" t="s">
        <v>158</v>
      </c>
    </row>
    <row r="109" spans="1:34" x14ac:dyDescent="0.25">
      <c r="A109">
        <v>113</v>
      </c>
      <c r="B109" s="3">
        <v>43720</v>
      </c>
      <c r="C109" s="5">
        <f t="shared" si="3"/>
        <v>43720.336446759269</v>
      </c>
      <c r="D109" t="s">
        <v>137</v>
      </c>
      <c r="E109" t="s">
        <v>319</v>
      </c>
      <c r="F109" t="s">
        <v>320</v>
      </c>
      <c r="G109">
        <v>47</v>
      </c>
      <c r="H109" t="s">
        <v>31</v>
      </c>
      <c r="I109" t="s">
        <v>162</v>
      </c>
      <c r="N109" t="s">
        <v>286</v>
      </c>
      <c r="AD109" t="s">
        <v>201</v>
      </c>
      <c r="AE109" s="2">
        <v>43720.628113425933</v>
      </c>
      <c r="AF109" t="s">
        <v>158</v>
      </c>
      <c r="AG109" s="2">
        <v>43720.628113425933</v>
      </c>
      <c r="AH109" t="s">
        <v>158</v>
      </c>
    </row>
    <row r="110" spans="1:34" x14ac:dyDescent="0.25">
      <c r="A110">
        <v>132</v>
      </c>
      <c r="B110" s="3">
        <v>43720</v>
      </c>
      <c r="C110" s="5">
        <f t="shared" si="3"/>
        <v>43720.353495370378</v>
      </c>
      <c r="D110" t="s">
        <v>137</v>
      </c>
      <c r="E110" t="s">
        <v>319</v>
      </c>
      <c r="F110" t="s">
        <v>320</v>
      </c>
      <c r="G110">
        <v>6</v>
      </c>
      <c r="H110" t="s">
        <v>31</v>
      </c>
      <c r="I110" t="s">
        <v>162</v>
      </c>
      <c r="N110" t="s">
        <v>286</v>
      </c>
      <c r="AD110" t="s">
        <v>224</v>
      </c>
      <c r="AE110" s="2">
        <v>43720.645162037043</v>
      </c>
      <c r="AF110" t="s">
        <v>158</v>
      </c>
      <c r="AG110" s="2">
        <v>43720.645162037043</v>
      </c>
      <c r="AH110" t="s">
        <v>158</v>
      </c>
    </row>
    <row r="111" spans="1:34" x14ac:dyDescent="0.25">
      <c r="A111">
        <v>21</v>
      </c>
      <c r="B111" s="3">
        <v>43720</v>
      </c>
      <c r="C111" s="5">
        <f t="shared" si="3"/>
        <v>43720.340937500005</v>
      </c>
      <c r="D111" t="s">
        <v>73</v>
      </c>
      <c r="E111" t="s">
        <v>303</v>
      </c>
      <c r="F111" t="s">
        <v>318</v>
      </c>
      <c r="G111">
        <v>2</v>
      </c>
      <c r="H111" t="s">
        <v>31</v>
      </c>
      <c r="I111" t="s">
        <v>36</v>
      </c>
      <c r="N111" t="s">
        <v>287</v>
      </c>
      <c r="AD111" t="s">
        <v>74</v>
      </c>
      <c r="AE111" s="2">
        <v>43720.632604166669</v>
      </c>
      <c r="AF111" t="s">
        <v>34</v>
      </c>
      <c r="AG111" s="2">
        <v>43720.632604166669</v>
      </c>
      <c r="AH111" t="s">
        <v>34</v>
      </c>
    </row>
    <row r="112" spans="1:34" x14ac:dyDescent="0.25">
      <c r="A112">
        <v>22</v>
      </c>
      <c r="B112" s="3">
        <v>43720</v>
      </c>
      <c r="C112" s="5">
        <f t="shared" si="3"/>
        <v>43720.341504629629</v>
      </c>
      <c r="D112" t="s">
        <v>73</v>
      </c>
      <c r="E112" t="s">
        <v>303</v>
      </c>
      <c r="F112" t="s">
        <v>318</v>
      </c>
      <c r="G112">
        <v>1</v>
      </c>
      <c r="H112" t="s">
        <v>31</v>
      </c>
      <c r="I112" t="s">
        <v>41</v>
      </c>
      <c r="N112" t="s">
        <v>287</v>
      </c>
      <c r="AD112" t="s">
        <v>75</v>
      </c>
      <c r="AE112" s="2">
        <v>43720.633171296293</v>
      </c>
      <c r="AF112" t="s">
        <v>34</v>
      </c>
      <c r="AG112" s="2">
        <v>43720.633171296293</v>
      </c>
      <c r="AH112" t="s">
        <v>34</v>
      </c>
    </row>
    <row r="113" spans="1:34" x14ac:dyDescent="0.25">
      <c r="A113">
        <v>32</v>
      </c>
      <c r="B113" s="3">
        <v>43720</v>
      </c>
      <c r="C113" s="5">
        <f t="shared" si="3"/>
        <v>43720.354305555556</v>
      </c>
      <c r="D113" t="s">
        <v>73</v>
      </c>
      <c r="E113" t="s">
        <v>303</v>
      </c>
      <c r="F113" t="s">
        <v>318</v>
      </c>
      <c r="G113">
        <v>1</v>
      </c>
      <c r="H113" t="s">
        <v>31</v>
      </c>
      <c r="I113" t="s">
        <v>88</v>
      </c>
      <c r="N113" t="s">
        <v>287</v>
      </c>
      <c r="AD113" t="s">
        <v>89</v>
      </c>
      <c r="AE113" s="2">
        <v>43720.645972222221</v>
      </c>
      <c r="AF113" t="s">
        <v>34</v>
      </c>
      <c r="AG113" s="2">
        <v>43720.645972222221</v>
      </c>
      <c r="AH113" t="s">
        <v>34</v>
      </c>
    </row>
    <row r="114" spans="1:34" x14ac:dyDescent="0.25">
      <c r="A114">
        <v>44</v>
      </c>
      <c r="B114" s="3">
        <v>43720</v>
      </c>
      <c r="C114" s="5">
        <f t="shared" si="3"/>
        <v>43720.371145833335</v>
      </c>
      <c r="D114" t="s">
        <v>106</v>
      </c>
      <c r="E114" t="s">
        <v>301</v>
      </c>
      <c r="F114" t="s">
        <v>322</v>
      </c>
      <c r="G114">
        <v>2</v>
      </c>
      <c r="H114" t="s">
        <v>31</v>
      </c>
      <c r="I114" t="s">
        <v>41</v>
      </c>
      <c r="N114" t="s">
        <v>287</v>
      </c>
      <c r="AD114" t="s">
        <v>107</v>
      </c>
      <c r="AE114" s="2">
        <v>43720.662812499999</v>
      </c>
      <c r="AF114" t="s">
        <v>34</v>
      </c>
      <c r="AG114" s="2">
        <v>43720.664247685178</v>
      </c>
      <c r="AH114" t="s">
        <v>34</v>
      </c>
    </row>
    <row r="115" spans="1:34" x14ac:dyDescent="0.25">
      <c r="A115">
        <v>49</v>
      </c>
      <c r="B115" s="3">
        <v>43720</v>
      </c>
      <c r="C115" s="5">
        <f t="shared" si="3"/>
        <v>43720.373923611114</v>
      </c>
      <c r="D115" t="s">
        <v>106</v>
      </c>
      <c r="E115" t="s">
        <v>301</v>
      </c>
      <c r="F115" t="s">
        <v>322</v>
      </c>
      <c r="G115">
        <v>1</v>
      </c>
      <c r="H115" t="s">
        <v>31</v>
      </c>
      <c r="I115" t="s">
        <v>47</v>
      </c>
      <c r="N115" t="s">
        <v>287</v>
      </c>
      <c r="AD115" t="s">
        <v>112</v>
      </c>
      <c r="AE115" s="2">
        <v>43720.665590277778</v>
      </c>
      <c r="AF115" t="s">
        <v>34</v>
      </c>
      <c r="AG115" s="2">
        <v>43720.665891203702</v>
      </c>
      <c r="AH115" t="s">
        <v>34</v>
      </c>
    </row>
    <row r="116" spans="1:34" x14ac:dyDescent="0.25">
      <c r="A116">
        <v>127</v>
      </c>
      <c r="B116" s="3">
        <v>43720</v>
      </c>
      <c r="C116" s="5">
        <f t="shared" si="3"/>
        <v>43720.348437500004</v>
      </c>
      <c r="D116" t="s">
        <v>106</v>
      </c>
      <c r="E116" t="s">
        <v>301</v>
      </c>
      <c r="F116" t="s">
        <v>322</v>
      </c>
      <c r="G116">
        <v>1</v>
      </c>
      <c r="H116" t="s">
        <v>31</v>
      </c>
      <c r="I116" t="s">
        <v>41</v>
      </c>
      <c r="N116" t="s">
        <v>286</v>
      </c>
      <c r="AD116" t="s">
        <v>219</v>
      </c>
      <c r="AE116" s="2">
        <v>43720.640104166669</v>
      </c>
      <c r="AF116" t="s">
        <v>158</v>
      </c>
      <c r="AG116" s="2">
        <v>43720.640104166669</v>
      </c>
      <c r="AH116" t="s">
        <v>158</v>
      </c>
    </row>
    <row r="117" spans="1:34" x14ac:dyDescent="0.25">
      <c r="A117">
        <v>124</v>
      </c>
      <c r="B117" s="3">
        <v>43720</v>
      </c>
      <c r="C117" s="5">
        <f t="shared" si="3"/>
        <v>43720.346585648149</v>
      </c>
      <c r="D117" t="s">
        <v>215</v>
      </c>
      <c r="E117" t="s">
        <v>319</v>
      </c>
      <c r="F117" t="s">
        <v>320</v>
      </c>
      <c r="G117">
        <v>1</v>
      </c>
      <c r="H117" t="s">
        <v>31</v>
      </c>
      <c r="I117" t="s">
        <v>162</v>
      </c>
      <c r="N117" t="s">
        <v>286</v>
      </c>
      <c r="AD117" t="s">
        <v>216</v>
      </c>
      <c r="AE117" s="2">
        <v>43720.638252314813</v>
      </c>
      <c r="AF117" t="s">
        <v>158</v>
      </c>
      <c r="AG117" s="2">
        <v>43720.638252314813</v>
      </c>
      <c r="AH117" t="s">
        <v>158</v>
      </c>
    </row>
    <row r="118" spans="1:34" x14ac:dyDescent="0.25">
      <c r="A118">
        <v>5</v>
      </c>
      <c r="B118" s="3">
        <v>43720</v>
      </c>
      <c r="C118" s="5">
        <f t="shared" si="3"/>
        <v>43720.324328703704</v>
      </c>
      <c r="D118" t="s">
        <v>43</v>
      </c>
      <c r="E118" t="s">
        <v>307</v>
      </c>
      <c r="F118" t="s">
        <v>308</v>
      </c>
      <c r="G118">
        <v>1</v>
      </c>
      <c r="H118" t="s">
        <v>31</v>
      </c>
      <c r="I118" t="s">
        <v>41</v>
      </c>
      <c r="N118" t="s">
        <v>287</v>
      </c>
      <c r="AD118" t="s">
        <v>44</v>
      </c>
      <c r="AE118" s="2">
        <v>43720.615995370368</v>
      </c>
      <c r="AF118" t="s">
        <v>34</v>
      </c>
      <c r="AG118" s="2">
        <v>43720.615995370368</v>
      </c>
      <c r="AH118" t="s">
        <v>34</v>
      </c>
    </row>
    <row r="119" spans="1:34" x14ac:dyDescent="0.25">
      <c r="A119">
        <v>158</v>
      </c>
      <c r="B119" s="3">
        <v>43720</v>
      </c>
      <c r="C119" s="5">
        <f t="shared" si="3"/>
        <v>43720.380567129629</v>
      </c>
      <c r="D119" t="s">
        <v>43</v>
      </c>
      <c r="E119" t="s">
        <v>307</v>
      </c>
      <c r="F119" t="s">
        <v>308</v>
      </c>
      <c r="G119">
        <v>1</v>
      </c>
      <c r="H119" t="s">
        <v>31</v>
      </c>
      <c r="I119" t="s">
        <v>41</v>
      </c>
      <c r="N119" t="s">
        <v>286</v>
      </c>
      <c r="AD119" t="s">
        <v>254</v>
      </c>
      <c r="AE119" s="2">
        <v>43720.672233796293</v>
      </c>
      <c r="AF119" t="s">
        <v>158</v>
      </c>
      <c r="AG119" s="2">
        <v>43720.672233796293</v>
      </c>
      <c r="AH119" t="s">
        <v>158</v>
      </c>
    </row>
    <row r="120" spans="1:34" x14ac:dyDescent="0.25">
      <c r="A120">
        <v>4</v>
      </c>
      <c r="B120" s="3">
        <v>43720</v>
      </c>
      <c r="C120" s="5">
        <f t="shared" si="3"/>
        <v>43720.323055555556</v>
      </c>
      <c r="D120" t="s">
        <v>40</v>
      </c>
      <c r="E120" t="s">
        <v>305</v>
      </c>
      <c r="F120" t="s">
        <v>306</v>
      </c>
      <c r="G120">
        <v>1</v>
      </c>
      <c r="H120" t="s">
        <v>31</v>
      </c>
      <c r="I120" t="s">
        <v>41</v>
      </c>
      <c r="N120" t="s">
        <v>287</v>
      </c>
      <c r="AD120" t="s">
        <v>42</v>
      </c>
      <c r="AE120" s="2">
        <v>43720.614722222221</v>
      </c>
      <c r="AF120" t="s">
        <v>34</v>
      </c>
      <c r="AG120" s="2">
        <v>43720.614722222221</v>
      </c>
      <c r="AH120" t="s">
        <v>34</v>
      </c>
    </row>
    <row r="121" spans="1:34" x14ac:dyDescent="0.25">
      <c r="A121">
        <v>37</v>
      </c>
      <c r="B121" s="3">
        <v>43720</v>
      </c>
      <c r="C121" s="5">
        <f t="shared" si="3"/>
        <v>43720.364745370374</v>
      </c>
      <c r="D121" t="s">
        <v>40</v>
      </c>
      <c r="E121" t="s">
        <v>305</v>
      </c>
      <c r="F121" t="s">
        <v>306</v>
      </c>
      <c r="G121">
        <v>2</v>
      </c>
      <c r="H121" t="s">
        <v>31</v>
      </c>
      <c r="N121" t="s">
        <v>287</v>
      </c>
      <c r="AD121" t="s">
        <v>97</v>
      </c>
      <c r="AE121" s="2">
        <v>43720.656412037039</v>
      </c>
      <c r="AF121" t="s">
        <v>34</v>
      </c>
      <c r="AG121" s="2">
        <v>43720.656412037039</v>
      </c>
      <c r="AH121" t="s">
        <v>34</v>
      </c>
    </row>
    <row r="122" spans="1:34" x14ac:dyDescent="0.25">
      <c r="A122">
        <v>43</v>
      </c>
      <c r="B122" s="3">
        <v>43720</v>
      </c>
      <c r="C122" s="5">
        <f t="shared" si="3"/>
        <v>43720.370879629634</v>
      </c>
      <c r="D122" t="s">
        <v>40</v>
      </c>
      <c r="E122" t="s">
        <v>305</v>
      </c>
      <c r="F122" t="s">
        <v>306</v>
      </c>
      <c r="G122">
        <v>2</v>
      </c>
      <c r="H122" t="s">
        <v>31</v>
      </c>
      <c r="I122" t="s">
        <v>41</v>
      </c>
      <c r="N122" t="s">
        <v>287</v>
      </c>
      <c r="AD122" t="s">
        <v>105</v>
      </c>
      <c r="AE122" s="2">
        <v>43720.662546296298</v>
      </c>
      <c r="AF122" t="s">
        <v>34</v>
      </c>
      <c r="AG122" s="2">
        <v>43720.664756944447</v>
      </c>
      <c r="AH122" t="s">
        <v>34</v>
      </c>
    </row>
    <row r="123" spans="1:34" x14ac:dyDescent="0.25">
      <c r="A123">
        <v>51</v>
      </c>
      <c r="B123" s="3">
        <v>43720</v>
      </c>
      <c r="C123" s="5">
        <f t="shared" si="3"/>
        <v>43720.374907407408</v>
      </c>
      <c r="D123" t="s">
        <v>40</v>
      </c>
      <c r="E123" t="s">
        <v>305</v>
      </c>
      <c r="F123" t="s">
        <v>306</v>
      </c>
      <c r="G123">
        <v>1</v>
      </c>
      <c r="H123" t="s">
        <v>31</v>
      </c>
      <c r="N123" t="s">
        <v>287</v>
      </c>
      <c r="AD123" t="s">
        <v>114</v>
      </c>
      <c r="AE123" s="2">
        <v>43720.666574074072</v>
      </c>
      <c r="AF123" t="s">
        <v>34</v>
      </c>
      <c r="AG123" s="2">
        <v>43720.666574074072</v>
      </c>
      <c r="AH123" t="s">
        <v>34</v>
      </c>
    </row>
    <row r="124" spans="1:34" x14ac:dyDescent="0.25">
      <c r="A124">
        <v>173</v>
      </c>
      <c r="B124" s="3">
        <v>43720</v>
      </c>
      <c r="C124" s="5">
        <f t="shared" si="3"/>
        <v>43720.400509259263</v>
      </c>
      <c r="D124" t="s">
        <v>285</v>
      </c>
      <c r="E124" t="s">
        <v>317</v>
      </c>
      <c r="F124" t="s">
        <v>317</v>
      </c>
      <c r="G124">
        <v>2</v>
      </c>
      <c r="H124" t="s">
        <v>31</v>
      </c>
      <c r="I124" t="s">
        <v>156</v>
      </c>
      <c r="L124" t="s">
        <v>270</v>
      </c>
      <c r="M124">
        <v>5.5</v>
      </c>
      <c r="N124" t="s">
        <v>286</v>
      </c>
      <c r="AD124" t="s">
        <v>271</v>
      </c>
      <c r="AE124" s="2">
        <v>43720.692175925928</v>
      </c>
      <c r="AF124" t="s">
        <v>158</v>
      </c>
      <c r="AG124" s="2">
        <v>43720.692175925928</v>
      </c>
      <c r="AH124" t="s">
        <v>158</v>
      </c>
    </row>
    <row r="125" spans="1:34" x14ac:dyDescent="0.25">
      <c r="A125">
        <v>123</v>
      </c>
      <c r="B125" s="3">
        <v>43720</v>
      </c>
      <c r="C125" s="5">
        <f t="shared" si="3"/>
        <v>43720.345057870363</v>
      </c>
      <c r="D125" t="s">
        <v>213</v>
      </c>
      <c r="E125" t="s">
        <v>319</v>
      </c>
      <c r="F125" t="s">
        <v>329</v>
      </c>
      <c r="G125">
        <v>2</v>
      </c>
      <c r="H125" t="s">
        <v>31</v>
      </c>
      <c r="I125" t="s">
        <v>162</v>
      </c>
      <c r="N125" t="s">
        <v>286</v>
      </c>
      <c r="AD125" t="s">
        <v>214</v>
      </c>
      <c r="AE125" s="2">
        <v>43720.636724537027</v>
      </c>
      <c r="AF125" t="s">
        <v>158</v>
      </c>
      <c r="AG125" s="2">
        <v>43720.636724537027</v>
      </c>
      <c r="AH125" t="s">
        <v>158</v>
      </c>
    </row>
    <row r="126" spans="1:34" x14ac:dyDescent="0.25">
      <c r="A126">
        <v>72</v>
      </c>
      <c r="B126" s="3">
        <v>43720</v>
      </c>
      <c r="C126" s="5">
        <f t="shared" si="3"/>
        <v>43720.407314814816</v>
      </c>
      <c r="D126" t="s">
        <v>141</v>
      </c>
      <c r="E126" t="s">
        <v>317</v>
      </c>
      <c r="F126" t="s">
        <v>317</v>
      </c>
      <c r="G126">
        <v>6</v>
      </c>
      <c r="H126" t="s">
        <v>31</v>
      </c>
      <c r="I126" t="s">
        <v>93</v>
      </c>
      <c r="N126" t="s">
        <v>287</v>
      </c>
      <c r="AD126" t="s">
        <v>142</v>
      </c>
      <c r="AE126" s="2">
        <v>43720.698981481481</v>
      </c>
      <c r="AF126" t="s">
        <v>34</v>
      </c>
      <c r="AG126" s="2">
        <v>43720.698981481481</v>
      </c>
      <c r="AH126" t="s">
        <v>34</v>
      </c>
    </row>
    <row r="127" spans="1:34" x14ac:dyDescent="0.25">
      <c r="A127">
        <v>92</v>
      </c>
      <c r="B127" s="3">
        <v>43720</v>
      </c>
      <c r="C127" s="5">
        <f t="shared" si="3"/>
        <v>43720.319421296299</v>
      </c>
      <c r="D127" t="s">
        <v>141</v>
      </c>
      <c r="E127" t="s">
        <v>317</v>
      </c>
      <c r="F127" t="s">
        <v>317</v>
      </c>
      <c r="G127">
        <v>2</v>
      </c>
      <c r="H127" t="s">
        <v>31</v>
      </c>
      <c r="I127" t="s">
        <v>93</v>
      </c>
      <c r="N127" t="s">
        <v>286</v>
      </c>
      <c r="AD127" t="s">
        <v>177</v>
      </c>
      <c r="AE127" s="2">
        <v>43720.611087962963</v>
      </c>
      <c r="AF127" t="s">
        <v>158</v>
      </c>
      <c r="AG127" s="2">
        <v>43720.611087962963</v>
      </c>
      <c r="AH127" t="s">
        <v>158</v>
      </c>
    </row>
    <row r="128" spans="1:34" x14ac:dyDescent="0.25">
      <c r="A128">
        <v>118</v>
      </c>
      <c r="B128" s="3">
        <v>43720</v>
      </c>
      <c r="C128" s="5">
        <f t="shared" si="3"/>
        <v>43720.340057870373</v>
      </c>
      <c r="D128" t="s">
        <v>141</v>
      </c>
      <c r="E128" t="s">
        <v>317</v>
      </c>
      <c r="F128" t="s">
        <v>317</v>
      </c>
      <c r="G128">
        <v>8</v>
      </c>
      <c r="H128" t="s">
        <v>31</v>
      </c>
      <c r="I128" t="s">
        <v>93</v>
      </c>
      <c r="N128" t="s">
        <v>286</v>
      </c>
      <c r="AD128" t="s">
        <v>207</v>
      </c>
      <c r="AE128" s="2">
        <v>43720.631724537037</v>
      </c>
      <c r="AF128" t="s">
        <v>158</v>
      </c>
      <c r="AG128" s="2">
        <v>43720.631724537037</v>
      </c>
      <c r="AH128" t="s">
        <v>158</v>
      </c>
    </row>
    <row r="129" spans="1:34" x14ac:dyDescent="0.25">
      <c r="A129">
        <v>176</v>
      </c>
      <c r="B129" s="3">
        <v>43720</v>
      </c>
      <c r="C129" s="5">
        <f t="shared" si="3"/>
        <v>43720.401712962965</v>
      </c>
      <c r="D129" t="s">
        <v>141</v>
      </c>
      <c r="E129" t="s">
        <v>317</v>
      </c>
      <c r="F129" t="s">
        <v>317</v>
      </c>
      <c r="G129">
        <v>1</v>
      </c>
      <c r="H129" t="s">
        <v>31</v>
      </c>
      <c r="I129" t="s">
        <v>93</v>
      </c>
      <c r="N129" t="s">
        <v>286</v>
      </c>
      <c r="AD129" t="s">
        <v>274</v>
      </c>
      <c r="AE129" s="2">
        <v>43720.693379629629</v>
      </c>
      <c r="AF129" t="s">
        <v>158</v>
      </c>
      <c r="AG129" s="2">
        <v>43720.693379629629</v>
      </c>
      <c r="AH129" t="s">
        <v>158</v>
      </c>
    </row>
    <row r="130" spans="1:34" x14ac:dyDescent="0.25">
      <c r="A130">
        <v>98</v>
      </c>
      <c r="B130" s="3">
        <v>43720</v>
      </c>
      <c r="C130" s="5">
        <f t="shared" ref="C130:C161" si="4">AE130-(7/24)</f>
        <v>43720.323020833333</v>
      </c>
      <c r="D130" t="s">
        <v>183</v>
      </c>
      <c r="E130" t="s">
        <v>314</v>
      </c>
      <c r="F130" t="s">
        <v>315</v>
      </c>
      <c r="G130">
        <v>2</v>
      </c>
      <c r="H130" t="s">
        <v>31</v>
      </c>
      <c r="I130" t="s">
        <v>41</v>
      </c>
      <c r="N130" t="s">
        <v>286</v>
      </c>
      <c r="AD130" t="s">
        <v>184</v>
      </c>
      <c r="AE130" s="2">
        <v>43720.614687499998</v>
      </c>
      <c r="AF130" t="s">
        <v>158</v>
      </c>
      <c r="AG130" s="2">
        <v>43720.614687499998</v>
      </c>
      <c r="AH130" t="s">
        <v>158</v>
      </c>
    </row>
    <row r="131" spans="1:34" x14ac:dyDescent="0.25">
      <c r="A131">
        <v>36</v>
      </c>
      <c r="B131" s="3">
        <v>43720</v>
      </c>
      <c r="C131" s="5">
        <f t="shared" si="4"/>
        <v>43720.358854166669</v>
      </c>
      <c r="D131" t="s">
        <v>95</v>
      </c>
      <c r="E131" t="s">
        <v>303</v>
      </c>
      <c r="F131" t="s">
        <v>318</v>
      </c>
      <c r="G131">
        <v>8</v>
      </c>
      <c r="H131" t="s">
        <v>31</v>
      </c>
      <c r="N131" t="s">
        <v>287</v>
      </c>
      <c r="AD131" t="s">
        <v>96</v>
      </c>
      <c r="AE131" s="2">
        <v>43720.650520833333</v>
      </c>
      <c r="AF131" t="s">
        <v>34</v>
      </c>
      <c r="AG131" s="2">
        <v>43720.693912037037</v>
      </c>
      <c r="AH131" t="s">
        <v>34</v>
      </c>
    </row>
    <row r="132" spans="1:34" x14ac:dyDescent="0.25">
      <c r="A132">
        <v>150</v>
      </c>
      <c r="B132" s="3">
        <v>43720</v>
      </c>
      <c r="C132" s="5">
        <f t="shared" si="4"/>
        <v>43720.369849537048</v>
      </c>
      <c r="D132" t="s">
        <v>95</v>
      </c>
      <c r="E132" t="s">
        <v>303</v>
      </c>
      <c r="F132" t="s">
        <v>318</v>
      </c>
      <c r="G132">
        <v>1</v>
      </c>
      <c r="H132" t="s">
        <v>31</v>
      </c>
      <c r="I132" t="s">
        <v>32</v>
      </c>
      <c r="N132" t="s">
        <v>286</v>
      </c>
      <c r="AD132" t="s">
        <v>244</v>
      </c>
      <c r="AE132" s="2">
        <v>43720.661516203712</v>
      </c>
      <c r="AF132" t="s">
        <v>158</v>
      </c>
      <c r="AG132" s="2">
        <v>43720.661516203712</v>
      </c>
      <c r="AH132" t="s">
        <v>158</v>
      </c>
    </row>
    <row r="133" spans="1:34" x14ac:dyDescent="0.25">
      <c r="A133">
        <v>30</v>
      </c>
      <c r="B133" s="3">
        <v>43720</v>
      </c>
      <c r="C133" s="5">
        <f t="shared" si="4"/>
        <v>43720.350243055553</v>
      </c>
      <c r="D133" t="s">
        <v>85</v>
      </c>
      <c r="E133" t="s">
        <v>307</v>
      </c>
      <c r="F133" t="s">
        <v>302</v>
      </c>
      <c r="G133">
        <v>7</v>
      </c>
      <c r="H133" t="s">
        <v>31</v>
      </c>
      <c r="I133" t="s">
        <v>36</v>
      </c>
      <c r="N133" t="s">
        <v>287</v>
      </c>
      <c r="AD133" t="s">
        <v>86</v>
      </c>
      <c r="AE133" s="2">
        <v>43720.641909722217</v>
      </c>
      <c r="AF133" t="s">
        <v>34</v>
      </c>
      <c r="AG133" s="2">
        <v>43720.641909722217</v>
      </c>
      <c r="AH133" t="s">
        <v>34</v>
      </c>
    </row>
    <row r="134" spans="1:34" x14ac:dyDescent="0.25">
      <c r="A134">
        <v>129</v>
      </c>
      <c r="B134" s="3">
        <v>43720</v>
      </c>
      <c r="C134" s="5">
        <f t="shared" si="4"/>
        <v>43720.350706018529</v>
      </c>
      <c r="D134" t="s">
        <v>85</v>
      </c>
      <c r="E134" t="s">
        <v>307</v>
      </c>
      <c r="F134" t="s">
        <v>302</v>
      </c>
      <c r="G134">
        <v>3</v>
      </c>
      <c r="H134" t="s">
        <v>31</v>
      </c>
      <c r="I134" t="s">
        <v>52</v>
      </c>
      <c r="N134" t="s">
        <v>286</v>
      </c>
      <c r="AD134" t="s">
        <v>221</v>
      </c>
      <c r="AE134" s="2">
        <v>43720.642372685194</v>
      </c>
      <c r="AF134" t="s">
        <v>158</v>
      </c>
      <c r="AG134" s="2">
        <v>43720.642372685194</v>
      </c>
      <c r="AH134" t="s">
        <v>158</v>
      </c>
    </row>
    <row r="135" spans="1:34" x14ac:dyDescent="0.25">
      <c r="A135">
        <v>14</v>
      </c>
      <c r="B135" s="3">
        <v>43720</v>
      </c>
      <c r="C135" s="5">
        <f t="shared" si="4"/>
        <v>43720.335555555568</v>
      </c>
      <c r="D135" t="s">
        <v>63</v>
      </c>
      <c r="E135" t="s">
        <v>307</v>
      </c>
      <c r="F135" t="s">
        <v>311</v>
      </c>
      <c r="G135">
        <v>1</v>
      </c>
      <c r="H135" t="s">
        <v>31</v>
      </c>
      <c r="I135" t="s">
        <v>59</v>
      </c>
      <c r="N135" t="s">
        <v>287</v>
      </c>
      <c r="AD135" t="s">
        <v>64</v>
      </c>
      <c r="AE135" s="2">
        <v>43720.627222222232</v>
      </c>
      <c r="AF135" t="s">
        <v>34</v>
      </c>
      <c r="AG135" s="2">
        <v>43720.627222222232</v>
      </c>
      <c r="AH135" t="s">
        <v>34</v>
      </c>
    </row>
    <row r="136" spans="1:34" x14ac:dyDescent="0.25">
      <c r="A136">
        <v>15</v>
      </c>
      <c r="B136" s="3">
        <v>43720</v>
      </c>
      <c r="C136" s="5">
        <f t="shared" si="4"/>
        <v>43720.335729166669</v>
      </c>
      <c r="D136" t="s">
        <v>63</v>
      </c>
      <c r="E136" t="s">
        <v>307</v>
      </c>
      <c r="F136" t="s">
        <v>311</v>
      </c>
      <c r="G136">
        <v>1</v>
      </c>
      <c r="H136" t="s">
        <v>31</v>
      </c>
      <c r="I136" t="s">
        <v>59</v>
      </c>
      <c r="N136" t="s">
        <v>287</v>
      </c>
      <c r="AD136" t="s">
        <v>65</v>
      </c>
      <c r="AE136" s="2">
        <v>43720.627395833333</v>
      </c>
      <c r="AF136" t="s">
        <v>34</v>
      </c>
      <c r="AG136" s="2">
        <v>43720.629432870381</v>
      </c>
      <c r="AH136" t="s">
        <v>34</v>
      </c>
    </row>
    <row r="137" spans="1:34" x14ac:dyDescent="0.25">
      <c r="A137">
        <v>31</v>
      </c>
      <c r="B137" s="3">
        <v>43720</v>
      </c>
      <c r="C137" s="5">
        <f t="shared" si="4"/>
        <v>43720.352164351854</v>
      </c>
      <c r="D137" t="s">
        <v>63</v>
      </c>
      <c r="E137" t="s">
        <v>307</v>
      </c>
      <c r="F137" t="s">
        <v>311</v>
      </c>
      <c r="G137">
        <v>1</v>
      </c>
      <c r="H137" t="s">
        <v>31</v>
      </c>
      <c r="I137" t="s">
        <v>59</v>
      </c>
      <c r="N137" t="s">
        <v>287</v>
      </c>
      <c r="AD137" t="s">
        <v>87</v>
      </c>
      <c r="AE137" s="2">
        <v>43720.643831018519</v>
      </c>
      <c r="AF137" t="s">
        <v>34</v>
      </c>
      <c r="AG137" s="2">
        <v>43720.643831018519</v>
      </c>
      <c r="AH137" t="s">
        <v>34</v>
      </c>
    </row>
    <row r="138" spans="1:34" x14ac:dyDescent="0.25">
      <c r="A138">
        <v>40</v>
      </c>
      <c r="B138" s="3">
        <v>43720</v>
      </c>
      <c r="C138" s="5">
        <f t="shared" si="4"/>
        <v>43720.367268518523</v>
      </c>
      <c r="D138" t="s">
        <v>63</v>
      </c>
      <c r="E138" t="s">
        <v>307</v>
      </c>
      <c r="F138" t="s">
        <v>311</v>
      </c>
      <c r="G138">
        <v>1</v>
      </c>
      <c r="H138" t="s">
        <v>31</v>
      </c>
      <c r="I138" t="s">
        <v>99</v>
      </c>
      <c r="N138" t="s">
        <v>287</v>
      </c>
      <c r="AD138" t="s">
        <v>101</v>
      </c>
      <c r="AE138" s="2">
        <v>43720.658935185187</v>
      </c>
      <c r="AF138" t="s">
        <v>34</v>
      </c>
      <c r="AG138" s="2">
        <v>43720.658935185187</v>
      </c>
      <c r="AH138" t="s">
        <v>34</v>
      </c>
    </row>
    <row r="139" spans="1:34" x14ac:dyDescent="0.25">
      <c r="A139">
        <v>46</v>
      </c>
      <c r="B139" s="3">
        <v>43720</v>
      </c>
      <c r="C139" s="5">
        <f t="shared" si="4"/>
        <v>43720.372500000005</v>
      </c>
      <c r="D139" t="s">
        <v>63</v>
      </c>
      <c r="E139" t="s">
        <v>307</v>
      </c>
      <c r="F139" t="s">
        <v>311</v>
      </c>
      <c r="G139">
        <v>1</v>
      </c>
      <c r="H139" t="s">
        <v>31</v>
      </c>
      <c r="I139" t="s">
        <v>41</v>
      </c>
      <c r="N139" t="s">
        <v>287</v>
      </c>
      <c r="AD139" t="s">
        <v>109</v>
      </c>
      <c r="AE139" s="2">
        <v>43720.664166666669</v>
      </c>
      <c r="AF139" t="s">
        <v>34</v>
      </c>
      <c r="AG139" s="2">
        <v>43720.664166666669</v>
      </c>
      <c r="AH139" t="s">
        <v>34</v>
      </c>
    </row>
    <row r="140" spans="1:34" x14ac:dyDescent="0.25">
      <c r="A140">
        <v>170</v>
      </c>
      <c r="B140" s="3">
        <v>43720</v>
      </c>
      <c r="C140" s="5">
        <f t="shared" si="4"/>
        <v>43720.394317129634</v>
      </c>
      <c r="D140" t="s">
        <v>63</v>
      </c>
      <c r="E140" t="s">
        <v>307</v>
      </c>
      <c r="F140" t="s">
        <v>311</v>
      </c>
      <c r="G140">
        <v>1</v>
      </c>
      <c r="H140" t="s">
        <v>31</v>
      </c>
      <c r="I140" t="s">
        <v>52</v>
      </c>
      <c r="N140" t="s">
        <v>286</v>
      </c>
      <c r="AD140" t="s">
        <v>267</v>
      </c>
      <c r="AE140" s="2">
        <v>43720.685983796298</v>
      </c>
      <c r="AF140" t="s">
        <v>158</v>
      </c>
      <c r="AG140" s="2">
        <v>43720.685983796298</v>
      </c>
      <c r="AH140" t="s">
        <v>158</v>
      </c>
    </row>
    <row r="141" spans="1:34" x14ac:dyDescent="0.25">
      <c r="A141">
        <v>58</v>
      </c>
      <c r="B141" s="3">
        <v>43720</v>
      </c>
      <c r="C141" s="5">
        <f t="shared" si="4"/>
        <v>43720.380358796298</v>
      </c>
      <c r="D141" t="s">
        <v>123</v>
      </c>
      <c r="E141" t="s">
        <v>303</v>
      </c>
      <c r="F141" t="s">
        <v>323</v>
      </c>
      <c r="G141">
        <v>7</v>
      </c>
      <c r="H141" t="s">
        <v>31</v>
      </c>
      <c r="N141" t="s">
        <v>287</v>
      </c>
      <c r="AD141" t="s">
        <v>124</v>
      </c>
      <c r="AE141" s="2">
        <v>43720.672025462962</v>
      </c>
      <c r="AF141" t="s">
        <v>34</v>
      </c>
      <c r="AG141" s="2">
        <v>43720.672025462962</v>
      </c>
      <c r="AH141" t="s">
        <v>34</v>
      </c>
    </row>
    <row r="142" spans="1:34" x14ac:dyDescent="0.25">
      <c r="A142">
        <v>141</v>
      </c>
      <c r="B142" s="3">
        <v>43720</v>
      </c>
      <c r="C142" s="5">
        <f t="shared" si="4"/>
        <v>43720.361643518518</v>
      </c>
      <c r="D142" t="s">
        <v>123</v>
      </c>
      <c r="E142" t="s">
        <v>303</v>
      </c>
      <c r="F142" t="s">
        <v>323</v>
      </c>
      <c r="G142">
        <v>22</v>
      </c>
      <c r="H142" t="s">
        <v>31</v>
      </c>
      <c r="I142" t="s">
        <v>47</v>
      </c>
      <c r="N142" t="s">
        <v>286</v>
      </c>
      <c r="AD142" t="s">
        <v>233</v>
      </c>
      <c r="AE142" s="2">
        <v>43720.653310185182</v>
      </c>
      <c r="AF142" t="s">
        <v>158</v>
      </c>
      <c r="AG142" s="2">
        <v>43720.655636574083</v>
      </c>
      <c r="AH142" t="s">
        <v>158</v>
      </c>
    </row>
    <row r="143" spans="1:34" x14ac:dyDescent="0.25">
      <c r="A143">
        <v>156</v>
      </c>
      <c r="B143" s="3">
        <v>43720</v>
      </c>
      <c r="C143" s="5">
        <f t="shared" si="4"/>
        <v>43720.376585648148</v>
      </c>
      <c r="D143" t="s">
        <v>123</v>
      </c>
      <c r="E143" t="s">
        <v>303</v>
      </c>
      <c r="F143" t="s">
        <v>323</v>
      </c>
      <c r="G143">
        <v>3</v>
      </c>
      <c r="H143" t="s">
        <v>31</v>
      </c>
      <c r="I143" t="s">
        <v>36</v>
      </c>
      <c r="N143" t="s">
        <v>286</v>
      </c>
      <c r="AD143" t="s">
        <v>252</v>
      </c>
      <c r="AE143" s="2">
        <v>43720.668252314812</v>
      </c>
      <c r="AF143" t="s">
        <v>158</v>
      </c>
      <c r="AG143" s="2">
        <v>43720.668252314812</v>
      </c>
      <c r="AH143" t="s">
        <v>158</v>
      </c>
    </row>
    <row r="144" spans="1:34" x14ac:dyDescent="0.25">
      <c r="A144">
        <v>166</v>
      </c>
      <c r="B144" s="3">
        <v>43720</v>
      </c>
      <c r="C144" s="5">
        <f t="shared" si="4"/>
        <v>43720.387465277789</v>
      </c>
      <c r="D144" t="s">
        <v>123</v>
      </c>
      <c r="E144" t="s">
        <v>303</v>
      </c>
      <c r="F144" t="s">
        <v>323</v>
      </c>
      <c r="G144">
        <v>11</v>
      </c>
      <c r="H144" t="s">
        <v>31</v>
      </c>
      <c r="I144" t="s">
        <v>36</v>
      </c>
      <c r="N144" t="s">
        <v>286</v>
      </c>
      <c r="AD144" t="s">
        <v>263</v>
      </c>
      <c r="AE144" s="2">
        <v>43720.679131944453</v>
      </c>
      <c r="AF144" t="s">
        <v>158</v>
      </c>
      <c r="AG144" s="2">
        <v>43720.679131944453</v>
      </c>
      <c r="AH144" t="s">
        <v>158</v>
      </c>
    </row>
    <row r="145" spans="1:34" x14ac:dyDescent="0.25">
      <c r="A145">
        <v>109</v>
      </c>
      <c r="B145" s="3">
        <v>43720</v>
      </c>
      <c r="C145" s="5">
        <f t="shared" si="4"/>
        <v>43720.333391203705</v>
      </c>
      <c r="D145" t="s">
        <v>196</v>
      </c>
      <c r="E145" t="s">
        <v>317</v>
      </c>
      <c r="F145" t="s">
        <v>317</v>
      </c>
      <c r="G145">
        <v>82</v>
      </c>
      <c r="H145" t="s">
        <v>31</v>
      </c>
      <c r="I145" t="s">
        <v>156</v>
      </c>
      <c r="N145" t="s">
        <v>286</v>
      </c>
      <c r="AD145" t="s">
        <v>197</v>
      </c>
      <c r="AE145" s="2">
        <v>43720.625057870369</v>
      </c>
      <c r="AF145" t="s">
        <v>158</v>
      </c>
      <c r="AG145" s="2">
        <v>43720.632523148153</v>
      </c>
      <c r="AH145" t="s">
        <v>158</v>
      </c>
    </row>
    <row r="146" spans="1:34" x14ac:dyDescent="0.25">
      <c r="A146">
        <v>175</v>
      </c>
      <c r="B146" s="3">
        <v>43720</v>
      </c>
      <c r="C146" s="5">
        <f t="shared" si="4"/>
        <v>43720.401180555556</v>
      </c>
      <c r="D146" t="s">
        <v>196</v>
      </c>
      <c r="E146" t="s">
        <v>317</v>
      </c>
      <c r="F146" t="s">
        <v>317</v>
      </c>
      <c r="G146">
        <v>90</v>
      </c>
      <c r="H146" t="s">
        <v>31</v>
      </c>
      <c r="I146" t="s">
        <v>156</v>
      </c>
      <c r="N146" t="s">
        <v>286</v>
      </c>
      <c r="AD146" t="s">
        <v>273</v>
      </c>
      <c r="AE146" s="2">
        <v>43720.692847222221</v>
      </c>
      <c r="AF146" t="s">
        <v>158</v>
      </c>
      <c r="AG146" s="2">
        <v>43720.692847222221</v>
      </c>
      <c r="AH146" t="s">
        <v>158</v>
      </c>
    </row>
    <row r="147" spans="1:34" x14ac:dyDescent="0.25">
      <c r="A147">
        <v>81</v>
      </c>
      <c r="B147" s="3">
        <v>43720</v>
      </c>
      <c r="C147" s="5">
        <f t="shared" si="4"/>
        <v>43720.308553240742</v>
      </c>
      <c r="D147" t="s">
        <v>155</v>
      </c>
      <c r="E147" t="s">
        <v>325</v>
      </c>
      <c r="F147" t="s">
        <v>326</v>
      </c>
      <c r="G147">
        <v>80</v>
      </c>
      <c r="H147" t="s">
        <v>31</v>
      </c>
      <c r="I147" t="s">
        <v>156</v>
      </c>
      <c r="N147" t="s">
        <v>286</v>
      </c>
      <c r="AD147" t="s">
        <v>157</v>
      </c>
      <c r="AE147" s="2">
        <v>43720.600219907406</v>
      </c>
      <c r="AF147" t="s">
        <v>158</v>
      </c>
      <c r="AG147" s="2">
        <v>43720.600219907406</v>
      </c>
      <c r="AH147" t="s">
        <v>158</v>
      </c>
    </row>
    <row r="148" spans="1:34" x14ac:dyDescent="0.25">
      <c r="A148">
        <v>177</v>
      </c>
      <c r="B148" s="3">
        <v>43720</v>
      </c>
      <c r="C148" s="5">
        <f t="shared" si="4"/>
        <v>43720.404282407413</v>
      </c>
      <c r="D148" t="s">
        <v>299</v>
      </c>
      <c r="E148" t="s">
        <v>317</v>
      </c>
      <c r="F148" t="s">
        <v>317</v>
      </c>
      <c r="G148">
        <v>8</v>
      </c>
      <c r="H148" t="s">
        <v>31</v>
      </c>
      <c r="I148" t="s">
        <v>156</v>
      </c>
      <c r="N148" t="s">
        <v>286</v>
      </c>
      <c r="AD148" t="s">
        <v>276</v>
      </c>
      <c r="AE148" s="2">
        <v>43720.695949074077</v>
      </c>
      <c r="AF148" t="s">
        <v>158</v>
      </c>
      <c r="AG148" s="2">
        <v>43720.698194444441</v>
      </c>
      <c r="AH148" t="s">
        <v>158</v>
      </c>
    </row>
    <row r="149" spans="1:34" x14ac:dyDescent="0.25">
      <c r="A149">
        <v>10</v>
      </c>
      <c r="B149" s="3">
        <v>43720</v>
      </c>
      <c r="C149" s="5">
        <f t="shared" si="4"/>
        <v>43720.330844907403</v>
      </c>
      <c r="D149" t="s">
        <v>54</v>
      </c>
      <c r="E149" t="s">
        <v>307</v>
      </c>
      <c r="F149" t="s">
        <v>302</v>
      </c>
      <c r="G149">
        <v>1</v>
      </c>
      <c r="H149" t="s">
        <v>31</v>
      </c>
      <c r="I149" t="s">
        <v>36</v>
      </c>
      <c r="N149" t="s">
        <v>287</v>
      </c>
      <c r="AD149" t="s">
        <v>55</v>
      </c>
      <c r="AE149" s="2">
        <v>43720.622511574067</v>
      </c>
      <c r="AF149" t="s">
        <v>34</v>
      </c>
      <c r="AG149" s="2">
        <v>43720.622511574067</v>
      </c>
      <c r="AH149" t="s">
        <v>34</v>
      </c>
    </row>
    <row r="150" spans="1:34" x14ac:dyDescent="0.25">
      <c r="A150">
        <v>48</v>
      </c>
      <c r="B150" s="3">
        <v>43720</v>
      </c>
      <c r="C150" s="5">
        <f t="shared" si="4"/>
        <v>43720.373819444445</v>
      </c>
      <c r="D150" t="s">
        <v>54</v>
      </c>
      <c r="E150" t="s">
        <v>307</v>
      </c>
      <c r="F150" t="s">
        <v>302</v>
      </c>
      <c r="G150">
        <v>1</v>
      </c>
      <c r="H150" t="s">
        <v>31</v>
      </c>
      <c r="N150" t="s">
        <v>287</v>
      </c>
      <c r="AD150" t="s">
        <v>111</v>
      </c>
      <c r="AE150" s="2">
        <v>43720.665486111109</v>
      </c>
      <c r="AF150" t="s">
        <v>34</v>
      </c>
      <c r="AG150" s="2">
        <v>43720.665486111109</v>
      </c>
      <c r="AH150" t="s">
        <v>34</v>
      </c>
    </row>
    <row r="151" spans="1:34" x14ac:dyDescent="0.25">
      <c r="A151">
        <v>52</v>
      </c>
      <c r="B151" s="3">
        <v>43720</v>
      </c>
      <c r="C151" s="5">
        <f t="shared" si="4"/>
        <v>43720.375046296293</v>
      </c>
      <c r="D151" t="s">
        <v>54</v>
      </c>
      <c r="E151" t="s">
        <v>307</v>
      </c>
      <c r="F151" t="s">
        <v>302</v>
      </c>
      <c r="G151">
        <v>1</v>
      </c>
      <c r="H151" t="s">
        <v>31</v>
      </c>
      <c r="I151" t="s">
        <v>47</v>
      </c>
      <c r="N151" t="s">
        <v>287</v>
      </c>
      <c r="AD151" t="s">
        <v>115</v>
      </c>
      <c r="AE151" s="2">
        <v>43720.666712962957</v>
      </c>
      <c r="AF151" t="s">
        <v>34</v>
      </c>
      <c r="AG151" s="2">
        <v>43720.666712962957</v>
      </c>
      <c r="AH151" t="s">
        <v>34</v>
      </c>
    </row>
    <row r="152" spans="1:34" x14ac:dyDescent="0.25">
      <c r="A152">
        <v>68</v>
      </c>
      <c r="B152" s="3">
        <v>43720</v>
      </c>
      <c r="C152" s="5">
        <f t="shared" si="4"/>
        <v>43720.393009259264</v>
      </c>
      <c r="D152" t="s">
        <v>54</v>
      </c>
      <c r="E152" t="s">
        <v>307</v>
      </c>
      <c r="F152" t="s">
        <v>302</v>
      </c>
      <c r="G152">
        <v>1</v>
      </c>
      <c r="H152" t="s">
        <v>31</v>
      </c>
      <c r="I152" t="s">
        <v>36</v>
      </c>
      <c r="N152" t="s">
        <v>287</v>
      </c>
      <c r="AD152" t="s">
        <v>135</v>
      </c>
      <c r="AE152" s="2">
        <v>43720.684675925928</v>
      </c>
      <c r="AF152" t="s">
        <v>34</v>
      </c>
      <c r="AG152" s="2">
        <v>43720.684675925928</v>
      </c>
      <c r="AH152" t="s">
        <v>34</v>
      </c>
    </row>
    <row r="153" spans="1:34" x14ac:dyDescent="0.25">
      <c r="A153">
        <v>69</v>
      </c>
      <c r="B153" s="3">
        <v>43720</v>
      </c>
      <c r="C153" s="5">
        <f t="shared" si="4"/>
        <v>43720.394618055558</v>
      </c>
      <c r="D153" t="s">
        <v>54</v>
      </c>
      <c r="E153" t="s">
        <v>307</v>
      </c>
      <c r="F153" t="s">
        <v>302</v>
      </c>
      <c r="G153">
        <v>1</v>
      </c>
      <c r="H153" t="s">
        <v>31</v>
      </c>
      <c r="I153" t="s">
        <v>47</v>
      </c>
      <c r="N153" t="s">
        <v>287</v>
      </c>
      <c r="AD153" t="s">
        <v>136</v>
      </c>
      <c r="AE153" s="2">
        <v>43720.686284722222</v>
      </c>
      <c r="AF153" t="s">
        <v>34</v>
      </c>
      <c r="AG153" s="2">
        <v>43720.686284722222</v>
      </c>
      <c r="AH153" t="s">
        <v>34</v>
      </c>
    </row>
    <row r="154" spans="1:34" x14ac:dyDescent="0.25">
      <c r="A154">
        <v>79</v>
      </c>
      <c r="B154" s="3">
        <v>43720</v>
      </c>
      <c r="C154" s="5">
        <f t="shared" si="4"/>
        <v>43720.411296296297</v>
      </c>
      <c r="D154" t="s">
        <v>54</v>
      </c>
      <c r="E154" t="s">
        <v>307</v>
      </c>
      <c r="F154" t="s">
        <v>302</v>
      </c>
      <c r="G154">
        <v>5</v>
      </c>
      <c r="H154" t="s">
        <v>31</v>
      </c>
      <c r="N154" t="s">
        <v>287</v>
      </c>
      <c r="AD154" t="s">
        <v>153</v>
      </c>
      <c r="AE154" s="2">
        <v>43720.702962962961</v>
      </c>
      <c r="AF154" t="s">
        <v>34</v>
      </c>
      <c r="AG154" s="2">
        <v>43720.702962962961</v>
      </c>
      <c r="AH154" t="s">
        <v>34</v>
      </c>
    </row>
    <row r="155" spans="1:34" x14ac:dyDescent="0.25">
      <c r="A155">
        <v>80</v>
      </c>
      <c r="B155" s="3">
        <v>43720</v>
      </c>
      <c r="C155" s="5">
        <f t="shared" si="4"/>
        <v>43720.411423611113</v>
      </c>
      <c r="D155" t="s">
        <v>54</v>
      </c>
      <c r="E155" t="s">
        <v>307</v>
      </c>
      <c r="F155" t="s">
        <v>302</v>
      </c>
      <c r="G155">
        <v>1</v>
      </c>
      <c r="H155" t="s">
        <v>31</v>
      </c>
      <c r="N155" t="s">
        <v>287</v>
      </c>
      <c r="AD155" t="s">
        <v>154</v>
      </c>
      <c r="AE155" s="2">
        <v>43720.703090277777</v>
      </c>
      <c r="AF155" t="s">
        <v>34</v>
      </c>
      <c r="AG155" s="2">
        <v>43720.703090277777</v>
      </c>
      <c r="AH155" t="s">
        <v>34</v>
      </c>
    </row>
    <row r="156" spans="1:34" x14ac:dyDescent="0.25">
      <c r="A156">
        <v>95</v>
      </c>
      <c r="B156" s="3">
        <v>43720</v>
      </c>
      <c r="C156" s="5">
        <f t="shared" si="4"/>
        <v>43720.321030092593</v>
      </c>
      <c r="D156" t="s">
        <v>54</v>
      </c>
      <c r="E156" t="s">
        <v>307</v>
      </c>
      <c r="F156" t="s">
        <v>302</v>
      </c>
      <c r="G156">
        <v>1</v>
      </c>
      <c r="H156" t="s">
        <v>31</v>
      </c>
      <c r="I156" t="s">
        <v>47</v>
      </c>
      <c r="N156" t="s">
        <v>286</v>
      </c>
      <c r="AD156" t="s">
        <v>180</v>
      </c>
      <c r="AE156" s="2">
        <v>43720.612696759257</v>
      </c>
      <c r="AF156" t="s">
        <v>158</v>
      </c>
      <c r="AG156" s="2">
        <v>43720.612696759257</v>
      </c>
      <c r="AH156" t="s">
        <v>158</v>
      </c>
    </row>
    <row r="157" spans="1:34" x14ac:dyDescent="0.25">
      <c r="A157">
        <v>102</v>
      </c>
      <c r="B157" s="3">
        <v>43720</v>
      </c>
      <c r="C157" s="5">
        <f t="shared" si="4"/>
        <v>43720.325671296298</v>
      </c>
      <c r="D157" t="s">
        <v>54</v>
      </c>
      <c r="E157" t="s">
        <v>307</v>
      </c>
      <c r="F157" t="s">
        <v>302</v>
      </c>
      <c r="G157">
        <v>2</v>
      </c>
      <c r="H157" t="s">
        <v>31</v>
      </c>
      <c r="I157" t="s">
        <v>47</v>
      </c>
      <c r="N157" t="s">
        <v>286</v>
      </c>
      <c r="AD157" t="s">
        <v>188</v>
      </c>
      <c r="AE157" s="2">
        <v>43720.617337962962</v>
      </c>
      <c r="AF157" t="s">
        <v>158</v>
      </c>
      <c r="AG157" s="2">
        <v>43720.617337962962</v>
      </c>
      <c r="AH157" t="s">
        <v>158</v>
      </c>
    </row>
    <row r="158" spans="1:34" x14ac:dyDescent="0.25">
      <c r="A158">
        <v>104</v>
      </c>
      <c r="B158" s="3">
        <v>43720</v>
      </c>
      <c r="C158" s="5">
        <f t="shared" si="4"/>
        <v>43720.327812499992</v>
      </c>
      <c r="D158" t="s">
        <v>54</v>
      </c>
      <c r="E158" t="s">
        <v>307</v>
      </c>
      <c r="F158" t="s">
        <v>302</v>
      </c>
      <c r="G158">
        <v>1</v>
      </c>
      <c r="H158" t="s">
        <v>31</v>
      </c>
      <c r="I158" t="s">
        <v>52</v>
      </c>
      <c r="N158" t="s">
        <v>286</v>
      </c>
      <c r="AD158" t="s">
        <v>190</v>
      </c>
      <c r="AE158" s="2">
        <v>43720.619479166657</v>
      </c>
      <c r="AF158" t="s">
        <v>158</v>
      </c>
      <c r="AG158" s="2">
        <v>43720.619479166657</v>
      </c>
      <c r="AH158" t="s">
        <v>158</v>
      </c>
    </row>
    <row r="159" spans="1:34" x14ac:dyDescent="0.25">
      <c r="A159">
        <v>108</v>
      </c>
      <c r="B159" s="3">
        <v>43720</v>
      </c>
      <c r="C159" s="5">
        <f t="shared" si="4"/>
        <v>43720.330625000002</v>
      </c>
      <c r="D159" t="s">
        <v>54</v>
      </c>
      <c r="E159" t="s">
        <v>307</v>
      </c>
      <c r="F159" t="s">
        <v>302</v>
      </c>
      <c r="G159">
        <v>2</v>
      </c>
      <c r="H159" t="s">
        <v>31</v>
      </c>
      <c r="I159" t="s">
        <v>47</v>
      </c>
      <c r="N159" t="s">
        <v>286</v>
      </c>
      <c r="AD159" t="s">
        <v>195</v>
      </c>
      <c r="AE159" s="2">
        <v>43720.622291666667</v>
      </c>
      <c r="AF159" t="s">
        <v>158</v>
      </c>
      <c r="AG159" s="2">
        <v>43720.622291666667</v>
      </c>
      <c r="AH159" t="s">
        <v>158</v>
      </c>
    </row>
    <row r="160" spans="1:34" x14ac:dyDescent="0.25">
      <c r="A160">
        <v>122</v>
      </c>
      <c r="B160" s="3">
        <v>43720</v>
      </c>
      <c r="C160" s="5">
        <f t="shared" si="4"/>
        <v>43720.344166666662</v>
      </c>
      <c r="D160" t="s">
        <v>54</v>
      </c>
      <c r="E160" t="s">
        <v>307</v>
      </c>
      <c r="F160" t="s">
        <v>302</v>
      </c>
      <c r="G160">
        <v>1</v>
      </c>
      <c r="H160" t="s">
        <v>31</v>
      </c>
      <c r="I160" t="s">
        <v>47</v>
      </c>
      <c r="N160" t="s">
        <v>286</v>
      </c>
      <c r="AD160" t="s">
        <v>212</v>
      </c>
      <c r="AE160" s="2">
        <v>43720.635833333326</v>
      </c>
      <c r="AF160" t="s">
        <v>158</v>
      </c>
      <c r="AG160" s="2">
        <v>43720.635833333326</v>
      </c>
      <c r="AH160" t="s">
        <v>158</v>
      </c>
    </row>
    <row r="161" spans="1:34" x14ac:dyDescent="0.25">
      <c r="A161">
        <v>142</v>
      </c>
      <c r="B161" s="3">
        <v>43720</v>
      </c>
      <c r="C161" s="5">
        <f t="shared" si="4"/>
        <v>43720.361944444448</v>
      </c>
      <c r="D161" t="s">
        <v>54</v>
      </c>
      <c r="E161" t="s">
        <v>307</v>
      </c>
      <c r="F161" t="s">
        <v>302</v>
      </c>
      <c r="G161">
        <v>1</v>
      </c>
      <c r="H161" t="s">
        <v>31</v>
      </c>
      <c r="I161" t="s">
        <v>47</v>
      </c>
      <c r="N161" t="s">
        <v>286</v>
      </c>
      <c r="AD161" t="s">
        <v>234</v>
      </c>
      <c r="AE161" s="2">
        <v>43720.653611111113</v>
      </c>
      <c r="AF161" t="s">
        <v>158</v>
      </c>
      <c r="AG161" s="2">
        <v>43720.653611111113</v>
      </c>
      <c r="AH161" t="s">
        <v>158</v>
      </c>
    </row>
    <row r="162" spans="1:34" x14ac:dyDescent="0.25">
      <c r="A162">
        <v>145</v>
      </c>
      <c r="B162" s="3">
        <v>43720</v>
      </c>
      <c r="C162" s="5">
        <f t="shared" ref="C162:C179" si="5">AE162-(7/24)</f>
        <v>43720.366041666668</v>
      </c>
      <c r="D162" t="s">
        <v>54</v>
      </c>
      <c r="E162" t="s">
        <v>307</v>
      </c>
      <c r="F162" t="s">
        <v>302</v>
      </c>
      <c r="G162">
        <v>2</v>
      </c>
      <c r="H162" t="s">
        <v>31</v>
      </c>
      <c r="I162" t="s">
        <v>47</v>
      </c>
      <c r="N162" t="s">
        <v>286</v>
      </c>
      <c r="AD162" t="s">
        <v>237</v>
      </c>
      <c r="AE162" s="2">
        <v>43720.657708333332</v>
      </c>
      <c r="AF162" t="s">
        <v>158</v>
      </c>
      <c r="AG162" s="2">
        <v>43720.657708333332</v>
      </c>
      <c r="AH162" t="s">
        <v>158</v>
      </c>
    </row>
    <row r="163" spans="1:34" x14ac:dyDescent="0.25">
      <c r="A163">
        <v>147</v>
      </c>
      <c r="B163" s="3">
        <v>43720</v>
      </c>
      <c r="C163" s="5">
        <f t="shared" si="5"/>
        <v>43720.366909722223</v>
      </c>
      <c r="D163" t="s">
        <v>54</v>
      </c>
      <c r="E163" t="s">
        <v>307</v>
      </c>
      <c r="F163" t="s">
        <v>302</v>
      </c>
      <c r="G163">
        <v>2</v>
      </c>
      <c r="H163" t="s">
        <v>31</v>
      </c>
      <c r="I163" t="s">
        <v>41</v>
      </c>
      <c r="N163" t="s">
        <v>286</v>
      </c>
      <c r="AD163" t="s">
        <v>239</v>
      </c>
      <c r="AE163" s="2">
        <v>43720.658576388887</v>
      </c>
      <c r="AF163" t="s">
        <v>158</v>
      </c>
      <c r="AG163" s="2">
        <v>43720.658576388887</v>
      </c>
      <c r="AH163" t="s">
        <v>158</v>
      </c>
    </row>
    <row r="164" spans="1:34" x14ac:dyDescent="0.25">
      <c r="A164">
        <v>164</v>
      </c>
      <c r="B164" s="3">
        <v>43720</v>
      </c>
      <c r="C164" s="5">
        <f t="shared" si="5"/>
        <v>43720.386354166672</v>
      </c>
      <c r="D164" t="s">
        <v>260</v>
      </c>
      <c r="E164" t="s">
        <v>319</v>
      </c>
      <c r="F164" t="s">
        <v>324</v>
      </c>
      <c r="G164">
        <v>1</v>
      </c>
      <c r="H164" t="s">
        <v>31</v>
      </c>
      <c r="I164" t="s">
        <v>36</v>
      </c>
      <c r="N164" t="s">
        <v>286</v>
      </c>
      <c r="AD164" t="s">
        <v>261</v>
      </c>
      <c r="AE164" s="2">
        <v>43720.678020833337</v>
      </c>
      <c r="AF164" t="s">
        <v>158</v>
      </c>
      <c r="AG164" s="2">
        <v>43720.678020833337</v>
      </c>
      <c r="AH164" t="s">
        <v>158</v>
      </c>
    </row>
    <row r="165" spans="1:34" x14ac:dyDescent="0.25">
      <c r="A165">
        <v>71</v>
      </c>
      <c r="B165" s="3">
        <v>43720</v>
      </c>
      <c r="C165" s="5">
        <f t="shared" si="5"/>
        <v>43720.402476851865</v>
      </c>
      <c r="D165" t="s">
        <v>283</v>
      </c>
      <c r="E165" t="s">
        <v>319</v>
      </c>
      <c r="F165" t="s">
        <v>324</v>
      </c>
      <c r="G165">
        <v>1</v>
      </c>
      <c r="H165" t="s">
        <v>31</v>
      </c>
      <c r="I165" t="s">
        <v>93</v>
      </c>
      <c r="L165" t="s">
        <v>139</v>
      </c>
      <c r="N165" t="s">
        <v>287</v>
      </c>
      <c r="AD165" t="s">
        <v>140</v>
      </c>
      <c r="AE165" s="2">
        <v>43720.694143518529</v>
      </c>
      <c r="AF165" t="s">
        <v>34</v>
      </c>
      <c r="AG165" s="2">
        <v>43720.694143518529</v>
      </c>
      <c r="AH165" t="s">
        <v>34</v>
      </c>
    </row>
    <row r="166" spans="1:34" x14ac:dyDescent="0.25">
      <c r="A166">
        <v>11</v>
      </c>
      <c r="B166" s="3">
        <v>43720</v>
      </c>
      <c r="C166" s="5">
        <f t="shared" si="5"/>
        <v>43720.333020833335</v>
      </c>
      <c r="D166" t="s">
        <v>56</v>
      </c>
      <c r="E166" t="s">
        <v>307</v>
      </c>
      <c r="F166" t="s">
        <v>312</v>
      </c>
      <c r="G166">
        <v>1</v>
      </c>
      <c r="H166" t="s">
        <v>31</v>
      </c>
      <c r="I166" t="s">
        <v>36</v>
      </c>
      <c r="N166" t="s">
        <v>287</v>
      </c>
      <c r="AD166" t="s">
        <v>57</v>
      </c>
      <c r="AE166" s="2">
        <v>43720.6246875</v>
      </c>
      <c r="AF166" t="s">
        <v>34</v>
      </c>
      <c r="AG166" s="2">
        <v>43720.6246875</v>
      </c>
      <c r="AH166" t="s">
        <v>34</v>
      </c>
    </row>
    <row r="167" spans="1:34" x14ac:dyDescent="0.25">
      <c r="A167">
        <v>55</v>
      </c>
      <c r="B167" s="3">
        <v>43720</v>
      </c>
      <c r="C167" s="5">
        <f t="shared" si="5"/>
        <v>43720.376932870378</v>
      </c>
      <c r="D167" t="s">
        <v>56</v>
      </c>
      <c r="E167" t="s">
        <v>307</v>
      </c>
      <c r="F167" t="s">
        <v>312</v>
      </c>
      <c r="G167">
        <v>2</v>
      </c>
      <c r="H167" t="s">
        <v>31</v>
      </c>
      <c r="I167" t="s">
        <v>41</v>
      </c>
      <c r="N167" t="s">
        <v>287</v>
      </c>
      <c r="AD167" t="s">
        <v>120</v>
      </c>
      <c r="AE167" s="2">
        <v>43720.668599537043</v>
      </c>
      <c r="AF167" t="s">
        <v>34</v>
      </c>
      <c r="AG167" s="2">
        <v>43720.670590277783</v>
      </c>
      <c r="AH167" t="s">
        <v>34</v>
      </c>
    </row>
    <row r="168" spans="1:34" x14ac:dyDescent="0.25">
      <c r="A168">
        <v>56</v>
      </c>
      <c r="B168" s="3">
        <v>43720</v>
      </c>
      <c r="C168" s="5">
        <f t="shared" si="5"/>
        <v>43720.377199074079</v>
      </c>
      <c r="D168" t="s">
        <v>56</v>
      </c>
      <c r="E168" t="s">
        <v>307</v>
      </c>
      <c r="F168" t="s">
        <v>312</v>
      </c>
      <c r="G168">
        <v>1</v>
      </c>
      <c r="H168" t="s">
        <v>31</v>
      </c>
      <c r="I168" t="s">
        <v>36</v>
      </c>
      <c r="N168" t="s">
        <v>287</v>
      </c>
      <c r="AD168" t="s">
        <v>121</v>
      </c>
      <c r="AE168" s="2">
        <v>43720.668865740743</v>
      </c>
      <c r="AF168" t="s">
        <v>34</v>
      </c>
      <c r="AG168" s="2">
        <v>43720.668865740743</v>
      </c>
      <c r="AH168" t="s">
        <v>34</v>
      </c>
    </row>
    <row r="169" spans="1:34" x14ac:dyDescent="0.25">
      <c r="A169">
        <v>131</v>
      </c>
      <c r="B169" s="3">
        <v>43720</v>
      </c>
      <c r="C169" s="5">
        <f t="shared" si="5"/>
        <v>43720.351620370369</v>
      </c>
      <c r="D169" t="s">
        <v>56</v>
      </c>
      <c r="E169" t="s">
        <v>307</v>
      </c>
      <c r="F169" t="s">
        <v>312</v>
      </c>
      <c r="G169">
        <v>1</v>
      </c>
      <c r="H169" t="s">
        <v>31</v>
      </c>
      <c r="I169" t="s">
        <v>36</v>
      </c>
      <c r="N169" t="s">
        <v>286</v>
      </c>
      <c r="AD169" t="s">
        <v>223</v>
      </c>
      <c r="AE169" s="2">
        <v>43720.643287037034</v>
      </c>
      <c r="AF169" t="s">
        <v>158</v>
      </c>
      <c r="AG169" s="2">
        <v>43720.643287037034</v>
      </c>
      <c r="AH169" t="s">
        <v>158</v>
      </c>
    </row>
    <row r="170" spans="1:34" x14ac:dyDescent="0.25">
      <c r="A170">
        <v>153</v>
      </c>
      <c r="B170" s="3">
        <v>43720</v>
      </c>
      <c r="C170" s="5">
        <f t="shared" si="5"/>
        <v>43720.372407407413</v>
      </c>
      <c r="D170" t="s">
        <v>56</v>
      </c>
      <c r="E170" t="s">
        <v>307</v>
      </c>
      <c r="F170" t="s">
        <v>312</v>
      </c>
      <c r="G170">
        <v>1</v>
      </c>
      <c r="H170" t="s">
        <v>31</v>
      </c>
      <c r="I170" t="s">
        <v>36</v>
      </c>
      <c r="N170" t="s">
        <v>286</v>
      </c>
      <c r="AD170" t="s">
        <v>248</v>
      </c>
      <c r="AE170" s="2">
        <v>43720.664074074077</v>
      </c>
      <c r="AF170" t="s">
        <v>158</v>
      </c>
      <c r="AG170" s="2">
        <v>43720.664074074077</v>
      </c>
      <c r="AH170" t="s">
        <v>158</v>
      </c>
    </row>
    <row r="171" spans="1:34" x14ac:dyDescent="0.25">
      <c r="A171">
        <v>168</v>
      </c>
      <c r="B171" s="3">
        <v>43720</v>
      </c>
      <c r="C171" s="5">
        <f t="shared" si="5"/>
        <v>43720.390231481484</v>
      </c>
      <c r="D171" t="s">
        <v>56</v>
      </c>
      <c r="E171" t="s">
        <v>307</v>
      </c>
      <c r="F171" t="s">
        <v>312</v>
      </c>
      <c r="G171">
        <v>4</v>
      </c>
      <c r="H171" t="s">
        <v>31</v>
      </c>
      <c r="I171" t="s">
        <v>41</v>
      </c>
      <c r="N171" t="s">
        <v>286</v>
      </c>
      <c r="AD171" t="s">
        <v>265</v>
      </c>
      <c r="AE171" s="2">
        <v>43720.681898148148</v>
      </c>
      <c r="AF171" t="s">
        <v>158</v>
      </c>
      <c r="AG171" s="2">
        <v>43720.681898148148</v>
      </c>
      <c r="AH171" t="s">
        <v>158</v>
      </c>
    </row>
    <row r="172" spans="1:34" x14ac:dyDescent="0.25">
      <c r="A172">
        <v>75</v>
      </c>
      <c r="B172" s="3">
        <v>43720</v>
      </c>
      <c r="C172" s="5">
        <f t="shared" si="5"/>
        <v>43720.408900462964</v>
      </c>
      <c r="D172" t="s">
        <v>146</v>
      </c>
      <c r="E172" t="s">
        <v>317</v>
      </c>
      <c r="F172" t="s">
        <v>317</v>
      </c>
      <c r="G172">
        <v>7</v>
      </c>
      <c r="H172" t="s">
        <v>31</v>
      </c>
      <c r="I172" t="s">
        <v>93</v>
      </c>
      <c r="N172" t="s">
        <v>287</v>
      </c>
      <c r="AD172" t="s">
        <v>147</v>
      </c>
      <c r="AE172" s="2">
        <v>43720.700567129628</v>
      </c>
      <c r="AF172" t="s">
        <v>34</v>
      </c>
      <c r="AG172" s="2">
        <v>43720.701331018521</v>
      </c>
      <c r="AH172" t="s">
        <v>34</v>
      </c>
    </row>
    <row r="173" spans="1:34" x14ac:dyDescent="0.25">
      <c r="A173">
        <v>100</v>
      </c>
      <c r="B173" s="3">
        <v>43720</v>
      </c>
      <c r="C173" s="5">
        <f t="shared" si="5"/>
        <v>43720.324641203704</v>
      </c>
      <c r="D173" t="s">
        <v>146</v>
      </c>
      <c r="E173" t="s">
        <v>317</v>
      </c>
      <c r="F173" t="s">
        <v>317</v>
      </c>
      <c r="G173">
        <v>2</v>
      </c>
      <c r="H173" t="s">
        <v>31</v>
      </c>
      <c r="I173" t="s">
        <v>93</v>
      </c>
      <c r="N173" t="s">
        <v>286</v>
      </c>
      <c r="AD173" t="s">
        <v>186</v>
      </c>
      <c r="AE173" s="2">
        <v>43720.616307870368</v>
      </c>
      <c r="AF173" t="s">
        <v>158</v>
      </c>
      <c r="AG173" s="2">
        <v>43720.616307870368</v>
      </c>
      <c r="AH173" t="s">
        <v>158</v>
      </c>
    </row>
    <row r="174" spans="1:34" x14ac:dyDescent="0.25">
      <c r="A174">
        <v>112</v>
      </c>
      <c r="B174" s="3">
        <v>43720</v>
      </c>
      <c r="C174" s="5">
        <f t="shared" si="5"/>
        <v>43720.334641203706</v>
      </c>
      <c r="D174" t="s">
        <v>146</v>
      </c>
      <c r="E174" t="s">
        <v>317</v>
      </c>
      <c r="F174" t="s">
        <v>317</v>
      </c>
      <c r="G174">
        <v>4</v>
      </c>
      <c r="H174" t="s">
        <v>31</v>
      </c>
      <c r="I174" t="s">
        <v>93</v>
      </c>
      <c r="N174" t="s">
        <v>286</v>
      </c>
      <c r="AD174" t="s">
        <v>200</v>
      </c>
      <c r="AE174" s="2">
        <v>43720.626307870371</v>
      </c>
      <c r="AF174" t="s">
        <v>158</v>
      </c>
      <c r="AG174" s="2">
        <v>43720.626307870371</v>
      </c>
      <c r="AH174" t="s">
        <v>158</v>
      </c>
    </row>
    <row r="175" spans="1:34" x14ac:dyDescent="0.25">
      <c r="A175">
        <v>120</v>
      </c>
      <c r="B175" s="3">
        <v>43720</v>
      </c>
      <c r="C175" s="5">
        <f t="shared" si="5"/>
        <v>43720.340706018513</v>
      </c>
      <c r="D175" t="s">
        <v>146</v>
      </c>
      <c r="E175" t="s">
        <v>317</v>
      </c>
      <c r="F175" t="s">
        <v>317</v>
      </c>
      <c r="G175">
        <v>5</v>
      </c>
      <c r="H175" t="s">
        <v>31</v>
      </c>
      <c r="I175" t="s">
        <v>156</v>
      </c>
      <c r="N175" t="s">
        <v>286</v>
      </c>
      <c r="AD175" t="s">
        <v>210</v>
      </c>
      <c r="AE175" s="2">
        <v>43720.632372685177</v>
      </c>
      <c r="AF175" t="s">
        <v>158</v>
      </c>
      <c r="AG175" s="2">
        <v>43720.632372685177</v>
      </c>
      <c r="AH175" t="s">
        <v>158</v>
      </c>
    </row>
    <row r="176" spans="1:34" x14ac:dyDescent="0.25">
      <c r="A176">
        <v>155</v>
      </c>
      <c r="B176" s="3">
        <v>43720</v>
      </c>
      <c r="C176" s="5">
        <f t="shared" si="5"/>
        <v>43720.373460648159</v>
      </c>
      <c r="D176" t="s">
        <v>250</v>
      </c>
      <c r="E176" t="s">
        <v>307</v>
      </c>
      <c r="F176" t="s">
        <v>311</v>
      </c>
      <c r="G176">
        <v>1</v>
      </c>
      <c r="H176" t="s">
        <v>31</v>
      </c>
      <c r="I176" t="s">
        <v>41</v>
      </c>
      <c r="N176" t="s">
        <v>286</v>
      </c>
      <c r="AD176" t="s">
        <v>251</v>
      </c>
      <c r="AE176" s="2">
        <v>43720.665127314824</v>
      </c>
      <c r="AF176" t="s">
        <v>158</v>
      </c>
      <c r="AG176" s="2">
        <v>43720.665127314824</v>
      </c>
      <c r="AH176" t="s">
        <v>158</v>
      </c>
    </row>
    <row r="177" spans="1:34" x14ac:dyDescent="0.25">
      <c r="A177">
        <v>23</v>
      </c>
      <c r="B177" s="3">
        <v>43720</v>
      </c>
      <c r="C177" s="5">
        <f t="shared" si="5"/>
        <v>43720.343460648153</v>
      </c>
      <c r="D177" t="s">
        <v>76</v>
      </c>
      <c r="E177" t="s">
        <v>305</v>
      </c>
      <c r="F177" t="s">
        <v>306</v>
      </c>
      <c r="G177">
        <v>2</v>
      </c>
      <c r="H177" t="s">
        <v>31</v>
      </c>
      <c r="I177" t="s">
        <v>41</v>
      </c>
      <c r="N177" t="s">
        <v>287</v>
      </c>
      <c r="AD177" t="s">
        <v>77</v>
      </c>
      <c r="AE177" s="2">
        <v>43720.635127314818</v>
      </c>
      <c r="AF177" t="s">
        <v>34</v>
      </c>
      <c r="AG177" s="2">
        <v>43720.635127314818</v>
      </c>
      <c r="AH177" t="s">
        <v>34</v>
      </c>
    </row>
    <row r="178" spans="1:34" x14ac:dyDescent="0.25">
      <c r="A178">
        <v>42</v>
      </c>
      <c r="B178" s="3">
        <v>43720</v>
      </c>
      <c r="C178" s="5">
        <f t="shared" si="5"/>
        <v>43720.370729166672</v>
      </c>
      <c r="D178" t="s">
        <v>76</v>
      </c>
      <c r="E178" t="s">
        <v>305</v>
      </c>
      <c r="F178" t="s">
        <v>306</v>
      </c>
      <c r="G178">
        <v>1</v>
      </c>
      <c r="H178" t="s">
        <v>31</v>
      </c>
      <c r="I178" t="s">
        <v>41</v>
      </c>
      <c r="N178" t="s">
        <v>287</v>
      </c>
      <c r="AD178" t="s">
        <v>104</v>
      </c>
      <c r="AE178" s="2">
        <v>43720.662395833337</v>
      </c>
      <c r="AF178" t="s">
        <v>34</v>
      </c>
      <c r="AG178" s="2">
        <v>43720.662395833337</v>
      </c>
      <c r="AH178" t="s">
        <v>34</v>
      </c>
    </row>
    <row r="179" spans="1:34" x14ac:dyDescent="0.25">
      <c r="A179">
        <v>178</v>
      </c>
      <c r="B179" s="3">
        <v>43720</v>
      </c>
      <c r="C179" s="5">
        <f t="shared" si="5"/>
        <v>43720.412071759252</v>
      </c>
      <c r="D179" t="s">
        <v>76</v>
      </c>
      <c r="E179" t="s">
        <v>305</v>
      </c>
      <c r="F179" t="s">
        <v>306</v>
      </c>
      <c r="G179">
        <v>1</v>
      </c>
      <c r="H179" t="s">
        <v>31</v>
      </c>
      <c r="I179" t="s">
        <v>36</v>
      </c>
      <c r="N179" t="s">
        <v>286</v>
      </c>
      <c r="O179" t="s">
        <v>277</v>
      </c>
      <c r="P179" t="s">
        <v>278</v>
      </c>
      <c r="Q179">
        <v>68</v>
      </c>
      <c r="R179">
        <v>0</v>
      </c>
      <c r="W179">
        <v>75</v>
      </c>
      <c r="AC179" t="s">
        <v>279</v>
      </c>
      <c r="AD179" t="s">
        <v>280</v>
      </c>
      <c r="AE179" s="2">
        <v>43720.703738425917</v>
      </c>
      <c r="AF179" t="s">
        <v>158</v>
      </c>
      <c r="AG179" s="2">
        <v>43720.717962962961</v>
      </c>
      <c r="AH179" t="s">
        <v>158</v>
      </c>
    </row>
  </sheetData>
  <autoFilter ref="A1:AH179" xr:uid="{00000000-0009-0000-0000-000001000000}"/>
  <sortState xmlns:xlrd2="http://schemas.microsoft.com/office/spreadsheetml/2017/richdata2" ref="A2:AH179">
    <sortCondition ref="D2:D179"/>
  </sortState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0"/>
  <sheetViews>
    <sheetView workbookViewId="0">
      <selection activeCell="A12" sqref="A12"/>
    </sheetView>
  </sheetViews>
  <sheetFormatPr defaultRowHeight="15" x14ac:dyDescent="0.25"/>
  <cols>
    <col min="1" max="1" width="26" bestFit="1" customWidth="1"/>
    <col min="2" max="2" width="39.42578125" style="6" bestFit="1" customWidth="1"/>
    <col min="3" max="3" width="34.140625" style="6" bestFit="1" customWidth="1"/>
    <col min="4" max="4" width="8.42578125" style="6" bestFit="1" customWidth="1"/>
    <col min="5" max="5" width="39.42578125" style="6" bestFit="1" customWidth="1"/>
    <col min="6" max="6" width="9" style="6" bestFit="1" customWidth="1"/>
    <col min="7" max="7" width="11.28515625" hidden="1" customWidth="1"/>
  </cols>
  <sheetData>
    <row r="1" spans="1:7" x14ac:dyDescent="0.25">
      <c r="D1" s="33" t="s">
        <v>296</v>
      </c>
    </row>
    <row r="2" spans="1:7" x14ac:dyDescent="0.25">
      <c r="D2" s="33"/>
      <c r="E2" s="32" t="s">
        <v>295</v>
      </c>
      <c r="F2" s="32"/>
    </row>
    <row r="3" spans="1:7" x14ac:dyDescent="0.25">
      <c r="A3" s="7" t="s">
        <v>290</v>
      </c>
      <c r="B3" s="11" t="s">
        <v>291</v>
      </c>
      <c r="D3" s="27"/>
      <c r="E3" s="19"/>
      <c r="F3" s="19"/>
    </row>
    <row r="4" spans="1:7" x14ac:dyDescent="0.25">
      <c r="B4" s="6" t="s">
        <v>31</v>
      </c>
      <c r="D4" s="27" t="s">
        <v>292</v>
      </c>
      <c r="E4" s="19" t="s">
        <v>208</v>
      </c>
      <c r="F4" s="19" t="s">
        <v>293</v>
      </c>
      <c r="G4" t="s">
        <v>289</v>
      </c>
    </row>
    <row r="5" spans="1:7" x14ac:dyDescent="0.25">
      <c r="A5" s="7" t="s">
        <v>288</v>
      </c>
      <c r="B5" s="6" t="s">
        <v>286</v>
      </c>
      <c r="C5" s="6" t="s">
        <v>287</v>
      </c>
      <c r="D5" s="27"/>
      <c r="E5" s="19" t="s">
        <v>286</v>
      </c>
      <c r="F5" s="19"/>
    </row>
    <row r="6" spans="1:7" x14ac:dyDescent="0.25">
      <c r="A6" s="13" t="s">
        <v>58</v>
      </c>
      <c r="B6" s="14">
        <v>12</v>
      </c>
      <c r="C6" s="14">
        <v>5</v>
      </c>
      <c r="D6" s="28">
        <v>17</v>
      </c>
      <c r="E6" s="20"/>
      <c r="F6" s="21"/>
      <c r="G6" s="9">
        <v>17</v>
      </c>
    </row>
    <row r="7" spans="1:7" x14ac:dyDescent="0.25">
      <c r="A7" s="15" t="s">
        <v>49</v>
      </c>
      <c r="B7" s="16"/>
      <c r="C7" s="16">
        <v>5</v>
      </c>
      <c r="D7" s="29">
        <v>5</v>
      </c>
      <c r="E7" s="22"/>
      <c r="F7" s="23"/>
      <c r="G7" s="9">
        <v>5</v>
      </c>
    </row>
    <row r="8" spans="1:7" x14ac:dyDescent="0.25">
      <c r="A8" s="15" t="s">
        <v>30</v>
      </c>
      <c r="B8" s="16"/>
      <c r="C8" s="16">
        <v>1</v>
      </c>
      <c r="D8" s="29">
        <v>1</v>
      </c>
      <c r="E8" s="22">
        <v>1</v>
      </c>
      <c r="F8" s="23">
        <v>1</v>
      </c>
      <c r="G8" s="9">
        <v>2</v>
      </c>
    </row>
    <row r="9" spans="1:7" x14ac:dyDescent="0.25">
      <c r="A9" s="15" t="s">
        <v>51</v>
      </c>
      <c r="B9" s="16">
        <v>10</v>
      </c>
      <c r="C9" s="16">
        <v>7</v>
      </c>
      <c r="D9" s="29">
        <v>17</v>
      </c>
      <c r="E9" s="22">
        <v>1</v>
      </c>
      <c r="F9" s="23">
        <v>1</v>
      </c>
      <c r="G9" s="9">
        <v>18</v>
      </c>
    </row>
    <row r="10" spans="1:7" x14ac:dyDescent="0.25">
      <c r="A10" s="15" t="s">
        <v>170</v>
      </c>
      <c r="B10" s="16">
        <v>2</v>
      </c>
      <c r="C10" s="16"/>
      <c r="D10" s="29">
        <v>2</v>
      </c>
      <c r="E10" s="22"/>
      <c r="F10" s="23"/>
      <c r="G10" s="9">
        <v>2</v>
      </c>
    </row>
    <row r="11" spans="1:7" x14ac:dyDescent="0.25">
      <c r="A11" s="15" t="s">
        <v>245</v>
      </c>
      <c r="B11" s="16">
        <v>2</v>
      </c>
      <c r="C11" s="16"/>
      <c r="D11" s="29">
        <v>2</v>
      </c>
      <c r="E11" s="22"/>
      <c r="F11" s="23"/>
      <c r="G11" s="9">
        <v>2</v>
      </c>
    </row>
    <row r="12" spans="1:7" x14ac:dyDescent="0.25">
      <c r="A12" s="15" t="s">
        <v>143</v>
      </c>
      <c r="B12" s="16">
        <v>6</v>
      </c>
      <c r="C12" s="16">
        <v>2</v>
      </c>
      <c r="D12" s="29">
        <v>8</v>
      </c>
      <c r="E12" s="22"/>
      <c r="F12" s="23"/>
      <c r="G12" s="9">
        <v>8</v>
      </c>
    </row>
    <row r="13" spans="1:7" x14ac:dyDescent="0.25">
      <c r="A13" s="15" t="s">
        <v>102</v>
      </c>
      <c r="B13" s="16"/>
      <c r="C13" s="16">
        <v>8</v>
      </c>
      <c r="D13" s="29">
        <v>8</v>
      </c>
      <c r="E13" s="22"/>
      <c r="F13" s="23"/>
      <c r="G13" s="9">
        <v>8</v>
      </c>
    </row>
    <row r="14" spans="1:7" x14ac:dyDescent="0.25">
      <c r="A14" s="15" t="s">
        <v>240</v>
      </c>
      <c r="B14" s="16">
        <v>8</v>
      </c>
      <c r="C14" s="16"/>
      <c r="D14" s="29">
        <v>8</v>
      </c>
      <c r="E14" s="22">
        <v>10</v>
      </c>
      <c r="F14" s="23">
        <v>10</v>
      </c>
      <c r="G14" s="9">
        <v>18</v>
      </c>
    </row>
    <row r="15" spans="1:7" x14ac:dyDescent="0.25">
      <c r="A15" s="15" t="s">
        <v>35</v>
      </c>
      <c r="B15" s="16">
        <v>3</v>
      </c>
      <c r="C15" s="16">
        <v>6</v>
      </c>
      <c r="D15" s="29">
        <v>9</v>
      </c>
      <c r="E15" s="22"/>
      <c r="F15" s="23"/>
      <c r="G15" s="9">
        <v>9</v>
      </c>
    </row>
    <row r="16" spans="1:7" x14ac:dyDescent="0.25">
      <c r="A16" s="15" t="s">
        <v>116</v>
      </c>
      <c r="B16" s="16">
        <v>3</v>
      </c>
      <c r="C16" s="16">
        <v>4</v>
      </c>
      <c r="D16" s="29">
        <v>7</v>
      </c>
      <c r="E16" s="22"/>
      <c r="F16" s="23"/>
      <c r="G16" s="9">
        <v>7</v>
      </c>
    </row>
    <row r="17" spans="1:7" x14ac:dyDescent="0.25">
      <c r="A17" s="15" t="s">
        <v>78</v>
      </c>
      <c r="B17" s="16">
        <v>7</v>
      </c>
      <c r="C17" s="16">
        <v>7</v>
      </c>
      <c r="D17" s="29">
        <v>14</v>
      </c>
      <c r="E17" s="22"/>
      <c r="F17" s="23"/>
      <c r="G17" s="9">
        <v>14</v>
      </c>
    </row>
    <row r="18" spans="1:7" x14ac:dyDescent="0.25">
      <c r="A18" s="15" t="s">
        <v>61</v>
      </c>
      <c r="B18" s="16">
        <v>1</v>
      </c>
      <c r="C18" s="16">
        <v>1</v>
      </c>
      <c r="D18" s="29">
        <v>2</v>
      </c>
      <c r="E18" s="22">
        <v>1</v>
      </c>
      <c r="F18" s="23">
        <v>1</v>
      </c>
      <c r="G18" s="9">
        <v>3</v>
      </c>
    </row>
    <row r="19" spans="1:7" x14ac:dyDescent="0.25">
      <c r="A19" s="15" t="s">
        <v>164</v>
      </c>
      <c r="B19" s="16">
        <v>11</v>
      </c>
      <c r="C19" s="16"/>
      <c r="D19" s="29">
        <v>11</v>
      </c>
      <c r="E19" s="22"/>
      <c r="F19" s="23"/>
      <c r="G19" s="9">
        <v>11</v>
      </c>
    </row>
    <row r="20" spans="1:7" x14ac:dyDescent="0.25">
      <c r="A20" s="15" t="s">
        <v>242</v>
      </c>
      <c r="B20" s="16">
        <v>1</v>
      </c>
      <c r="C20" s="16"/>
      <c r="D20" s="29">
        <v>1</v>
      </c>
      <c r="E20" s="22"/>
      <c r="F20" s="23"/>
      <c r="G20" s="9">
        <v>1</v>
      </c>
    </row>
    <row r="21" spans="1:7" x14ac:dyDescent="0.25">
      <c r="A21" s="15" t="s">
        <v>92</v>
      </c>
      <c r="B21" s="16">
        <v>3</v>
      </c>
      <c r="C21" s="16">
        <v>2</v>
      </c>
      <c r="D21" s="29">
        <v>5</v>
      </c>
      <c r="E21" s="22"/>
      <c r="F21" s="23"/>
      <c r="G21" s="9">
        <v>5</v>
      </c>
    </row>
    <row r="22" spans="1:7" x14ac:dyDescent="0.25">
      <c r="A22" s="15" t="s">
        <v>172</v>
      </c>
      <c r="B22" s="16">
        <v>11</v>
      </c>
      <c r="C22" s="16"/>
      <c r="D22" s="29">
        <v>11</v>
      </c>
      <c r="E22" s="22"/>
      <c r="F22" s="23"/>
      <c r="G22" s="9">
        <v>11</v>
      </c>
    </row>
    <row r="23" spans="1:7" x14ac:dyDescent="0.25">
      <c r="A23" s="15" t="s">
        <v>159</v>
      </c>
      <c r="B23" s="16">
        <v>38</v>
      </c>
      <c r="C23" s="16"/>
      <c r="D23" s="29">
        <v>38</v>
      </c>
      <c r="E23" s="22"/>
      <c r="F23" s="23"/>
      <c r="G23" s="9">
        <v>38</v>
      </c>
    </row>
    <row r="24" spans="1:7" x14ac:dyDescent="0.25">
      <c r="A24" s="15" t="s">
        <v>166</v>
      </c>
      <c r="B24" s="16">
        <v>2</v>
      </c>
      <c r="C24" s="16"/>
      <c r="D24" s="29">
        <v>2</v>
      </c>
      <c r="E24" s="22"/>
      <c r="F24" s="23"/>
      <c r="G24" s="9">
        <v>2</v>
      </c>
    </row>
    <row r="25" spans="1:7" x14ac:dyDescent="0.25">
      <c r="A25" s="15" t="s">
        <v>38</v>
      </c>
      <c r="B25" s="16">
        <v>14</v>
      </c>
      <c r="C25" s="16">
        <v>2</v>
      </c>
      <c r="D25" s="29">
        <v>16</v>
      </c>
      <c r="E25" s="22"/>
      <c r="F25" s="23"/>
      <c r="G25" s="9">
        <v>16</v>
      </c>
    </row>
    <row r="26" spans="1:7" x14ac:dyDescent="0.25">
      <c r="A26" s="15" t="s">
        <v>45</v>
      </c>
      <c r="B26" s="16">
        <v>5</v>
      </c>
      <c r="C26" s="16">
        <v>3</v>
      </c>
      <c r="D26" s="29">
        <v>8</v>
      </c>
      <c r="E26" s="22"/>
      <c r="F26" s="23"/>
      <c r="G26" s="9">
        <v>8</v>
      </c>
    </row>
    <row r="27" spans="1:7" x14ac:dyDescent="0.25">
      <c r="A27" s="15" t="s">
        <v>70</v>
      </c>
      <c r="B27" s="16">
        <v>31</v>
      </c>
      <c r="C27" s="16">
        <v>57</v>
      </c>
      <c r="D27" s="29">
        <v>88</v>
      </c>
      <c r="E27" s="22">
        <v>40</v>
      </c>
      <c r="F27" s="23">
        <v>40</v>
      </c>
      <c r="G27" s="9">
        <v>128</v>
      </c>
    </row>
    <row r="28" spans="1:7" x14ac:dyDescent="0.25">
      <c r="A28" s="15" t="s">
        <v>118</v>
      </c>
      <c r="B28" s="16"/>
      <c r="C28" s="16">
        <v>2</v>
      </c>
      <c r="D28" s="29">
        <v>2</v>
      </c>
      <c r="E28" s="22"/>
      <c r="F28" s="23"/>
      <c r="G28" s="9">
        <v>2</v>
      </c>
    </row>
    <row r="29" spans="1:7" x14ac:dyDescent="0.25">
      <c r="A29" s="15" t="s">
        <v>148</v>
      </c>
      <c r="B29" s="16">
        <v>1</v>
      </c>
      <c r="C29" s="16">
        <v>1</v>
      </c>
      <c r="D29" s="29">
        <v>2</v>
      </c>
      <c r="E29" s="22"/>
      <c r="F29" s="23"/>
      <c r="G29" s="9">
        <v>2</v>
      </c>
    </row>
    <row r="30" spans="1:7" x14ac:dyDescent="0.25">
      <c r="A30" s="15" t="s">
        <v>125</v>
      </c>
      <c r="B30" s="16">
        <v>1</v>
      </c>
      <c r="C30" s="16">
        <v>1</v>
      </c>
      <c r="D30" s="29">
        <v>2</v>
      </c>
      <c r="E30" s="22"/>
      <c r="F30" s="23"/>
      <c r="G30" s="9">
        <v>2</v>
      </c>
    </row>
    <row r="31" spans="1:7" x14ac:dyDescent="0.25">
      <c r="A31" s="15" t="s">
        <v>284</v>
      </c>
      <c r="B31" s="16">
        <v>2</v>
      </c>
      <c r="C31" s="16"/>
      <c r="D31" s="29">
        <v>2</v>
      </c>
      <c r="E31" s="22"/>
      <c r="F31" s="23"/>
      <c r="G31" s="9">
        <v>2</v>
      </c>
    </row>
    <row r="32" spans="1:7" x14ac:dyDescent="0.25">
      <c r="A32" s="15" t="s">
        <v>192</v>
      </c>
      <c r="B32" s="16">
        <v>1</v>
      </c>
      <c r="C32" s="16"/>
      <c r="D32" s="29">
        <v>1</v>
      </c>
      <c r="E32" s="22"/>
      <c r="F32" s="23"/>
      <c r="G32" s="9">
        <v>1</v>
      </c>
    </row>
    <row r="33" spans="1:7" x14ac:dyDescent="0.25">
      <c r="A33" s="15" t="s">
        <v>66</v>
      </c>
      <c r="B33" s="16"/>
      <c r="C33" s="16">
        <v>3</v>
      </c>
      <c r="D33" s="29">
        <v>3</v>
      </c>
      <c r="E33" s="22"/>
      <c r="F33" s="23"/>
      <c r="G33" s="9">
        <v>3</v>
      </c>
    </row>
    <row r="34" spans="1:7" x14ac:dyDescent="0.25">
      <c r="A34" s="15" t="s">
        <v>202</v>
      </c>
      <c r="B34" s="16">
        <v>2</v>
      </c>
      <c r="C34" s="16"/>
      <c r="D34" s="29">
        <v>2</v>
      </c>
      <c r="E34" s="22"/>
      <c r="F34" s="23"/>
      <c r="G34" s="9">
        <v>2</v>
      </c>
    </row>
    <row r="35" spans="1:7" x14ac:dyDescent="0.25">
      <c r="A35" s="15" t="s">
        <v>151</v>
      </c>
      <c r="B35" s="16">
        <v>2</v>
      </c>
      <c r="C35" s="16">
        <v>1</v>
      </c>
      <c r="D35" s="29">
        <v>3</v>
      </c>
      <c r="E35" s="22"/>
      <c r="F35" s="23"/>
      <c r="G35" s="9">
        <v>3</v>
      </c>
    </row>
    <row r="36" spans="1:7" x14ac:dyDescent="0.25">
      <c r="A36" s="15" t="s">
        <v>137</v>
      </c>
      <c r="B36" s="16">
        <v>81</v>
      </c>
      <c r="C36" s="16">
        <v>30</v>
      </c>
      <c r="D36" s="29">
        <v>111</v>
      </c>
      <c r="E36" s="22"/>
      <c r="F36" s="23"/>
      <c r="G36" s="9">
        <v>111</v>
      </c>
    </row>
    <row r="37" spans="1:7" x14ac:dyDescent="0.25">
      <c r="A37" s="15" t="s">
        <v>73</v>
      </c>
      <c r="B37" s="16"/>
      <c r="C37" s="16">
        <v>4</v>
      </c>
      <c r="D37" s="29">
        <v>4</v>
      </c>
      <c r="E37" s="22"/>
      <c r="F37" s="23"/>
      <c r="G37" s="9">
        <v>4</v>
      </c>
    </row>
    <row r="38" spans="1:7" x14ac:dyDescent="0.25">
      <c r="A38" s="15" t="s">
        <v>106</v>
      </c>
      <c r="B38" s="16">
        <v>1</v>
      </c>
      <c r="C38" s="16">
        <v>3</v>
      </c>
      <c r="D38" s="29">
        <v>4</v>
      </c>
      <c r="E38" s="22"/>
      <c r="F38" s="23"/>
      <c r="G38" s="9">
        <v>4</v>
      </c>
    </row>
    <row r="39" spans="1:7" x14ac:dyDescent="0.25">
      <c r="A39" s="15" t="s">
        <v>215</v>
      </c>
      <c r="B39" s="16">
        <v>1</v>
      </c>
      <c r="C39" s="16"/>
      <c r="D39" s="29">
        <v>1</v>
      </c>
      <c r="E39" s="22"/>
      <c r="F39" s="23"/>
      <c r="G39" s="9">
        <v>1</v>
      </c>
    </row>
    <row r="40" spans="1:7" x14ac:dyDescent="0.25">
      <c r="A40" s="15" t="s">
        <v>43</v>
      </c>
      <c r="B40" s="16">
        <v>1</v>
      </c>
      <c r="C40" s="16">
        <v>1</v>
      </c>
      <c r="D40" s="29">
        <v>2</v>
      </c>
      <c r="E40" s="22"/>
      <c r="F40" s="23"/>
      <c r="G40" s="9">
        <v>2</v>
      </c>
    </row>
    <row r="41" spans="1:7" x14ac:dyDescent="0.25">
      <c r="A41" s="15" t="s">
        <v>40</v>
      </c>
      <c r="B41" s="16"/>
      <c r="C41" s="16">
        <v>6</v>
      </c>
      <c r="D41" s="29">
        <v>6</v>
      </c>
      <c r="E41" s="22"/>
      <c r="F41" s="23"/>
      <c r="G41" s="9">
        <v>6</v>
      </c>
    </row>
    <row r="42" spans="1:7" x14ac:dyDescent="0.25">
      <c r="A42" s="15" t="s">
        <v>285</v>
      </c>
      <c r="B42" s="16">
        <v>2</v>
      </c>
      <c r="C42" s="16"/>
      <c r="D42" s="29">
        <v>2</v>
      </c>
      <c r="E42" s="22"/>
      <c r="F42" s="23"/>
      <c r="G42" s="9">
        <v>2</v>
      </c>
    </row>
    <row r="43" spans="1:7" x14ac:dyDescent="0.25">
      <c r="A43" s="15" t="s">
        <v>213</v>
      </c>
      <c r="B43" s="16">
        <v>2</v>
      </c>
      <c r="C43" s="16"/>
      <c r="D43" s="29">
        <v>2</v>
      </c>
      <c r="E43" s="22"/>
      <c r="F43" s="23"/>
      <c r="G43" s="9">
        <v>2</v>
      </c>
    </row>
    <row r="44" spans="1:7" x14ac:dyDescent="0.25">
      <c r="A44" s="15" t="s">
        <v>141</v>
      </c>
      <c r="B44" s="16">
        <v>11</v>
      </c>
      <c r="C44" s="16">
        <v>6</v>
      </c>
      <c r="D44" s="29">
        <v>17</v>
      </c>
      <c r="E44" s="22"/>
      <c r="F44" s="23"/>
      <c r="G44" s="9">
        <v>17</v>
      </c>
    </row>
    <row r="45" spans="1:7" x14ac:dyDescent="0.25">
      <c r="A45" s="15" t="s">
        <v>183</v>
      </c>
      <c r="B45" s="16">
        <v>2</v>
      </c>
      <c r="C45" s="16"/>
      <c r="D45" s="29">
        <v>2</v>
      </c>
      <c r="E45" s="22"/>
      <c r="F45" s="23"/>
      <c r="G45" s="9">
        <v>2</v>
      </c>
    </row>
    <row r="46" spans="1:7" x14ac:dyDescent="0.25">
      <c r="A46" s="15" t="s">
        <v>95</v>
      </c>
      <c r="B46" s="16">
        <v>1</v>
      </c>
      <c r="C46" s="16">
        <v>8</v>
      </c>
      <c r="D46" s="29">
        <v>9</v>
      </c>
      <c r="E46" s="22"/>
      <c r="F46" s="23"/>
      <c r="G46" s="9">
        <v>9</v>
      </c>
    </row>
    <row r="47" spans="1:7" x14ac:dyDescent="0.25">
      <c r="A47" s="15" t="s">
        <v>85</v>
      </c>
      <c r="B47" s="16">
        <v>3</v>
      </c>
      <c r="C47" s="16">
        <v>7</v>
      </c>
      <c r="D47" s="29">
        <v>10</v>
      </c>
      <c r="E47" s="22"/>
      <c r="F47" s="23"/>
      <c r="G47" s="9">
        <v>10</v>
      </c>
    </row>
    <row r="48" spans="1:7" x14ac:dyDescent="0.25">
      <c r="A48" s="15" t="s">
        <v>63</v>
      </c>
      <c r="B48" s="16">
        <v>1</v>
      </c>
      <c r="C48" s="16">
        <v>5</v>
      </c>
      <c r="D48" s="29">
        <v>6</v>
      </c>
      <c r="E48" s="22"/>
      <c r="F48" s="23"/>
      <c r="G48" s="9">
        <v>6</v>
      </c>
    </row>
    <row r="49" spans="1:7" x14ac:dyDescent="0.25">
      <c r="A49" s="15" t="s">
        <v>123</v>
      </c>
      <c r="B49" s="16">
        <v>36</v>
      </c>
      <c r="C49" s="16">
        <v>7</v>
      </c>
      <c r="D49" s="29">
        <v>43</v>
      </c>
      <c r="E49" s="22"/>
      <c r="F49" s="23"/>
      <c r="G49" s="9">
        <v>43</v>
      </c>
    </row>
    <row r="50" spans="1:7" x14ac:dyDescent="0.25">
      <c r="A50" s="15" t="s">
        <v>196</v>
      </c>
      <c r="B50" s="16">
        <v>172</v>
      </c>
      <c r="C50" s="16"/>
      <c r="D50" s="29">
        <v>172</v>
      </c>
      <c r="E50" s="22"/>
      <c r="F50" s="23"/>
      <c r="G50" s="9">
        <v>172</v>
      </c>
    </row>
    <row r="51" spans="1:7" x14ac:dyDescent="0.25">
      <c r="A51" s="15" t="s">
        <v>155</v>
      </c>
      <c r="B51" s="16">
        <v>80</v>
      </c>
      <c r="C51" s="16"/>
      <c r="D51" s="29">
        <v>80</v>
      </c>
      <c r="E51" s="22"/>
      <c r="F51" s="23"/>
      <c r="G51" s="9">
        <v>80</v>
      </c>
    </row>
    <row r="52" spans="1:7" x14ac:dyDescent="0.25">
      <c r="A52" s="15" t="s">
        <v>54</v>
      </c>
      <c r="B52" s="16">
        <v>12</v>
      </c>
      <c r="C52" s="16">
        <v>11</v>
      </c>
      <c r="D52" s="29">
        <v>23</v>
      </c>
      <c r="E52" s="22"/>
      <c r="F52" s="23"/>
      <c r="G52" s="9">
        <v>23</v>
      </c>
    </row>
    <row r="53" spans="1:7" x14ac:dyDescent="0.25">
      <c r="A53" s="15" t="s">
        <v>260</v>
      </c>
      <c r="B53" s="16">
        <v>1</v>
      </c>
      <c r="C53" s="16"/>
      <c r="D53" s="29">
        <v>1</v>
      </c>
      <c r="E53" s="22"/>
      <c r="F53" s="23"/>
      <c r="G53" s="9">
        <v>1</v>
      </c>
    </row>
    <row r="54" spans="1:7" x14ac:dyDescent="0.25">
      <c r="A54" s="15" t="s">
        <v>283</v>
      </c>
      <c r="B54" s="16"/>
      <c r="C54" s="16">
        <v>1</v>
      </c>
      <c r="D54" s="29">
        <v>1</v>
      </c>
      <c r="E54" s="22"/>
      <c r="F54" s="23"/>
      <c r="G54" s="9">
        <v>1</v>
      </c>
    </row>
    <row r="55" spans="1:7" x14ac:dyDescent="0.25">
      <c r="A55" s="15" t="s">
        <v>56</v>
      </c>
      <c r="B55" s="16">
        <v>6</v>
      </c>
      <c r="C55" s="16">
        <v>4</v>
      </c>
      <c r="D55" s="29">
        <v>10</v>
      </c>
      <c r="E55" s="22"/>
      <c r="F55" s="23"/>
      <c r="G55" s="9">
        <v>10</v>
      </c>
    </row>
    <row r="56" spans="1:7" x14ac:dyDescent="0.25">
      <c r="A56" s="15" t="s">
        <v>146</v>
      </c>
      <c r="B56" s="16">
        <v>11</v>
      </c>
      <c r="C56" s="16">
        <v>7</v>
      </c>
      <c r="D56" s="29">
        <v>18</v>
      </c>
      <c r="E56" s="22"/>
      <c r="F56" s="23"/>
      <c r="G56" s="9">
        <v>18</v>
      </c>
    </row>
    <row r="57" spans="1:7" x14ac:dyDescent="0.25">
      <c r="A57" s="15" t="s">
        <v>275</v>
      </c>
      <c r="B57" s="16">
        <v>8</v>
      </c>
      <c r="C57" s="16"/>
      <c r="D57" s="29">
        <v>8</v>
      </c>
      <c r="E57" s="22"/>
      <c r="F57" s="23"/>
      <c r="G57" s="9">
        <v>8</v>
      </c>
    </row>
    <row r="58" spans="1:7" x14ac:dyDescent="0.25">
      <c r="A58" s="15" t="s">
        <v>250</v>
      </c>
      <c r="B58" s="16">
        <v>1</v>
      </c>
      <c r="C58" s="16"/>
      <c r="D58" s="29">
        <v>1</v>
      </c>
      <c r="E58" s="22"/>
      <c r="F58" s="23"/>
      <c r="G58" s="9">
        <v>1</v>
      </c>
    </row>
    <row r="59" spans="1:7" x14ac:dyDescent="0.25">
      <c r="A59" s="17" t="s">
        <v>76</v>
      </c>
      <c r="B59" s="18">
        <v>1</v>
      </c>
      <c r="C59" s="18">
        <v>3</v>
      </c>
      <c r="D59" s="30">
        <v>4</v>
      </c>
      <c r="E59" s="24"/>
      <c r="F59" s="25"/>
      <c r="G59" s="9">
        <v>4</v>
      </c>
    </row>
    <row r="60" spans="1:7" x14ac:dyDescent="0.25">
      <c r="A60" s="8" t="s">
        <v>289</v>
      </c>
      <c r="B60" s="12">
        <v>613</v>
      </c>
      <c r="C60" s="12">
        <v>221</v>
      </c>
      <c r="D60" s="31">
        <v>834</v>
      </c>
      <c r="E60" s="26">
        <v>53</v>
      </c>
      <c r="F60" s="26">
        <v>53</v>
      </c>
      <c r="G60" s="9">
        <v>887</v>
      </c>
    </row>
  </sheetData>
  <mergeCells count="2">
    <mergeCell ref="E2:F2"/>
    <mergeCell ref="D1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NCOS_Bird_Survey_Data_20190912</vt:lpstr>
      <vt:lpstr>PTable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Ryan Clark</cp:lastModifiedBy>
  <dcterms:created xsi:type="dcterms:W3CDTF">2019-09-12T13:37:35Z</dcterms:created>
  <dcterms:modified xsi:type="dcterms:W3CDTF">2021-03-23T22:06:50Z</dcterms:modified>
</cp:coreProperties>
</file>