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FC7996E5-2584-4640-B24E-9F890A14344D}" xr6:coauthVersionLast="46" xr6:coauthVersionMax="46" xr10:uidLastSave="{00000000-0000-0000-0000-000000000000}"/>
  <bookViews>
    <workbookView xWindow="17175" yWindow="0" windowWidth="11790" windowHeight="15300" firstSheet="1" activeTab="1" xr2:uid="{00000000-000D-0000-FFFF-FFFF00000000}"/>
  </bookViews>
  <sheets>
    <sheet name="Metadata" sheetId="2" r:id="rId1"/>
    <sheet name="NCOS_Bird_Observations_20190322" sheetId="1" r:id="rId2"/>
    <sheet name="PTable" sheetId="3" r:id="rId3"/>
    <sheet name="Sheet1" sheetId="4" r:id="rId4"/>
  </sheets>
  <definedNames>
    <definedName name="_xlnm._FilterDatabase" localSheetId="1" hidden="1">NCOS_Bird_Observations_20190322!$A$1:$AF$173</definedName>
  </definedNames>
  <calcPr calcId="191029"/>
  <pivotCaches>
    <pivotCache cacheId="2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21" i="1"/>
  <c r="C10" i="1"/>
  <c r="C29" i="1"/>
  <c r="C80" i="1"/>
  <c r="C19" i="1"/>
  <c r="C102" i="1"/>
  <c r="C81" i="1"/>
  <c r="C57" i="1"/>
  <c r="C82" i="1"/>
  <c r="C120" i="1"/>
  <c r="C167" i="1"/>
  <c r="C22" i="1"/>
  <c r="C45" i="1"/>
  <c r="C128" i="1"/>
  <c r="C28" i="1"/>
  <c r="C129" i="1"/>
  <c r="C125" i="1"/>
  <c r="C117" i="1"/>
  <c r="C78" i="1"/>
  <c r="C124" i="1"/>
  <c r="C53" i="1"/>
  <c r="C130" i="1"/>
  <c r="C146" i="1"/>
  <c r="C160" i="1"/>
  <c r="C131" i="1"/>
  <c r="C109" i="1"/>
  <c r="C79" i="1"/>
  <c r="C11" i="1"/>
  <c r="C110" i="1"/>
  <c r="C23" i="1"/>
  <c r="C54" i="1"/>
  <c r="C132" i="1"/>
  <c r="C111" i="1"/>
  <c r="C71" i="1"/>
  <c r="C112" i="1"/>
  <c r="C63" i="1"/>
  <c r="C65" i="1"/>
  <c r="C83" i="1"/>
  <c r="C60" i="1"/>
  <c r="C156" i="1"/>
  <c r="C32" i="1"/>
  <c r="C94" i="1"/>
  <c r="C30" i="1"/>
  <c r="C108" i="1"/>
  <c r="C168" i="1"/>
  <c r="C64" i="1"/>
  <c r="C42" i="1"/>
  <c r="C147" i="1"/>
  <c r="C70" i="1"/>
  <c r="C2" i="1"/>
  <c r="C20" i="1"/>
  <c r="C157" i="1"/>
  <c r="C151" i="1"/>
  <c r="C72" i="1"/>
  <c r="C123" i="1"/>
  <c r="C100" i="1"/>
  <c r="C24" i="1"/>
  <c r="C73" i="1"/>
  <c r="C133" i="1"/>
  <c r="C46" i="1"/>
  <c r="C3" i="1"/>
  <c r="C95" i="1"/>
  <c r="C161" i="1"/>
  <c r="C52" i="1"/>
  <c r="C98" i="1"/>
  <c r="C55" i="1"/>
  <c r="C39" i="1"/>
  <c r="C89" i="1"/>
  <c r="C90" i="1"/>
  <c r="C103" i="1"/>
  <c r="C4" i="1"/>
  <c r="C61" i="1"/>
  <c r="C59" i="1"/>
  <c r="C121" i="1"/>
  <c r="C49" i="1"/>
  <c r="C84" i="1"/>
  <c r="C85" i="1"/>
  <c r="C91" i="1"/>
  <c r="C134" i="1"/>
  <c r="C58" i="1"/>
  <c r="C12" i="1"/>
  <c r="C158" i="1"/>
  <c r="C92" i="1"/>
  <c r="C25" i="1"/>
  <c r="C162" i="1"/>
  <c r="C26" i="1"/>
  <c r="C47" i="1"/>
  <c r="C104" i="1"/>
  <c r="C159" i="1"/>
  <c r="C93" i="1"/>
  <c r="C105" i="1"/>
  <c r="C62" i="1"/>
  <c r="C96" i="1"/>
  <c r="C154" i="1"/>
  <c r="C114" i="1"/>
  <c r="C44" i="1"/>
  <c r="C99" i="1"/>
  <c r="C135" i="1"/>
  <c r="C126" i="1"/>
  <c r="C115" i="1"/>
  <c r="C106" i="1"/>
  <c r="C155" i="1"/>
  <c r="C116" i="1"/>
  <c r="C86" i="1"/>
  <c r="C5" i="1"/>
  <c r="C40" i="1"/>
  <c r="C13" i="1"/>
  <c r="C41" i="1"/>
  <c r="C169" i="1"/>
  <c r="C136" i="1"/>
  <c r="C170" i="1"/>
  <c r="C14" i="1"/>
  <c r="C6" i="1"/>
  <c r="C87" i="1"/>
  <c r="C127" i="1"/>
  <c r="C50" i="1"/>
  <c r="C51" i="1"/>
  <c r="C7" i="1"/>
  <c r="C137" i="1"/>
  <c r="C148" i="1"/>
  <c r="C33" i="1"/>
  <c r="C15" i="1"/>
  <c r="C69" i="1"/>
  <c r="C8" i="1"/>
  <c r="C113" i="1"/>
  <c r="C97" i="1"/>
  <c r="C138" i="1"/>
  <c r="C171" i="1"/>
  <c r="C27" i="1"/>
  <c r="C139" i="1"/>
  <c r="C172" i="1"/>
  <c r="C149" i="1"/>
  <c r="C173" i="1"/>
  <c r="C150" i="1"/>
  <c r="C122" i="1"/>
  <c r="C140" i="1"/>
  <c r="C16" i="1"/>
  <c r="C9" i="1"/>
  <c r="C17" i="1"/>
  <c r="C141" i="1"/>
  <c r="C88" i="1"/>
  <c r="C107" i="1"/>
  <c r="C18" i="1"/>
  <c r="C163" i="1"/>
  <c r="C66" i="1"/>
  <c r="C142" i="1"/>
  <c r="C164" i="1"/>
  <c r="C152" i="1"/>
  <c r="C34" i="1"/>
  <c r="C165" i="1"/>
  <c r="C143" i="1"/>
  <c r="C166" i="1"/>
  <c r="C35" i="1"/>
  <c r="C74" i="1"/>
  <c r="C144" i="1"/>
  <c r="C75" i="1"/>
  <c r="C36" i="1"/>
  <c r="C43" i="1"/>
  <c r="C118" i="1"/>
  <c r="C76" i="1"/>
  <c r="C67" i="1"/>
  <c r="C37" i="1"/>
  <c r="C48" i="1"/>
  <c r="C145" i="1"/>
  <c r="C77" i="1"/>
  <c r="C68" i="1"/>
  <c r="C101" i="1"/>
</calcChain>
</file>

<file path=xl/sharedStrings.xml><?xml version="1.0" encoding="utf-8"?>
<sst xmlns="http://schemas.openxmlformats.org/spreadsheetml/2006/main" count="1379" uniqueCount="296">
  <si>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</si>
  <si>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</si>
  <si>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</si>
  <si>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</si>
  <si>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</si>
  <si>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</si>
  <si>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</si>
  <si>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</si>
  <si>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</si>
  <si>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</si>
  <si>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</si>
  <si>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</si>
  <si>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</si>
  <si>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</si>
  <si>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</si>
  <si>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</si>
  <si>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</si>
  <si>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</si>
  <si>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</si>
  <si>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</si>
  <si>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</si>
  <si>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</si>
  <si>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</si>
  <si>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</si>
  <si>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</si>
  <si>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</si>
  <si>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</si>
  <si>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</si>
  <si>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</si>
  <si>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</si>
  <si>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Northern Rough-winged Swallow</t>
  </si>
  <si>
    <t>No</t>
  </si>
  <si>
    <t>Air</t>
  </si>
  <si>
    <t>Darwin, Beau, Steven</t>
  </si>
  <si>
    <t>{9c1cf0dc-fc3e-4d0a-989a-44be563d0c6e}</t>
  </si>
  <si>
    <t>clark@ccber.ucsb.edu_ucsb</t>
  </si>
  <si>
    <t>Cooper's Hawk</t>
  </si>
  <si>
    <t>Flyover</t>
  </si>
  <si>
    <t>{04429510-a305-4bb6-8619-103931f1d98e}</t>
  </si>
  <si>
    <t>Anna's Hummingbird</t>
  </si>
  <si>
    <t>Vegetation - Tree</t>
  </si>
  <si>
    <t>{58c6b419-b35c-49b3-9333-cede5c8dcb1c}</t>
  </si>
  <si>
    <t>American Crow</t>
  </si>
  <si>
    <t>{dacdbd51-6f18-4e8c-b0b0-d0b342266bbc}</t>
  </si>
  <si>
    <t>Bewick's Wren</t>
  </si>
  <si>
    <t>{d4b7a174-ab12-400f-879a-d10637f966b2}</t>
  </si>
  <si>
    <t>Killdeer</t>
  </si>
  <si>
    <t>Bare ground</t>
  </si>
  <si>
    <t>Other</t>
  </si>
  <si>
    <t>on nest</t>
  </si>
  <si>
    <t>{0dbd2251-3a32-4651-b405-338e36351dc6}</t>
  </si>
  <si>
    <t>American Pipit</t>
  </si>
  <si>
    <t>Vegetation - Herbaceous</t>
  </si>
  <si>
    <t>{2b25e939-0b36-45a3-9bd8-d05d16a7d8e8}</t>
  </si>
  <si>
    <t>{b24d06e5-bc06-489c-9c3a-7e944d33f73e}</t>
  </si>
  <si>
    <t>{cabcdf6f-957c-4bcb-a5b5-976d0aede441}</t>
  </si>
  <si>
    <t>Yes</t>
  </si>
  <si>
    <t>{98ad706f-aa36-4e7f-94fa-2d0e1db4026a}</t>
  </si>
  <si>
    <t>{a9bc8f62-8106-4588-9e0f-094bd6503271}</t>
  </si>
  <si>
    <t>Ruby-crowned Kinglet</t>
  </si>
  <si>
    <t>{21dda295-b408-4c63-a807-8f5e507f961a}</t>
  </si>
  <si>
    <t>Yellow-rumped Warbler</t>
  </si>
  <si>
    <t>{aab0d594-d2dc-4662-96a5-166dff29d4b0}</t>
  </si>
  <si>
    <t>{7b636be8-b321-45e3-8556-d5df06be6f54}</t>
  </si>
  <si>
    <t>California Towhee</t>
  </si>
  <si>
    <t>{c587d4d2-a63e-40ff-82eb-45232999a98e}</t>
  </si>
  <si>
    <t>Song Sparrow</t>
  </si>
  <si>
    <t>{76aaeedf-f605-4dec-942b-0d80ade5a581}</t>
  </si>
  <si>
    <t>Belding’s Savannah Sparrow</t>
  </si>
  <si>
    <t>{1c414655-1105-49fe-9c56-2e225cfb51f8}</t>
  </si>
  <si>
    <t>Vegetation - Shrub</t>
  </si>
  <si>
    <t>{cbdae8fd-dc28-4a67-8eb2-7223888de425}</t>
  </si>
  <si>
    <t>Snowy Egret</t>
  </si>
  <si>
    <t>{602c900a-6f08-4594-ab41-e97332ba156a}</t>
  </si>
  <si>
    <t>Rock Pigeon (Feral Pigeon)</t>
  </si>
  <si>
    <t>{a829eef7-be8d-43d4-9a82-dad166c9bcfa}</t>
  </si>
  <si>
    <t>House Sparrow</t>
  </si>
  <si>
    <t>{f1deffe0-2a35-4ad7-a8b7-89458369e1f9}</t>
  </si>
  <si>
    <t>Scaly-breasted Munia</t>
  </si>
  <si>
    <t>{20346ea7-1e88-4926-8415-d239ce2fc3d1}</t>
  </si>
  <si>
    <t>Common Yellowthroat</t>
  </si>
  <si>
    <t>{2ae68517-68e3-4dec-9a30-dfb2dccee0d7}</t>
  </si>
  <si>
    <t>{22048229-4945-4b5a-b3d3-a03f4edd879e}</t>
  </si>
  <si>
    <t>Sora</t>
  </si>
  <si>
    <t>{fcb94b11-c31a-4dbd-8584-5b4952efceac}</t>
  </si>
  <si>
    <t>White-crowned Sparrow</t>
  </si>
  <si>
    <t>{7d1f228c-45e0-48b8-8493-9cd05e36a4f1}</t>
  </si>
  <si>
    <t>{f6a5b0fb-8505-4505-9b12-1c458b451012}</t>
  </si>
  <si>
    <t>Red-winged Blackbird</t>
  </si>
  <si>
    <t>{e5246475-bf0a-4a21-902c-8705d054ac94}</t>
  </si>
  <si>
    <t>{a3915d0c-ecfc-4c1b-a47a-4282c4d5427b}</t>
  </si>
  <si>
    <t>Habitat Feature - Snag</t>
  </si>
  <si>
    <t>{04c9cfa6-32b4-4a6a-9e1b-37d0f0767cce}</t>
  </si>
  <si>
    <t>{b54b9173-effc-4e60-9d8a-478dcaef0e95}</t>
  </si>
  <si>
    <t>{42285cd3-ce08-46a4-b628-f8fd3ee53d20}</t>
  </si>
  <si>
    <t>{eebcf226-df4a-4687-b85b-9f04dd7ca25b}</t>
  </si>
  <si>
    <t>{224ed2d4-046d-4cd5-a51f-bc52e353e0cb}</t>
  </si>
  <si>
    <t>{cd97cc0f-d462-4366-a739-7132e47ff5f0}</t>
  </si>
  <si>
    <t>House Finch</t>
  </si>
  <si>
    <t>{b2bb77a9-45fa-44ff-8034-0eb537c3611d}</t>
  </si>
  <si>
    <t>{32da14f6-78d3-461e-a137-db8288bcbb8d}</t>
  </si>
  <si>
    <t>Great Blue Heron</t>
  </si>
  <si>
    <t>{4b3bd586-c308-4ad3-95c6-ce210267f378}</t>
  </si>
  <si>
    <t>Great Egret</t>
  </si>
  <si>
    <t>{7f91b8ca-fe5f-4e02-a49d-f09c12b51f9b}</t>
  </si>
  <si>
    <t>{49781a10-9d9c-4e05-bd8a-97a21c68190a}</t>
  </si>
  <si>
    <t>European Starling</t>
  </si>
  <si>
    <t>{52046141-1a44-45c9-a418-0dcf9b5bce8f}</t>
  </si>
  <si>
    <t>Western Meadowlark</t>
  </si>
  <si>
    <t>{f25ef082-5f48-4eca-920e-a4757554491d}</t>
  </si>
  <si>
    <t>Black Phoebe</t>
  </si>
  <si>
    <t>{2f952f86-6a57-4ed8-84ea-336f4073fc8a}</t>
  </si>
  <si>
    <t>Lesser Goldfinch</t>
  </si>
  <si>
    <t>{6e922b25-213e-42d0-a16c-e5e224b92424}</t>
  </si>
  <si>
    <t>{3785e43d-3398-4214-a87d-8576ea3a7c97}</t>
  </si>
  <si>
    <t>Red-tailed Hawk</t>
  </si>
  <si>
    <t>{13f51786-8d64-4ada-92bd-3430de621653}</t>
  </si>
  <si>
    <t>{1f6e20b1-4fd2-4838-ba16-384b99f32b9c}</t>
  </si>
  <si>
    <t>{9d7571f6-58f4-4494-a612-aad641f31476}</t>
  </si>
  <si>
    <t>Bushtit</t>
  </si>
  <si>
    <t>{279843fe-a3d1-4279-999a-8e02c475d8e1}</t>
  </si>
  <si>
    <t>{e95611e3-e834-45c3-9534-99dd3b28ea6d}</t>
  </si>
  <si>
    <t>Hooded Oriole</t>
  </si>
  <si>
    <t>{6419aab2-2912-4f17-8fb0-e4310206cfe4}</t>
  </si>
  <si>
    <t>American Coot</t>
  </si>
  <si>
    <t>Water - Floating</t>
  </si>
  <si>
    <t>{bdd27120-89e0-4dcc-afdc-189b6d3a9715}</t>
  </si>
  <si>
    <t>{2d0b1430-d6c1-4230-b474-0216d9007cfc}</t>
  </si>
  <si>
    <t>Western Sandpiper</t>
  </si>
  <si>
    <t>{05c67d0d-7d66-4056-a4b5-fbdbcf5b6356}</t>
  </si>
  <si>
    <t>Turkey Vulture</t>
  </si>
  <si>
    <t>{5028175c-6b23-4bb8-b155-f6a03e661c98}</t>
  </si>
  <si>
    <t>{2fb1ad36-92e6-44ca-9843-bc6dbbac627c}</t>
  </si>
  <si>
    <t>Say's Phoebe</t>
  </si>
  <si>
    <t>{2b7913ef-ece7-42cc-bf6c-841762743ff0}</t>
  </si>
  <si>
    <t>Northern Mockingbird</t>
  </si>
  <si>
    <t>{30d94c2e-c465-471b-bf5a-8b0773c9f154}</t>
  </si>
  <si>
    <t>{6b815e24-9cd6-4ade-b61c-1baac096bb5a}</t>
  </si>
  <si>
    <t>{941cf3fe-4a46-418c-9696-edcf20a06f72}</t>
  </si>
  <si>
    <t>{12f061c0-127f-447a-af07-35e8f4f86c91}</t>
  </si>
  <si>
    <t>{2e2dc49f-8347-4503-9123-21ccd4c71fa0}</t>
  </si>
  <si>
    <t>{7babfa1e-c00b-4170-b642-550ba4d6b880}</t>
  </si>
  <si>
    <t>Mallard</t>
  </si>
  <si>
    <t>{b77429ed-4389-48de-a3bc-129337eb88d1}</t>
  </si>
  <si>
    <t>{ef542c3a-f21d-4b93-82e7-f700b4b103e9}</t>
  </si>
  <si>
    <t>Cliff Swallow</t>
  </si>
  <si>
    <t>Uncertain</t>
  </si>
  <si>
    <t>{68f7a1a2-7d99-44a9-98b2-27139a8fc67f}</t>
  </si>
  <si>
    <t>Marsh Wren</t>
  </si>
  <si>
    <t>{48122ab4-11b5-4587-a785-b22b29c9a9f2}</t>
  </si>
  <si>
    <t>{5ec40d58-b0ee-438d-8b64-874451e88d8b}</t>
  </si>
  <si>
    <t>Black-necked Stilt</t>
  </si>
  <si>
    <t>Mud</t>
  </si>
  <si>
    <t>Ian Lisa mark</t>
  </si>
  <si>
    <t>755</t>
  </si>
  <si>
    <t>Medium</t>
  </si>
  <si>
    <t>None</t>
  </si>
  <si>
    <t>{ae772d07-bb33-46d2-aacc-01ab9abadd76}</t>
  </si>
  <si>
    <t>ccber_user</t>
  </si>
  <si>
    <t>Least Sandpiper</t>
  </si>
  <si>
    <t>{20eee2b1-a0e0-400a-bc30-cedeafb2ec91}</t>
  </si>
  <si>
    <t>{2fa27ff1-3182-4809-b457-73223bd3850f}</t>
  </si>
  <si>
    <t>{f3cd07b8-ed15-4d3a-8386-3d41c6d96adf}</t>
  </si>
  <si>
    <t>{5b9591a1-f1eb-4438-b771-17bfa358b43a}</t>
  </si>
  <si>
    <t>Gadwall</t>
  </si>
  <si>
    <t>{4252d7ad-b39c-4824-bc03-deb2dc3bbf96}</t>
  </si>
  <si>
    <t>Eared Grebe</t>
  </si>
  <si>
    <t>{50781380-6047-474b-96b1-36f4810a2b69}</t>
  </si>
  <si>
    <t>Ruddy Duck</t>
  </si>
  <si>
    <t>{cb1e8796-f352-422f-a811-c7b4ee77bc99}</t>
  </si>
  <si>
    <t>Cinnamon Teal</t>
  </si>
  <si>
    <t>Water - Wading</t>
  </si>
  <si>
    <t>{1fd1eb0d-8e7b-409c-a825-890765868f38}</t>
  </si>
  <si>
    <t>{258985cf-b5d8-499c-be0a-c28a70f3a2e1}</t>
  </si>
  <si>
    <t>{d75fcaad-0267-48d0-b048-7ee5f8d6e3a9}</t>
  </si>
  <si>
    <t>{e60d9d9f-966e-401c-8d21-3a1bcd8202e1}</t>
  </si>
  <si>
    <t>{1d7da310-7790-4dc0-bbad-a1a1a258e4ec}</t>
  </si>
  <si>
    <t>{e75776d3-2a16-4eb0-a946-1609301a6db4}</t>
  </si>
  <si>
    <t>{c13651d2-4dc9-48cc-8ea3-6dfc85fbc9ff}</t>
  </si>
  <si>
    <t>{8f299a47-ca1d-4185-9007-7e30982501ac}</t>
  </si>
  <si>
    <t>{b02596a2-cd8a-4bb5-a71c-640d419a3afa}</t>
  </si>
  <si>
    <t>{d89a5f96-921f-4ebb-8970-cda205128af8}</t>
  </si>
  <si>
    <t>{4feba518-d9bc-4c11-b7ed-289d87c5a012}</t>
  </si>
  <si>
    <t>{cc230616-dc27-42ae-bdb6-ac2799a359ad}</t>
  </si>
  <si>
    <t>{df325904-db7d-48fb-b7b3-6ed1e14dd771}</t>
  </si>
  <si>
    <t>Northern Shoveler</t>
  </si>
  <si>
    <t>{e5e1df08-af8d-48cb-a348-08d68938b26e}</t>
  </si>
  <si>
    <t>{b2934a1b-221f-4c28-9362-4bae29eabf37}</t>
  </si>
  <si>
    <t>{a016436c-979e-428e-98cc-49e037a2945e}</t>
  </si>
  <si>
    <t>{972faa93-9a03-43c7-ade3-e2cc4ac0ceff}</t>
  </si>
  <si>
    <t>{493be38d-2837-42b2-b56c-48ce15313362}</t>
  </si>
  <si>
    <t>{52034569-8b6f-4713-b1b2-88c5d661de23}</t>
  </si>
  <si>
    <t>Western Gull</t>
  </si>
  <si>
    <t>{7feff294-f103-4607-ae60-d0cff7a76cb5}</t>
  </si>
  <si>
    <t>Ring-billed Gull</t>
  </si>
  <si>
    <t>{4901afeb-3448-44f9-a918-c4fc4c064d5d}</t>
  </si>
  <si>
    <t>California Gull</t>
  </si>
  <si>
    <t>{3c85eb4c-1b44-4474-be8a-8dcbafd90205}</t>
  </si>
  <si>
    <t>Mew Gull</t>
  </si>
  <si>
    <t>{c2473e42-801b-4bda-b00a-c136844e211b}</t>
  </si>
  <si>
    <t>{b2eb50ae-924a-45ad-b422-b79317341522}</t>
  </si>
  <si>
    <t>{e0c25004-4e71-4ef2-8ea9-00cc8f36f8ca}</t>
  </si>
  <si>
    <t>{7fc7b1a0-2c35-4e4b-8092-fb8861c4e16d}</t>
  </si>
  <si>
    <t>{c86a19ee-bbb3-4b9f-9ee7-8ccbac106a83}</t>
  </si>
  <si>
    <t>{e9e14700-0c15-468d-91b4-df4f3a00f77f}</t>
  </si>
  <si>
    <t>{e061929b-85cc-4caa-a59c-5bf2dc6a0d2f}</t>
  </si>
  <si>
    <t>{1f91c4c5-0584-4d3a-8a46-615fef45b3d7}</t>
  </si>
  <si>
    <t>{394932d6-cbe7-45fe-8fa1-794a15e9dc53}</t>
  </si>
  <si>
    <t>{9f91c4bc-cd9c-403b-b151-03c8b42f174d}</t>
  </si>
  <si>
    <t>{f016eaaf-7c8b-4d36-afed-094f78bc6b0f}</t>
  </si>
  <si>
    <t>{ac91148a-d30d-47c0-8d98-f56a91b56b10}</t>
  </si>
  <si>
    <t>{75bb0bb8-8643-445a-a691-9797cb4c0317}</t>
  </si>
  <si>
    <t>{4b12cac4-33b4-44d8-96c4-0942834e6ffe}</t>
  </si>
  <si>
    <t>{ed6d940a-e599-4f59-b023-7ffd5f6d2ddc}</t>
  </si>
  <si>
    <t>{5bf2b9d1-9231-4dde-acac-92f2737ac336}</t>
  </si>
  <si>
    <t>{f1baf565-ef7d-4890-b5ed-c55a1c1a2bad}</t>
  </si>
  <si>
    <t>{6018b949-66d1-4e52-8923-f55931b5bb55}</t>
  </si>
  <si>
    <t>{02708ee6-0171-434a-92f6-4bf9b44faf8b}</t>
  </si>
  <si>
    <t>{d3cfc41f-2058-4b35-8df1-141c90a8cf27}</t>
  </si>
  <si>
    <t>{35a06e31-cc33-4436-87d6-3c2a9e64b95e}</t>
  </si>
  <si>
    <t>{05e34a1e-7e6d-48e1-8245-1cfcb955b141}</t>
  </si>
  <si>
    <t>{ca851e56-075a-4393-81dc-a5ba6d9f485c}</t>
  </si>
  <si>
    <t>{a0b13067-9669-4c1f-87da-9fb360ec9c95}</t>
  </si>
  <si>
    <t>{1e19e00b-0d8f-4427-be06-9ab699658742}</t>
  </si>
  <si>
    <t>{2f21fffd-aa08-4c1e-8e2c-5984dc37bf59}</t>
  </si>
  <si>
    <t>Hooded Merganser</t>
  </si>
  <si>
    <t>{1afd95c1-868d-4d67-b2b2-aabae25f1673}</t>
  </si>
  <si>
    <t>{445c7f1f-6782-41e6-a252-a95b5d077b3b}</t>
  </si>
  <si>
    <t>{f09e59f5-ca4c-42b9-b44d-fa81fa7d4727}</t>
  </si>
  <si>
    <t>{fcffbe4e-6fcb-4f08-a357-3f2d0a4a669f}</t>
  </si>
  <si>
    <t>{7ee74689-7e3e-4409-b10c-bc9d165058cb}</t>
  </si>
  <si>
    <t>{1c1a6940-e2ed-4c8a-95a9-f0a422c635cd}</t>
  </si>
  <si>
    <t>{d8e11b32-b56c-476e-b47f-abcaf24dd499}</t>
  </si>
  <si>
    <t>{fd0cee1d-ddd3-4e6b-b236-b0c8ce7faf49}</t>
  </si>
  <si>
    <t>{cd216600-49b9-486c-9f5d-8e6d50f3aa68}</t>
  </si>
  <si>
    <t>{95c436b3-85ed-4e66-9610-d8d85c3995c7}</t>
  </si>
  <si>
    <t>{e70f3033-684b-419d-a8c4-b28931dee397}</t>
  </si>
  <si>
    <t>{3c74021a-209c-4751-8018-6e620a31cdc4}</t>
  </si>
  <si>
    <t>Savannah Sparrow</t>
  </si>
  <si>
    <t>{f333cbaa-72c6-45b9-ad19-4f6209108ccb}</t>
  </si>
  <si>
    <t>{fef73d7a-04d2-461c-85c5-d6a4f1f7304c}</t>
  </si>
  <si>
    <t>{c41f2674-1f45-4897-b873-f91dfa927069}</t>
  </si>
  <si>
    <t>{a0811aef-e57c-485f-ba28-1460998885c3}</t>
  </si>
  <si>
    <t>{dd575467-712d-4be4-8ba3-3e265c891f72}</t>
  </si>
  <si>
    <t>{18ee3406-8fca-422d-9d51-69c794c78e37}</t>
  </si>
  <si>
    <t>{f861de0c-8da5-4058-8334-30476a48048b}</t>
  </si>
  <si>
    <t>Red-shouldered Hawk</t>
  </si>
  <si>
    <t>{d1b994ea-7efd-44c1-8b56-a5a22ef2bd44}</t>
  </si>
  <si>
    <t>{0b4a92cf-8274-44d8-a96a-d7589615a91b}</t>
  </si>
  <si>
    <t>{45273614-87b9-4868-965a-8e0fb2133685}</t>
  </si>
  <si>
    <t>Greater Yellowlegs</t>
  </si>
  <si>
    <t>{d434712f-4529-4008-94e8-f352a5ffc2e4}</t>
  </si>
  <si>
    <t>{edc6fe2c-d8c8-4193-af18-612c2347333f}</t>
  </si>
  <si>
    <t>{c61694d1-ef25-480d-bc3e-7fedfa0a96a6}</t>
  </si>
  <si>
    <t>Western Bluebird</t>
  </si>
  <si>
    <t>{79312e20-2036-431d-940b-f4a9dfe4d8b6}</t>
  </si>
  <si>
    <t>{32a4864b-b58a-4c39-94bb-cec23726eabc}</t>
  </si>
  <si>
    <t>{df469c86-aba6-4a1f-aee4-7aa6efffc7ac}</t>
  </si>
  <si>
    <t>{fc29e538-715c-4f02-ae68-b2ea983b33f4}</t>
  </si>
  <si>
    <t>{67b233ce-8bdf-4d6e-81e2-2a44e192b98f}</t>
  </si>
  <si>
    <t>{bcd35ca9-deea-496e-b93e-30237ce42a20}</t>
  </si>
  <si>
    <t>F</t>
  </si>
  <si>
    <t>Carrying Nest Material</t>
  </si>
  <si>
    <t>{f6d28867-c9e5-4507-922b-789a79f1cbc1}</t>
  </si>
  <si>
    <t>{01a9f2ba-20a3-40f8-8c21-b255a4a0e775}</t>
  </si>
  <si>
    <t>M</t>
  </si>
  <si>
    <t>{b32b3c13-63a5-403f-926a-b6be8f1bc60c}</t>
  </si>
  <si>
    <t>Building</t>
  </si>
  <si>
    <t>Nest Building</t>
  </si>
  <si>
    <t>hanging in corner of condo. nest maybe</t>
  </si>
  <si>
    <t>{be43658a-43ff-42d0-84b1-059cdc2732af}</t>
  </si>
  <si>
    <t>{5667ff49-524f-42d3-b235-d00d716e2c21}</t>
  </si>
  <si>
    <t>{be212f67-ab97-417c-8a82-00d3a5ecbb46}</t>
  </si>
  <si>
    <t>Fence</t>
  </si>
  <si>
    <t>{b43c117b-7400-4cfb-bfcb-53654f94ce3a}</t>
  </si>
  <si>
    <t>{45c8f0e7-99d3-45d7-a130-8546673fcd21}</t>
  </si>
  <si>
    <t>{de32aeea-da1c-4a17-ba50-87146ec266f6}</t>
  </si>
  <si>
    <t>{c295c390-f3a0-4a2a-b7c8-ef7baaa1522b}</t>
  </si>
  <si>
    <t>{fad1f300-9e2d-4f45-b8cf-1ba914626cb0}</t>
  </si>
  <si>
    <t>{c3d9344d-cd4e-40a4-9419-366a56e87b27}</t>
  </si>
  <si>
    <t>1045</t>
  </si>
  <si>
    <t>{1004826c-b6d7-4e45-9773-7c56e7c00e5a}</t>
  </si>
  <si>
    <t>Date</t>
  </si>
  <si>
    <t>Time</t>
  </si>
  <si>
    <t>Beau, Darwin, Steven, Ian, Lisa, Mark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</si>
  <si>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</si>
  <si>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</si>
  <si>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</si>
  <si>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</si>
  <si>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</si>
  <si>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</si>
  <si>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</si>
  <si>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</si>
  <si>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Changed Repeat Observation to Yes after post-survey review.</t>
  </si>
  <si>
    <t>Observation added after post-survey review. No spatial data.</t>
  </si>
  <si>
    <t>Observation added after post-survey review by Mark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</si>
</sst>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6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19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546.75952673611" createdVersion="6" refreshedVersion="6" minRefreshableVersion="3" recordCount="172" xr:uid="{00000000-000A-0000-FFFF-FFFF00000000}">
  <cacheSource type="worksheet">
    <worksheetSource ref="B1:L173" sheet="NCOS_Bird_Observations_20190322"/>
  </cacheSource>
  <cacheFields count="11">
    <cacheField name="Date" numFmtId="14">
      <sharedItems containsSemiMixedTypes="0" containsNonDate="0" containsDate="1" containsString="0" minDate="2019-03-22T00:00:00" maxDate="2019-03-23T00:00:00"/>
    </cacheField>
    <cacheField name="Time" numFmtId="0">
      <sharedItems containsNonDate="0" containsDate="1" containsString="0" containsBlank="1" minDate="2019-03-22T07:59:23" maxDate="2019-03-22T10:47:08"/>
    </cacheField>
    <cacheField name="Species" numFmtId="0">
      <sharedItems count="54">
        <s v="American Coot"/>
        <s v="American Crow"/>
        <s v="American Pipit"/>
        <s v="Anna's Hummingbird"/>
        <s v="Belding’s Savannah Sparrow"/>
        <s v="Bewick's Wren"/>
        <s v="Black Phoebe"/>
        <s v="Black-necked Stilt"/>
        <s v="Bushtit"/>
        <s v="California Gull"/>
        <s v="California Towhee"/>
        <s v="Cinnamon Teal"/>
        <s v="Cliff Swallow"/>
        <s v="Common Yellowthroat"/>
        <s v="Cooper's Hawk"/>
        <s v="Eared Grebe"/>
        <s v="European Starling"/>
        <s v="Gadwall"/>
        <s v="Great Blue Heron"/>
        <s v="Great Egret"/>
        <s v="Greater Yellowlegs"/>
        <s v="Hooded Merganser"/>
        <s v="Hooded Oriole"/>
        <s v="House Finch"/>
        <s v="House Sparrow"/>
        <s v="Killdeer"/>
        <s v="Least Sandpiper"/>
        <s v="Lesser Goldfinch"/>
        <s v="Mallard"/>
        <s v="Marsh Wren"/>
        <s v="Mew Gull"/>
        <s v="Northern Mockingbird"/>
        <s v="Northern Rough-winged Swallow"/>
        <s v="Northern Shoveler"/>
        <s v="Red-shouldered Hawk"/>
        <s v="Red-tailed Hawk"/>
        <s v="Red-winged Blackbird"/>
        <s v="Ring-billed Gull"/>
        <s v="Rock Pigeon (Feral Pigeon)"/>
        <s v="Ruby-crowned Kinglet"/>
        <s v="Ruddy Duck"/>
        <s v="Savannah Sparrow"/>
        <s v="Say's Phoebe"/>
        <s v="Scaly-breasted Munia"/>
        <s v="Snowy Egret"/>
        <s v="Song Sparrow"/>
        <s v="Sora"/>
        <s v="Turkey Vulture"/>
        <s v="Western Bluebird"/>
        <s v="Western Gull"/>
        <s v="Western Meadowlark"/>
        <s v="Western Sandpiper"/>
        <s v="White-crowned Sparrow"/>
        <s v="Yellow-rumped Warbler"/>
      </sharedItems>
    </cacheField>
    <cacheField name="Count" numFmtId="0">
      <sharedItems containsSemiMixedTypes="0" containsString="0" containsNumber="1" containsInteger="1" minValue="1" maxValue="3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containsInteger="1" minValue="6" maxValue="6"/>
    </cacheField>
    <cacheField name="Observers" numFmtId="0">
      <sharedItems count="2">
        <s v="Darwin, Beau, Steven"/>
        <s v="Ian Lisa ma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2">
  <r>
    <d v="2019-03-22T00:00:00"/>
    <d v="2019-03-22T10:04:43"/>
    <x v="0"/>
    <n v="10"/>
    <x v="0"/>
    <s v="Water - Floating"/>
    <m/>
    <m/>
    <m/>
    <m/>
    <x v="0"/>
  </r>
  <r>
    <d v="2019-03-22T00:00:00"/>
    <d v="2019-03-22T10:15:04"/>
    <x v="0"/>
    <n v="30"/>
    <x v="0"/>
    <s v="Water - Floating"/>
    <m/>
    <m/>
    <m/>
    <m/>
    <x v="0"/>
  </r>
  <r>
    <d v="2019-03-22T00:00:00"/>
    <d v="2019-03-22T08:05:23"/>
    <x v="0"/>
    <n v="1"/>
    <x v="0"/>
    <s v="Water - Floating"/>
    <m/>
    <m/>
    <m/>
    <m/>
    <x v="1"/>
  </r>
  <r>
    <d v="2019-03-22T00:00:00"/>
    <d v="2019-03-22T08:44:04"/>
    <x v="0"/>
    <n v="2"/>
    <x v="0"/>
    <s v="Water - Floating"/>
    <m/>
    <m/>
    <m/>
    <m/>
    <x v="1"/>
  </r>
  <r>
    <d v="2019-03-22T00:00:00"/>
    <d v="2019-03-22T08:54:47"/>
    <x v="0"/>
    <n v="3"/>
    <x v="0"/>
    <s v="Water - Wading"/>
    <m/>
    <m/>
    <m/>
    <m/>
    <x v="1"/>
  </r>
  <r>
    <d v="2019-03-22T00:00:00"/>
    <d v="2019-03-22T09:03:19"/>
    <x v="0"/>
    <n v="3"/>
    <x v="0"/>
    <s v="Water - Floating"/>
    <m/>
    <m/>
    <m/>
    <m/>
    <x v="1"/>
  </r>
  <r>
    <d v="2019-03-22T00:00:00"/>
    <d v="2019-03-22T09:08:44"/>
    <x v="0"/>
    <n v="6"/>
    <x v="0"/>
    <s v="Water - Floating"/>
    <m/>
    <m/>
    <m/>
    <m/>
    <x v="1"/>
  </r>
  <r>
    <d v="2019-03-22T00:00:00"/>
    <d v="2019-03-22T09:37:30"/>
    <x v="0"/>
    <n v="2"/>
    <x v="0"/>
    <s v="Water - Floating"/>
    <m/>
    <m/>
    <m/>
    <m/>
    <x v="1"/>
  </r>
  <r>
    <d v="2019-03-22T00:00:00"/>
    <d v="2019-03-22T08:19:01"/>
    <x v="1"/>
    <n v="3"/>
    <x v="0"/>
    <s v="Vegetation - Tree"/>
    <m/>
    <m/>
    <m/>
    <m/>
    <x v="0"/>
  </r>
  <r>
    <d v="2019-03-22T00:00:00"/>
    <d v="2019-03-22T09:27:54"/>
    <x v="1"/>
    <n v="1"/>
    <x v="0"/>
    <s v="Habitat Feature - Snag"/>
    <m/>
    <m/>
    <m/>
    <m/>
    <x v="0"/>
  </r>
  <r>
    <d v="2019-03-22T00:00:00"/>
    <d v="2019-03-22T08:19:59"/>
    <x v="1"/>
    <n v="3"/>
    <x v="0"/>
    <s v="Vegetation - Tree"/>
    <m/>
    <m/>
    <m/>
    <m/>
    <x v="1"/>
  </r>
  <r>
    <d v="2019-03-22T00:00:00"/>
    <d v="2019-03-22T08:45:10"/>
    <x v="1"/>
    <n v="2"/>
    <x v="0"/>
    <s v="Vegetation - Tree"/>
    <m/>
    <m/>
    <m/>
    <m/>
    <x v="1"/>
  </r>
  <r>
    <d v="2019-03-22T00:00:00"/>
    <d v="2019-03-22T08:53:45"/>
    <x v="1"/>
    <n v="1"/>
    <x v="0"/>
    <s v="Vegetation - Tree"/>
    <m/>
    <m/>
    <m/>
    <m/>
    <x v="1"/>
  </r>
  <r>
    <d v="2019-03-22T00:00:00"/>
    <d v="2019-03-22T09:08:05"/>
    <x v="1"/>
    <n v="1"/>
    <x v="0"/>
    <s v="Bare ground"/>
    <m/>
    <m/>
    <m/>
    <m/>
    <x v="1"/>
  </r>
  <r>
    <d v="2019-03-22T00:00:00"/>
    <d v="2019-03-22T09:35:44"/>
    <x v="1"/>
    <n v="1"/>
    <x v="0"/>
    <s v="Bare ground"/>
    <m/>
    <m/>
    <m/>
    <m/>
    <x v="1"/>
  </r>
  <r>
    <d v="2019-03-22T00:00:00"/>
    <d v="2019-03-22T09:38:09"/>
    <x v="1"/>
    <n v="2"/>
    <x v="0"/>
    <s v="Bare ground"/>
    <m/>
    <m/>
    <m/>
    <m/>
    <x v="1"/>
  </r>
  <r>
    <d v="2019-03-22T00:00:00"/>
    <d v="2019-03-22T09:49:58"/>
    <x v="1"/>
    <n v="1"/>
    <x v="0"/>
    <s v="Bare ground"/>
    <m/>
    <m/>
    <m/>
    <m/>
    <x v="1"/>
  </r>
  <r>
    <d v="2019-03-22T00:00:00"/>
    <d v="2019-03-22T08:35:47"/>
    <x v="2"/>
    <n v="30"/>
    <x v="0"/>
    <s v="Vegetation - Herbaceous"/>
    <m/>
    <m/>
    <m/>
    <m/>
    <x v="0"/>
  </r>
  <r>
    <d v="2019-03-22T00:00:00"/>
    <d v="2019-03-22T10:05:18"/>
    <x v="2"/>
    <n v="1"/>
    <x v="0"/>
    <s v="Bare ground"/>
    <m/>
    <m/>
    <m/>
    <m/>
    <x v="0"/>
  </r>
  <r>
    <d v="2019-03-22T00:00:00"/>
    <d v="2019-03-22T08:18:05"/>
    <x v="3"/>
    <n v="1"/>
    <x v="0"/>
    <s v="Vegetation - Tree"/>
    <m/>
    <m/>
    <m/>
    <m/>
    <x v="0"/>
  </r>
  <r>
    <d v="2019-03-22T00:00:00"/>
    <d v="2019-03-22T09:03:26"/>
    <x v="3"/>
    <n v="1"/>
    <x v="0"/>
    <s v="Vegetation - Tree"/>
    <m/>
    <m/>
    <m/>
    <m/>
    <x v="0"/>
  </r>
  <r>
    <d v="2019-03-22T00:00:00"/>
    <d v="2019-03-22T09:32:17"/>
    <x v="3"/>
    <n v="1"/>
    <x v="0"/>
    <s v="Vegetation - Tree"/>
    <m/>
    <m/>
    <m/>
    <m/>
    <x v="0"/>
  </r>
  <r>
    <d v="2019-03-22T00:00:00"/>
    <d v="2019-03-22T10:10:36"/>
    <x v="3"/>
    <n v="1"/>
    <x v="0"/>
    <s v="Vegetation - Shrub"/>
    <m/>
    <m/>
    <m/>
    <m/>
    <x v="0"/>
  </r>
  <r>
    <d v="2019-03-22T00:00:00"/>
    <d v="2019-03-22T08:27:55"/>
    <x v="3"/>
    <n v="1"/>
    <x v="0"/>
    <s v="Vegetation - Tree"/>
    <m/>
    <m/>
    <m/>
    <m/>
    <x v="1"/>
  </r>
  <r>
    <d v="2019-03-22T00:00:00"/>
    <d v="2019-03-22T08:30:29"/>
    <x v="3"/>
    <n v="1"/>
    <x v="0"/>
    <s v="Vegetation - Shrub"/>
    <m/>
    <m/>
    <m/>
    <m/>
    <x v="1"/>
  </r>
  <r>
    <d v="2019-03-22T00:00:00"/>
    <d v="2019-03-22T09:19:53"/>
    <x v="3"/>
    <n v="2"/>
    <x v="0"/>
    <s v="Air"/>
    <m/>
    <m/>
    <m/>
    <m/>
    <x v="1"/>
  </r>
  <r>
    <d v="2019-03-22T00:00:00"/>
    <d v="2019-03-22T09:09:44"/>
    <x v="4"/>
    <n v="2"/>
    <x v="0"/>
    <m/>
    <m/>
    <m/>
    <m/>
    <m/>
    <x v="0"/>
  </r>
  <r>
    <d v="2019-03-22T00:00:00"/>
    <d v="2019-03-22T08:22:39"/>
    <x v="5"/>
    <n v="1"/>
    <x v="0"/>
    <s v="Vegetation - Tree"/>
    <m/>
    <m/>
    <m/>
    <m/>
    <x v="0"/>
  </r>
  <r>
    <d v="2019-03-22T00:00:00"/>
    <d v="2019-03-22T09:49:26"/>
    <x v="5"/>
    <n v="1"/>
    <x v="0"/>
    <s v="Vegetation - Tree"/>
    <m/>
    <m/>
    <m/>
    <m/>
    <x v="0"/>
  </r>
  <r>
    <d v="2019-03-22T00:00:00"/>
    <d v="2019-03-22T09:46:58"/>
    <x v="6"/>
    <n v="2"/>
    <x v="0"/>
    <s v="Vegetation - Shrub"/>
    <m/>
    <m/>
    <m/>
    <m/>
    <x v="0"/>
  </r>
  <r>
    <d v="2019-03-22T00:00:00"/>
    <d v="2019-03-22T09:07:03"/>
    <x v="6"/>
    <n v="1"/>
    <x v="0"/>
    <s v="Vegetation - Herbaceous"/>
    <m/>
    <m/>
    <m/>
    <m/>
    <x v="1"/>
  </r>
  <r>
    <d v="2019-03-22T00:00:00"/>
    <d v="2019-03-22T09:55:41"/>
    <x v="6"/>
    <n v="1"/>
    <x v="0"/>
    <s v="Bare ground"/>
    <m/>
    <m/>
    <m/>
    <m/>
    <x v="1"/>
  </r>
  <r>
    <d v="2019-03-22T00:00:00"/>
    <d v="2019-03-22T09:58:53"/>
    <x v="6"/>
    <n v="1"/>
    <x v="0"/>
    <s v="Bare ground"/>
    <m/>
    <m/>
    <m/>
    <m/>
    <x v="1"/>
  </r>
  <r>
    <d v="2019-03-22T00:00:00"/>
    <d v="2019-03-22T10:06:13"/>
    <x v="6"/>
    <n v="1"/>
    <x v="0"/>
    <s v="Building"/>
    <m/>
    <s v="Nest Building"/>
    <s v="hanging in corner of condo. nest maybe"/>
    <m/>
    <x v="1"/>
  </r>
  <r>
    <d v="2019-03-22T00:00:00"/>
    <d v="2019-03-22T10:17:05"/>
    <x v="6"/>
    <n v="1"/>
    <x v="0"/>
    <s v="Fence"/>
    <m/>
    <m/>
    <m/>
    <m/>
    <x v="1"/>
  </r>
  <r>
    <d v="2019-03-22T00:00:00"/>
    <d v="2019-03-22T07:59:23"/>
    <x v="7"/>
    <n v="2"/>
    <x v="0"/>
    <s v="Mud"/>
    <m/>
    <m/>
    <m/>
    <n v="6"/>
    <x v="1"/>
  </r>
  <r>
    <d v="2019-03-22T00:00:00"/>
    <d v="2019-03-22T08:44:21"/>
    <x v="7"/>
    <n v="1"/>
    <x v="0"/>
    <s v="Water - Wading"/>
    <m/>
    <m/>
    <m/>
    <m/>
    <x v="1"/>
  </r>
  <r>
    <d v="2019-03-22T00:00:00"/>
    <d v="2019-03-22T08:46:16"/>
    <x v="7"/>
    <n v="1"/>
    <x v="0"/>
    <s v="Water - Wading"/>
    <m/>
    <m/>
    <m/>
    <m/>
    <x v="1"/>
  </r>
  <r>
    <d v="2019-03-22T00:00:00"/>
    <d v="2019-03-22T09:57:52"/>
    <x v="8"/>
    <n v="2"/>
    <x v="0"/>
    <s v="Vegetation - Shrub"/>
    <m/>
    <m/>
    <m/>
    <m/>
    <x v="0"/>
  </r>
  <r>
    <d v="2019-03-22T00:00:00"/>
    <d v="2019-03-22T10:10:46"/>
    <x v="8"/>
    <n v="1"/>
    <x v="0"/>
    <s v="Vegetation - Tree"/>
    <m/>
    <m/>
    <m/>
    <m/>
    <x v="1"/>
  </r>
  <r>
    <d v="2019-03-22T00:00:00"/>
    <d v="2019-03-22T08:36:18"/>
    <x v="9"/>
    <n v="1"/>
    <x v="0"/>
    <s v="Mud"/>
    <m/>
    <m/>
    <m/>
    <m/>
    <x v="1"/>
  </r>
  <r>
    <d v="2019-03-22T00:00:00"/>
    <d v="2019-03-22T09:04:30"/>
    <x v="10"/>
    <n v="2"/>
    <x v="0"/>
    <s v="Vegetation - Herbaceous"/>
    <m/>
    <m/>
    <m/>
    <m/>
    <x v="0"/>
  </r>
  <r>
    <d v="2019-03-22T00:00:00"/>
    <d v="2019-03-22T10:12:04"/>
    <x v="10"/>
    <n v="1"/>
    <x v="0"/>
    <s v="Bare ground"/>
    <m/>
    <m/>
    <m/>
    <m/>
    <x v="0"/>
  </r>
  <r>
    <d v="2019-03-22T00:00:00"/>
    <d v="2019-03-22T08:32:11"/>
    <x v="10"/>
    <n v="1"/>
    <x v="0"/>
    <s v="Vegetation - Shrub"/>
    <m/>
    <m/>
    <m/>
    <m/>
    <x v="1"/>
  </r>
  <r>
    <d v="2019-03-22T00:00:00"/>
    <d v="2019-03-22T10:18:51"/>
    <x v="10"/>
    <n v="1"/>
    <x v="0"/>
    <s v="Vegetation - Shrub"/>
    <m/>
    <m/>
    <m/>
    <m/>
    <x v="1"/>
  </r>
  <r>
    <d v="2019-03-22T00:00:00"/>
    <d v="2019-03-22T08:13:51"/>
    <x v="11"/>
    <n v="4"/>
    <x v="0"/>
    <s v="Water - Wading"/>
    <m/>
    <m/>
    <m/>
    <m/>
    <x v="1"/>
  </r>
  <r>
    <d v="2019-03-22T00:00:00"/>
    <d v="2019-03-22T09:01:58"/>
    <x v="11"/>
    <n v="2"/>
    <x v="0"/>
    <s v="Water - Floating"/>
    <m/>
    <m/>
    <m/>
    <m/>
    <x v="1"/>
  </r>
  <r>
    <d v="2019-03-22T00:00:00"/>
    <d v="2019-03-22T09:03:03"/>
    <x v="11"/>
    <n v="2"/>
    <x v="0"/>
    <s v="Water - Floating"/>
    <m/>
    <m/>
    <m/>
    <m/>
    <x v="1"/>
  </r>
  <r>
    <d v="2019-03-22T00:00:00"/>
    <d v="2019-03-22T10:19:07"/>
    <x v="12"/>
    <n v="25"/>
    <x v="0"/>
    <s v="Air"/>
    <s v="Uncertain"/>
    <m/>
    <m/>
    <m/>
    <x v="0"/>
  </r>
  <r>
    <d v="2019-03-22T00:00:00"/>
    <d v="2019-03-22T09:22:51"/>
    <x v="13"/>
    <n v="1"/>
    <x v="0"/>
    <s v="Vegetation - Herbaceous"/>
    <m/>
    <m/>
    <m/>
    <m/>
    <x v="0"/>
  </r>
  <r>
    <d v="2019-03-22T00:00:00"/>
    <d v="2019-03-22T09:33:55"/>
    <x v="13"/>
    <n v="2"/>
    <x v="0"/>
    <s v="Vegetation - Herbaceous"/>
    <m/>
    <m/>
    <m/>
    <m/>
    <x v="0"/>
  </r>
  <r>
    <d v="2019-03-22T00:00:00"/>
    <d v="2019-03-22T10:27:40"/>
    <x v="13"/>
    <n v="1"/>
    <x v="0"/>
    <s v="Vegetation - Herbaceous"/>
    <m/>
    <m/>
    <m/>
    <m/>
    <x v="0"/>
  </r>
  <r>
    <d v="2019-03-22T00:00:00"/>
    <d v="2019-03-22T08:17:51"/>
    <x v="14"/>
    <n v="1"/>
    <x v="0"/>
    <s v="Flyover"/>
    <m/>
    <m/>
    <m/>
    <m/>
    <x v="0"/>
  </r>
  <r>
    <d v="2019-03-22T00:00:00"/>
    <d v="2019-03-22T08:47:32"/>
    <x v="14"/>
    <n v="1"/>
    <x v="1"/>
    <s v="Vegetation - Tree"/>
    <m/>
    <m/>
    <m/>
    <m/>
    <x v="0"/>
  </r>
  <r>
    <d v="2019-03-22T00:00:00"/>
    <d v="2019-03-22T08:19:45"/>
    <x v="14"/>
    <n v="1"/>
    <x v="1"/>
    <s v="Vegetation - Tree"/>
    <m/>
    <m/>
    <s v="Changed Repeat Observation to Yes after post-survey review."/>
    <m/>
    <x v="1"/>
  </r>
  <r>
    <d v="2019-03-22T00:00:00"/>
    <d v="2019-03-22T08:11:19"/>
    <x v="15"/>
    <n v="2"/>
    <x v="0"/>
    <s v="Water - Floating"/>
    <m/>
    <m/>
    <m/>
    <m/>
    <x v="1"/>
  </r>
  <r>
    <d v="2019-03-22T00:00:00"/>
    <d v="2019-03-22T09:43:57"/>
    <x v="16"/>
    <n v="5"/>
    <x v="0"/>
    <s v="Vegetation - Herbaceous"/>
    <m/>
    <m/>
    <m/>
    <m/>
    <x v="0"/>
  </r>
  <r>
    <d v="2019-03-22T00:00:00"/>
    <d v="2019-03-22T08:05:43"/>
    <x v="17"/>
    <n v="1"/>
    <x v="0"/>
    <s v="Water - Floating"/>
    <m/>
    <m/>
    <m/>
    <m/>
    <x v="1"/>
  </r>
  <r>
    <d v="2019-03-22T00:00:00"/>
    <d v="2019-03-22T08:35:11"/>
    <x v="17"/>
    <n v="3"/>
    <x v="0"/>
    <s v="Water - Wading"/>
    <m/>
    <m/>
    <m/>
    <m/>
    <x v="1"/>
  </r>
  <r>
    <d v="2019-03-22T00:00:00"/>
    <d v="2019-03-22T09:40:31"/>
    <x v="18"/>
    <n v="1"/>
    <x v="0"/>
    <s v="Bare ground"/>
    <m/>
    <m/>
    <m/>
    <m/>
    <x v="0"/>
  </r>
  <r>
    <d v="2019-03-22T00:00:00"/>
    <d v="2019-03-22T09:57:17"/>
    <x v="18"/>
    <n v="1"/>
    <x v="0"/>
    <s v="Bare ground"/>
    <m/>
    <m/>
    <m/>
    <m/>
    <x v="0"/>
  </r>
  <r>
    <d v="2019-03-22T00:00:00"/>
    <d v="2019-03-22T09:41:11"/>
    <x v="19"/>
    <n v="1"/>
    <x v="0"/>
    <s v="Bare ground"/>
    <m/>
    <m/>
    <m/>
    <m/>
    <x v="0"/>
  </r>
  <r>
    <d v="2019-03-22T00:00:00"/>
    <d v="2019-03-22T09:51:02"/>
    <x v="20"/>
    <n v="1"/>
    <x v="0"/>
    <s v="Water - Wading"/>
    <m/>
    <m/>
    <m/>
    <m/>
    <x v="1"/>
  </r>
  <r>
    <d v="2019-03-22T00:00:00"/>
    <d v="2019-03-22T10:16:42"/>
    <x v="20"/>
    <n v="1"/>
    <x v="0"/>
    <s v="Mud"/>
    <m/>
    <m/>
    <m/>
    <m/>
    <x v="1"/>
  </r>
  <r>
    <d v="2019-03-22T00:00:00"/>
    <d v="2019-03-22T10:47:08"/>
    <x v="20"/>
    <n v="1"/>
    <x v="1"/>
    <s v="Water - Wading"/>
    <m/>
    <m/>
    <s v="Changed Repeat Observation to Yes after post-survey review."/>
    <m/>
    <x v="1"/>
  </r>
  <r>
    <d v="2019-03-22T00:00:00"/>
    <d v="2019-03-22T09:08:29"/>
    <x v="21"/>
    <n v="1"/>
    <x v="0"/>
    <s v="Water - Floating"/>
    <m/>
    <m/>
    <m/>
    <m/>
    <x v="1"/>
  </r>
  <r>
    <d v="2019-03-22T00:00:00"/>
    <d v="2019-03-22T10:02:20"/>
    <x v="22"/>
    <n v="1"/>
    <x v="0"/>
    <s v="Vegetation - Tree"/>
    <m/>
    <m/>
    <m/>
    <m/>
    <x v="0"/>
  </r>
  <r>
    <d v="2019-03-22T00:00:00"/>
    <d v="2019-03-22T09:37:28"/>
    <x v="23"/>
    <n v="2"/>
    <x v="0"/>
    <s v="Vegetation - Tree"/>
    <m/>
    <m/>
    <m/>
    <m/>
    <x v="0"/>
  </r>
  <r>
    <d v="2019-03-22T00:00:00"/>
    <d v="2019-03-22T10:08:44"/>
    <x v="23"/>
    <n v="1"/>
    <x v="0"/>
    <s v="Vegetation - Tree"/>
    <m/>
    <m/>
    <m/>
    <m/>
    <x v="0"/>
  </r>
  <r>
    <d v="2019-03-22T00:00:00"/>
    <d v="2019-03-22T10:10:49"/>
    <x v="23"/>
    <n v="7"/>
    <x v="0"/>
    <s v="Vegetation - Shrub"/>
    <m/>
    <m/>
    <m/>
    <m/>
    <x v="0"/>
  </r>
  <r>
    <d v="2019-03-22T00:00:00"/>
    <d v="2019-03-22T09:59:45"/>
    <x v="23"/>
    <n v="1"/>
    <x v="0"/>
    <s v="Bare ground"/>
    <s v="F"/>
    <s v="Carrying Nest Material"/>
    <m/>
    <m/>
    <x v="1"/>
  </r>
  <r>
    <d v="2019-03-22T00:00:00"/>
    <d v="2019-03-22T10:03:05"/>
    <x v="23"/>
    <n v="1"/>
    <x v="0"/>
    <s v="Vegetation - Tree"/>
    <s v="M"/>
    <m/>
    <m/>
    <m/>
    <x v="1"/>
  </r>
  <r>
    <d v="2019-03-22T00:00:00"/>
    <d v="2019-03-22T10:14:54"/>
    <x v="23"/>
    <n v="2"/>
    <x v="0"/>
    <s v="Fence"/>
    <m/>
    <m/>
    <m/>
    <m/>
    <x v="1"/>
  </r>
  <r>
    <d v="2019-03-22T00:00:00"/>
    <d v="2019-03-22T10:19:34"/>
    <x v="23"/>
    <n v="2"/>
    <x v="0"/>
    <s v="Vegetation - Shrub"/>
    <m/>
    <m/>
    <m/>
    <m/>
    <x v="1"/>
  </r>
  <r>
    <d v="2019-03-22T00:00:00"/>
    <d v="2019-03-22T09:21:37"/>
    <x v="24"/>
    <n v="3"/>
    <x v="0"/>
    <s v="Vegetation - Herbaceous"/>
    <m/>
    <m/>
    <m/>
    <m/>
    <x v="0"/>
  </r>
  <r>
    <d v="2019-03-22T00:00:00"/>
    <d v="2019-03-22T09:26:22"/>
    <x v="24"/>
    <n v="6"/>
    <x v="0"/>
    <s v="Vegetation - Herbaceous"/>
    <m/>
    <m/>
    <m/>
    <m/>
    <x v="0"/>
  </r>
  <r>
    <d v="2019-03-22T00:00:00"/>
    <d v="2019-03-22T08:31:07"/>
    <x v="25"/>
    <n v="1"/>
    <x v="0"/>
    <s v="Bare ground"/>
    <m/>
    <s v="Other"/>
    <s v="on nest"/>
    <m/>
    <x v="0"/>
  </r>
  <r>
    <d v="2019-03-22T00:00:00"/>
    <d v="2019-03-22T08:44:35"/>
    <x v="25"/>
    <n v="2"/>
    <x v="0"/>
    <s v="Bare ground"/>
    <m/>
    <m/>
    <m/>
    <m/>
    <x v="0"/>
  </r>
  <r>
    <d v="2019-03-22T00:00:00"/>
    <d v="2019-03-22T09:00:06"/>
    <x v="25"/>
    <n v="3"/>
    <x v="0"/>
    <s v="Bare ground"/>
    <m/>
    <m/>
    <m/>
    <m/>
    <x v="0"/>
  </r>
  <r>
    <d v="2019-03-22T00:00:00"/>
    <d v="2019-03-22T09:44:25"/>
    <x v="25"/>
    <n v="2"/>
    <x v="0"/>
    <s v="Bare ground"/>
    <m/>
    <m/>
    <m/>
    <m/>
    <x v="0"/>
  </r>
  <r>
    <d v="2019-03-22T00:00:00"/>
    <d v="2019-03-22T08:14:07"/>
    <x v="25"/>
    <n v="3"/>
    <x v="0"/>
    <s v="Mud"/>
    <m/>
    <m/>
    <m/>
    <m/>
    <x v="1"/>
  </r>
  <r>
    <d v="2019-03-22T00:00:00"/>
    <d v="2019-03-22T08:16:28"/>
    <x v="25"/>
    <n v="2"/>
    <x v="0"/>
    <s v="Mud"/>
    <m/>
    <m/>
    <m/>
    <m/>
    <x v="1"/>
  </r>
  <r>
    <d v="2019-03-22T00:00:00"/>
    <d v="2019-03-22T08:43:44"/>
    <x v="25"/>
    <n v="4"/>
    <x v="0"/>
    <s v="Bare ground"/>
    <m/>
    <m/>
    <m/>
    <m/>
    <x v="1"/>
  </r>
  <r>
    <d v="2019-03-22T00:00:00"/>
    <d v="2019-03-22T08:55:55"/>
    <x v="25"/>
    <n v="1"/>
    <x v="0"/>
    <s v="Mud"/>
    <m/>
    <m/>
    <m/>
    <m/>
    <x v="1"/>
  </r>
  <r>
    <d v="2019-03-22T00:00:00"/>
    <d v="2019-03-22T09:44:36"/>
    <x v="25"/>
    <n v="1"/>
    <x v="0"/>
    <s v="Bare ground"/>
    <m/>
    <m/>
    <m/>
    <m/>
    <x v="1"/>
  </r>
  <r>
    <d v="2019-03-22T00:00:00"/>
    <d v="2019-03-22T08:00:16"/>
    <x v="26"/>
    <n v="4"/>
    <x v="0"/>
    <s v="Mud"/>
    <m/>
    <m/>
    <m/>
    <m/>
    <x v="1"/>
  </r>
  <r>
    <d v="2019-03-22T00:00:00"/>
    <d v="2019-03-22T08:01:15"/>
    <x v="26"/>
    <n v="4"/>
    <x v="0"/>
    <s v="Mud"/>
    <m/>
    <m/>
    <m/>
    <m/>
    <x v="1"/>
  </r>
  <r>
    <d v="2019-03-22T00:00:00"/>
    <d v="2019-03-22T08:17:48"/>
    <x v="26"/>
    <n v="6"/>
    <x v="0"/>
    <s v="Mud"/>
    <m/>
    <m/>
    <m/>
    <m/>
    <x v="1"/>
  </r>
  <r>
    <d v="2019-03-22T00:00:00"/>
    <d v="2019-03-22T08:22:12"/>
    <x v="26"/>
    <n v="2"/>
    <x v="0"/>
    <s v="Mud"/>
    <m/>
    <m/>
    <m/>
    <m/>
    <x v="1"/>
  </r>
  <r>
    <d v="2019-03-22T00:00:00"/>
    <d v="2019-03-22T08:34:16"/>
    <x v="26"/>
    <n v="24"/>
    <x v="0"/>
    <s v="Mud"/>
    <m/>
    <m/>
    <m/>
    <m/>
    <x v="1"/>
  </r>
  <r>
    <d v="2019-03-22T00:00:00"/>
    <d v="2019-03-22T09:47:18"/>
    <x v="27"/>
    <n v="2"/>
    <x v="0"/>
    <s v="Vegetation - Tree"/>
    <m/>
    <m/>
    <m/>
    <m/>
    <x v="0"/>
  </r>
  <r>
    <d v="2019-03-22T00:00:00"/>
    <d v="2019-03-22T10:15:19"/>
    <x v="28"/>
    <n v="2"/>
    <x v="0"/>
    <s v="Water - Floating"/>
    <m/>
    <m/>
    <m/>
    <m/>
    <x v="0"/>
  </r>
  <r>
    <d v="2019-03-22T00:00:00"/>
    <d v="2019-03-22T08:35:25"/>
    <x v="28"/>
    <n v="1"/>
    <x v="0"/>
    <s v="Water - Floating"/>
    <m/>
    <m/>
    <m/>
    <m/>
    <x v="1"/>
  </r>
  <r>
    <d v="2019-03-22T00:00:00"/>
    <d v="2019-03-22T09:11:42"/>
    <x v="28"/>
    <n v="1"/>
    <x v="0"/>
    <s v="Water - Wading"/>
    <m/>
    <m/>
    <m/>
    <m/>
    <x v="1"/>
  </r>
  <r>
    <d v="2019-03-22T00:00:00"/>
    <d v="2019-03-22T10:26:01"/>
    <x v="29"/>
    <n v="1"/>
    <x v="0"/>
    <s v="Vegetation - Herbaceous"/>
    <m/>
    <m/>
    <m/>
    <m/>
    <x v="0"/>
  </r>
  <r>
    <d v="2019-03-22T00:00:00"/>
    <d v="2019-03-22T08:36:31"/>
    <x v="30"/>
    <n v="1"/>
    <x v="0"/>
    <s v="Mud"/>
    <m/>
    <m/>
    <m/>
    <m/>
    <x v="1"/>
  </r>
  <r>
    <d v="2019-03-22T00:00:00"/>
    <d v="2019-03-22T10:10:19"/>
    <x v="31"/>
    <n v="2"/>
    <x v="0"/>
    <s v="Vegetation - Shrub"/>
    <m/>
    <m/>
    <m/>
    <m/>
    <x v="0"/>
  </r>
  <r>
    <d v="2019-03-22T00:00:00"/>
    <d v="2019-03-22T08:11:11"/>
    <x v="32"/>
    <n v="1"/>
    <x v="0"/>
    <s v="Air"/>
    <m/>
    <m/>
    <m/>
    <m/>
    <x v="0"/>
  </r>
  <r>
    <d v="2019-03-22T00:00:00"/>
    <d v="2019-03-22T08:38:40"/>
    <x v="32"/>
    <n v="4"/>
    <x v="0"/>
    <s v="Air"/>
    <m/>
    <m/>
    <m/>
    <m/>
    <x v="0"/>
  </r>
  <r>
    <d v="2019-03-22T00:00:00"/>
    <d v="2019-03-22T08:03:43"/>
    <x v="32"/>
    <n v="1"/>
    <x v="0"/>
    <s v="Air"/>
    <m/>
    <m/>
    <m/>
    <m/>
    <x v="1"/>
  </r>
  <r>
    <d v="2019-03-22T00:00:00"/>
    <d v="2019-03-22T08:33:17"/>
    <x v="33"/>
    <n v="7"/>
    <x v="0"/>
    <s v="Water - Floating"/>
    <m/>
    <m/>
    <m/>
    <m/>
    <x v="1"/>
  </r>
  <r>
    <d v="2019-03-22T00:00:00"/>
    <d v="2019-03-22T08:34:55"/>
    <x v="33"/>
    <n v="5"/>
    <x v="0"/>
    <s v="Water - Floating"/>
    <m/>
    <m/>
    <m/>
    <m/>
    <x v="1"/>
  </r>
  <r>
    <d v="2019-03-22T00:00:00"/>
    <d v="2019-03-22T08:39:01"/>
    <x v="33"/>
    <n v="2"/>
    <x v="0"/>
    <s v="Water - Wading"/>
    <m/>
    <m/>
    <m/>
    <m/>
    <x v="1"/>
  </r>
  <r>
    <d v="2019-03-22T00:00:00"/>
    <d v="2019-03-22T09:47:47"/>
    <x v="34"/>
    <n v="1"/>
    <x v="0"/>
    <s v="Air"/>
    <m/>
    <m/>
    <m/>
    <m/>
    <x v="1"/>
  </r>
  <r>
    <d v="2019-03-22T00:00:00"/>
    <d v="2019-03-22T09:51:59"/>
    <x v="35"/>
    <n v="1"/>
    <x v="0"/>
    <s v="Vegetation - Tree"/>
    <m/>
    <m/>
    <m/>
    <m/>
    <x v="0"/>
  </r>
  <r>
    <d v="2019-03-22T00:00:00"/>
    <d v="2019-03-22T09:24:37"/>
    <x v="36"/>
    <n v="4"/>
    <x v="0"/>
    <s v="Vegetation - Herbaceous"/>
    <m/>
    <m/>
    <m/>
    <m/>
    <x v="0"/>
  </r>
  <r>
    <d v="2019-03-22T00:00:00"/>
    <d v="2019-03-22T09:32:06"/>
    <x v="36"/>
    <n v="5"/>
    <x v="0"/>
    <s v="Vegetation - Herbaceous"/>
    <m/>
    <m/>
    <m/>
    <m/>
    <x v="0"/>
  </r>
  <r>
    <d v="2019-03-22T00:00:00"/>
    <d v="2019-03-22T09:37:16"/>
    <x v="36"/>
    <n v="2"/>
    <x v="0"/>
    <s v="Vegetation - Tree"/>
    <m/>
    <m/>
    <m/>
    <m/>
    <x v="0"/>
  </r>
  <r>
    <d v="2019-03-22T00:00:00"/>
    <d v="2019-03-22T09:39:16"/>
    <x v="36"/>
    <n v="3"/>
    <x v="0"/>
    <s v="Vegetation - Herbaceous"/>
    <m/>
    <m/>
    <m/>
    <m/>
    <x v="0"/>
  </r>
  <r>
    <d v="2019-03-22T00:00:00"/>
    <d v="2019-03-22T09:09:19"/>
    <x v="36"/>
    <n v="4"/>
    <x v="0"/>
    <s v="Vegetation - Tree"/>
    <m/>
    <m/>
    <m/>
    <m/>
    <x v="1"/>
  </r>
  <r>
    <d v="2019-03-22T00:00:00"/>
    <d v="2019-03-22T08:36:04"/>
    <x v="37"/>
    <n v="1"/>
    <x v="0"/>
    <s v="Mud"/>
    <m/>
    <m/>
    <m/>
    <m/>
    <x v="1"/>
  </r>
  <r>
    <d v="2019-03-22T00:00:00"/>
    <d v="2019-03-22T08:38:45"/>
    <x v="37"/>
    <n v="3"/>
    <x v="0"/>
    <s v="Mud"/>
    <m/>
    <m/>
    <m/>
    <m/>
    <x v="1"/>
  </r>
  <r>
    <d v="2019-03-22T00:00:00"/>
    <d v="2019-03-22T08:40:09"/>
    <x v="37"/>
    <n v="2"/>
    <x v="0"/>
    <s v="Mud"/>
    <m/>
    <m/>
    <m/>
    <m/>
    <x v="1"/>
  </r>
  <r>
    <d v="2019-03-22T00:00:00"/>
    <d v="2019-03-22T09:21:08"/>
    <x v="38"/>
    <n v="8"/>
    <x v="0"/>
    <s v="Vegetation - Herbaceous"/>
    <m/>
    <m/>
    <m/>
    <m/>
    <x v="0"/>
  </r>
  <r>
    <d v="2019-03-22T00:00:00"/>
    <d v="2019-03-22T10:11:17"/>
    <x v="38"/>
    <n v="1"/>
    <x v="0"/>
    <s v="Air"/>
    <m/>
    <m/>
    <m/>
    <m/>
    <x v="1"/>
  </r>
  <r>
    <d v="2019-03-22T00:00:00"/>
    <d v="2019-03-22T09:03:03"/>
    <x v="39"/>
    <n v="1"/>
    <x v="0"/>
    <s v="Vegetation - Tree"/>
    <m/>
    <m/>
    <m/>
    <m/>
    <x v="0"/>
  </r>
  <r>
    <d v="2019-03-22T00:00:00"/>
    <d v="2019-03-22T08:11:44"/>
    <x v="40"/>
    <n v="1"/>
    <x v="0"/>
    <s v="Water - Floating"/>
    <m/>
    <m/>
    <m/>
    <m/>
    <x v="1"/>
  </r>
  <r>
    <d v="2019-03-22T00:00:00"/>
    <d v="2019-03-22T09:30:55"/>
    <x v="41"/>
    <n v="5"/>
    <x v="0"/>
    <s v="Vegetation - Herbaceous"/>
    <m/>
    <m/>
    <m/>
    <m/>
    <x v="1"/>
  </r>
  <r>
    <d v="2019-03-22T00:00:00"/>
    <d v="2019-03-22T10:09:01"/>
    <x v="42"/>
    <n v="2"/>
    <x v="0"/>
    <s v="Flyover"/>
    <m/>
    <m/>
    <m/>
    <m/>
    <x v="0"/>
  </r>
  <r>
    <d v="2019-03-22T00:00:00"/>
    <d v="2019-03-22T09:21:55"/>
    <x v="43"/>
    <n v="5"/>
    <x v="0"/>
    <s v="Vegetation - Herbaceous"/>
    <m/>
    <m/>
    <m/>
    <m/>
    <x v="0"/>
  </r>
  <r>
    <d v="2019-03-22T00:00:00"/>
    <d v="2019-03-22T09:19:22"/>
    <x v="44"/>
    <n v="1"/>
    <x v="0"/>
    <s v="Vegetation - Tree"/>
    <m/>
    <m/>
    <m/>
    <m/>
    <x v="0"/>
  </r>
  <r>
    <d v="2019-03-22T00:00:00"/>
    <d v="2019-03-22T08:38:09"/>
    <x v="44"/>
    <n v="1"/>
    <x v="0"/>
    <s v="Water - Wading"/>
    <m/>
    <m/>
    <m/>
    <m/>
    <x v="1"/>
  </r>
  <r>
    <d v="2019-03-22T00:00:00"/>
    <d v="2019-03-22T09:01:19"/>
    <x v="44"/>
    <n v="1"/>
    <x v="1"/>
    <s v="Water - Wading"/>
    <m/>
    <m/>
    <m/>
    <m/>
    <x v="1"/>
  </r>
  <r>
    <d v="2019-03-22T00:00:00"/>
    <d v="2019-03-22T09:09:25"/>
    <x v="45"/>
    <n v="2"/>
    <x v="0"/>
    <m/>
    <m/>
    <m/>
    <m/>
    <m/>
    <x v="0"/>
  </r>
  <r>
    <d v="2019-03-22T00:00:00"/>
    <d v="2019-03-22T09:14:14"/>
    <x v="45"/>
    <n v="3"/>
    <x v="0"/>
    <s v="Vegetation - Shrub"/>
    <m/>
    <m/>
    <m/>
    <m/>
    <x v="0"/>
  </r>
  <r>
    <d v="2019-03-22T00:00:00"/>
    <d v="2019-03-22T09:23:02"/>
    <x v="45"/>
    <n v="1"/>
    <x v="0"/>
    <s v="Vegetation - Herbaceous"/>
    <m/>
    <m/>
    <m/>
    <m/>
    <x v="0"/>
  </r>
  <r>
    <d v="2019-03-22T00:00:00"/>
    <d v="2019-03-22T09:24:18"/>
    <x v="45"/>
    <n v="2"/>
    <x v="0"/>
    <s v="Vegetation - Herbaceous"/>
    <m/>
    <m/>
    <m/>
    <m/>
    <x v="0"/>
  </r>
  <r>
    <d v="2019-03-22T00:00:00"/>
    <d v="2019-03-22T09:35:37"/>
    <x v="45"/>
    <n v="1"/>
    <x v="0"/>
    <s v="Vegetation - Herbaceous"/>
    <m/>
    <m/>
    <m/>
    <m/>
    <x v="0"/>
  </r>
  <r>
    <d v="2019-03-22T00:00:00"/>
    <d v="2019-03-22T10:11:00"/>
    <x v="45"/>
    <n v="1"/>
    <x v="0"/>
    <s v="Vegetation - Shrub"/>
    <m/>
    <m/>
    <m/>
    <m/>
    <x v="0"/>
  </r>
  <r>
    <d v="2019-03-22T00:00:00"/>
    <d v="2019-03-22T08:18:19"/>
    <x v="45"/>
    <n v="1"/>
    <x v="0"/>
    <s v="Vegetation - Shrub"/>
    <m/>
    <m/>
    <m/>
    <m/>
    <x v="1"/>
  </r>
  <r>
    <d v="2019-03-22T00:00:00"/>
    <d v="2019-03-22T08:37:43"/>
    <x v="45"/>
    <n v="1"/>
    <x v="0"/>
    <s v="Mud"/>
    <m/>
    <m/>
    <m/>
    <m/>
    <x v="1"/>
  </r>
  <r>
    <d v="2019-03-22T00:00:00"/>
    <d v="2019-03-22T08:52:01"/>
    <x v="45"/>
    <n v="1"/>
    <x v="0"/>
    <s v="Vegetation - Shrub"/>
    <m/>
    <m/>
    <m/>
    <m/>
    <x v="1"/>
  </r>
  <r>
    <d v="2019-03-22T00:00:00"/>
    <d v="2019-03-22T09:03:52"/>
    <x v="45"/>
    <n v="1"/>
    <x v="0"/>
    <s v="Vegetation - Shrub"/>
    <m/>
    <m/>
    <m/>
    <m/>
    <x v="1"/>
  </r>
  <r>
    <d v="2019-03-22T00:00:00"/>
    <d v="2019-03-22T09:13:11"/>
    <x v="45"/>
    <n v="1"/>
    <x v="0"/>
    <s v="Vegetation - Shrub"/>
    <m/>
    <m/>
    <m/>
    <m/>
    <x v="1"/>
  </r>
  <r>
    <d v="2019-03-22T00:00:00"/>
    <d v="2019-03-22T09:20:11"/>
    <x v="45"/>
    <n v="1"/>
    <x v="0"/>
    <s v="Vegetation - Shrub"/>
    <m/>
    <m/>
    <m/>
    <m/>
    <x v="1"/>
  </r>
  <r>
    <d v="2019-03-22T00:00:00"/>
    <d v="2019-03-22T09:35:31"/>
    <x v="45"/>
    <n v="2"/>
    <x v="0"/>
    <s v="Mud"/>
    <m/>
    <m/>
    <m/>
    <m/>
    <x v="1"/>
  </r>
  <r>
    <d v="2019-03-22T00:00:00"/>
    <d v="2019-03-22T09:38:23"/>
    <x v="45"/>
    <n v="1"/>
    <x v="0"/>
    <s v="Vegetation - Herbaceous"/>
    <m/>
    <m/>
    <m/>
    <m/>
    <x v="1"/>
  </r>
  <r>
    <d v="2019-03-22T00:00:00"/>
    <d v="2019-03-22T09:51:31"/>
    <x v="45"/>
    <n v="2"/>
    <x v="0"/>
    <s v="Vegetation - Shrub"/>
    <m/>
    <m/>
    <m/>
    <m/>
    <x v="1"/>
  </r>
  <r>
    <d v="2019-03-22T00:00:00"/>
    <d v="2019-03-22T09:58:16"/>
    <x v="45"/>
    <n v="1"/>
    <x v="0"/>
    <s v="Bare ground"/>
    <m/>
    <m/>
    <m/>
    <m/>
    <x v="1"/>
  </r>
  <r>
    <d v="2019-03-22T00:00:00"/>
    <d v="2019-03-22T10:02:38"/>
    <x v="45"/>
    <n v="1"/>
    <x v="0"/>
    <s v="Vegetation - Shrub"/>
    <m/>
    <m/>
    <m/>
    <m/>
    <x v="1"/>
  </r>
  <r>
    <d v="2019-03-22T00:00:00"/>
    <d v="2019-03-22T10:19:04"/>
    <x v="45"/>
    <n v="2"/>
    <x v="0"/>
    <s v="Vegetation - Shrub"/>
    <m/>
    <m/>
    <m/>
    <m/>
    <x v="1"/>
  </r>
  <r>
    <d v="2019-03-22T00:00:00"/>
    <d v="2019-03-22T09:24:52"/>
    <x v="46"/>
    <n v="1"/>
    <x v="0"/>
    <s v="Vegetation - Herbaceous"/>
    <m/>
    <m/>
    <m/>
    <m/>
    <x v="0"/>
  </r>
  <r>
    <d v="2019-03-22T00:00:00"/>
    <d v="2019-03-22T09:59:06"/>
    <x v="46"/>
    <n v="1"/>
    <x v="0"/>
    <s v="Vegetation - Herbaceous"/>
    <m/>
    <m/>
    <m/>
    <m/>
    <x v="0"/>
  </r>
  <r>
    <d v="2019-03-22T00:00:00"/>
    <d v="2019-03-22T09:04:05"/>
    <x v="46"/>
    <n v="1"/>
    <x v="0"/>
    <s v="Water - Wading"/>
    <m/>
    <m/>
    <m/>
    <m/>
    <x v="1"/>
  </r>
  <r>
    <d v="2019-03-22T00:00:00"/>
    <d v="2019-03-22T09:22:41"/>
    <x v="46"/>
    <n v="1"/>
    <x v="0"/>
    <s v="Water - Wading"/>
    <m/>
    <m/>
    <m/>
    <m/>
    <x v="1"/>
  </r>
  <r>
    <d v="2019-03-22T00:00:00"/>
    <d v="2019-03-22T09:24:23"/>
    <x v="46"/>
    <n v="1"/>
    <x v="0"/>
    <s v="Water - Wading"/>
    <m/>
    <m/>
    <m/>
    <m/>
    <x v="1"/>
  </r>
  <r>
    <d v="2019-03-22T00:00:00"/>
    <d v="2019-03-22T10:07:42"/>
    <x v="47"/>
    <n v="1"/>
    <x v="0"/>
    <s v="Air"/>
    <m/>
    <m/>
    <m/>
    <m/>
    <x v="0"/>
  </r>
  <r>
    <d v="2019-03-22T00:00:00"/>
    <d v="2019-03-22T09:53:01"/>
    <x v="48"/>
    <n v="2"/>
    <x v="0"/>
    <s v="Vegetation - Tree"/>
    <m/>
    <m/>
    <m/>
    <m/>
    <x v="1"/>
  </r>
  <r>
    <d v="2019-03-22T00:00:00"/>
    <d v="2019-03-22T08:35:44"/>
    <x v="49"/>
    <n v="16"/>
    <x v="0"/>
    <s v="Mud"/>
    <m/>
    <m/>
    <m/>
    <m/>
    <x v="1"/>
  </r>
  <r>
    <d v="2019-03-22T00:00:00"/>
    <d v="2019-03-22T08:39:54"/>
    <x v="49"/>
    <n v="1"/>
    <x v="0"/>
    <s v="Mud"/>
    <m/>
    <m/>
    <m/>
    <m/>
    <x v="1"/>
  </r>
  <r>
    <d v="2019-03-22T00:00:00"/>
    <d v="2019-03-22T09:44:17"/>
    <x v="50"/>
    <n v="2"/>
    <x v="0"/>
    <s v="Vegetation - Herbaceous"/>
    <m/>
    <m/>
    <m/>
    <m/>
    <x v="0"/>
  </r>
  <r>
    <d v="2019-03-22T00:00:00"/>
    <d v="2019-03-22T10:06:39"/>
    <x v="51"/>
    <n v="5"/>
    <x v="0"/>
    <m/>
    <m/>
    <m/>
    <m/>
    <m/>
    <x v="0"/>
  </r>
  <r>
    <d v="2019-03-22T00:00:00"/>
    <d v="2019-03-22T08:21:56"/>
    <x v="51"/>
    <n v="8"/>
    <x v="0"/>
    <s v="Mud"/>
    <m/>
    <m/>
    <m/>
    <m/>
    <x v="1"/>
  </r>
  <r>
    <d v="2019-03-22T00:00:00"/>
    <d v="2019-03-22T08:33:53"/>
    <x v="51"/>
    <n v="5"/>
    <x v="0"/>
    <s v="Mud"/>
    <m/>
    <m/>
    <m/>
    <m/>
    <x v="1"/>
  </r>
  <r>
    <d v="2019-03-22T00:00:00"/>
    <d v="2019-03-22T09:25:35"/>
    <x v="52"/>
    <n v="9"/>
    <x v="0"/>
    <s v="Vegetation - Herbaceous"/>
    <m/>
    <m/>
    <m/>
    <m/>
    <x v="0"/>
  </r>
  <r>
    <d v="2019-03-22T00:00:00"/>
    <d v="2019-03-22T10:17:50"/>
    <x v="52"/>
    <n v="4"/>
    <x v="0"/>
    <s v="Vegetation - Herbaceous"/>
    <m/>
    <m/>
    <m/>
    <m/>
    <x v="0"/>
  </r>
  <r>
    <d v="2019-03-22T00:00:00"/>
    <d v="2019-03-22T08:30:07"/>
    <x v="52"/>
    <n v="2"/>
    <x v="0"/>
    <s v="Vegetation - Tree"/>
    <m/>
    <m/>
    <m/>
    <m/>
    <x v="1"/>
  </r>
  <r>
    <d v="2019-03-22T00:00:00"/>
    <d v="2019-03-22T09:50:41"/>
    <x v="52"/>
    <n v="1"/>
    <x v="0"/>
    <s v="Vegetation - Shrub"/>
    <m/>
    <m/>
    <m/>
    <m/>
    <x v="1"/>
  </r>
  <r>
    <d v="2019-03-22T00:00:00"/>
    <d v="2019-03-22T09:52:44"/>
    <x v="52"/>
    <n v="3"/>
    <x v="0"/>
    <s v="Vegetation - Shrub"/>
    <m/>
    <m/>
    <m/>
    <m/>
    <x v="1"/>
  </r>
  <r>
    <d v="2019-03-22T00:00:00"/>
    <d v="2019-03-22T09:57:15"/>
    <x v="52"/>
    <n v="3"/>
    <x v="0"/>
    <s v="Bare ground"/>
    <m/>
    <m/>
    <m/>
    <m/>
    <x v="1"/>
  </r>
  <r>
    <d v="2019-03-22T00:00:00"/>
    <d v="2019-03-22T09:58:35"/>
    <x v="52"/>
    <n v="5"/>
    <x v="0"/>
    <s v="Bare ground"/>
    <m/>
    <m/>
    <m/>
    <m/>
    <x v="1"/>
  </r>
  <r>
    <d v="2019-03-22T00:00:00"/>
    <d v="2019-03-22T09:04:09"/>
    <x v="53"/>
    <n v="5"/>
    <x v="0"/>
    <s v="Vegetation - Tree"/>
    <m/>
    <m/>
    <m/>
    <m/>
    <x v="0"/>
  </r>
  <r>
    <d v="2019-03-22T00:00:00"/>
    <d v="2019-03-22T09:56:13"/>
    <x v="53"/>
    <n v="5"/>
    <x v="0"/>
    <s v="Vegetation - Tree"/>
    <m/>
    <m/>
    <m/>
    <m/>
    <x v="0"/>
  </r>
  <r>
    <d v="2019-03-22T00:00:00"/>
    <d v="2019-03-22T08:48:55"/>
    <x v="53"/>
    <n v="2"/>
    <x v="0"/>
    <s v="Vegetation - Tree"/>
    <m/>
    <m/>
    <m/>
    <m/>
    <x v="1"/>
  </r>
  <r>
    <d v="2019-03-22T00:00:00"/>
    <d v="2019-03-22T08:52:19"/>
    <x v="53"/>
    <n v="2"/>
    <x v="0"/>
    <s v="Vegetation - Shrub"/>
    <m/>
    <m/>
    <m/>
    <m/>
    <x v="1"/>
  </r>
  <r>
    <d v="2019-03-22T00:00:00"/>
    <d v="2019-03-22T09:14:57"/>
    <x v="53"/>
    <n v="1"/>
    <x v="0"/>
    <s v="Vegetation - Tree"/>
    <m/>
    <m/>
    <m/>
    <m/>
    <x v="1"/>
  </r>
  <r>
    <d v="2019-03-22T00:00:00"/>
    <d v="2019-03-22T09:20:39"/>
    <x v="53"/>
    <n v="1"/>
    <x v="0"/>
    <s v="Vegetation - Tree"/>
    <m/>
    <m/>
    <m/>
    <m/>
    <x v="1"/>
  </r>
  <r>
    <d v="2019-03-22T00:00:00"/>
    <d v="2019-03-22T09:23:03"/>
    <x v="53"/>
    <n v="1"/>
    <x v="0"/>
    <s v="Vegetation - Shrub"/>
    <m/>
    <m/>
    <m/>
    <m/>
    <x v="1"/>
  </r>
  <r>
    <d v="2019-03-22T00:00:00"/>
    <m/>
    <x v="5"/>
    <n v="1"/>
    <x v="0"/>
    <m/>
    <m/>
    <m/>
    <s v="Observation added after post-survey review. No spatial data."/>
    <m/>
    <x v="1"/>
  </r>
  <r>
    <d v="2019-03-22T00:00:00"/>
    <m/>
    <x v="6"/>
    <n v="1"/>
    <x v="0"/>
    <m/>
    <m/>
    <m/>
    <s v="Observation added after post-survey review. No spatial data."/>
    <m/>
    <x v="1"/>
  </r>
  <r>
    <d v="2019-03-22T00:00:00"/>
    <m/>
    <x v="48"/>
    <n v="2"/>
    <x v="0"/>
    <m/>
    <m/>
    <m/>
    <s v="Observation added after post-survey review. No spatial data."/>
    <m/>
    <x v="1"/>
  </r>
  <r>
    <d v="2019-03-22T00:00:00"/>
    <m/>
    <x v="38"/>
    <n v="4"/>
    <x v="0"/>
    <m/>
    <m/>
    <m/>
    <s v="Observation added after post-survey review. No spatial data.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0" firstHeaderRow="1" firstDataRow="3" firstDataCol="1"/>
  <pivotFields count="11">
    <pivotField numFmtId="14" showAll="0"/>
    <pivotField numFmtId="165"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2">
    <field x="4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3" baseField="0" baseItem="0"/>
  </dataFields>
  <formats count="19">
    <format dxfId="18">
      <pivotArea outline="0" collapsedLevelsAreSubtotals="1" fieldPosition="0">
        <references count="1">
          <reference field="4" count="0" selected="0" defaultSubtotal="1"/>
        </references>
      </pivotArea>
    </format>
    <format dxfId="17">
      <pivotArea field="4" type="button" dataOnly="0" labelOnly="1" outline="0" axis="axisCol" fieldPosition="0"/>
    </format>
    <format dxfId="16">
      <pivotArea field="10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fieldPosition="0">
        <references count="1">
          <reference field="4" count="0" defaultSubtotal="1"/>
        </references>
      </pivotArea>
    </format>
    <format dxfId="12">
      <pivotArea dataOnly="0" labelOnly="1" fieldPosition="0">
        <references count="2">
          <reference field="4" count="1" selected="0">
            <x v="0"/>
          </reference>
          <reference field="10" count="0"/>
        </references>
      </pivotArea>
    </format>
    <format dxfId="11">
      <pivotArea dataOnly="0" labelOnly="1" fieldPosition="0">
        <references count="2">
          <reference field="4" count="1" selected="0">
            <x v="1"/>
          </reference>
          <reference field="10" count="0"/>
        </references>
      </pivotArea>
    </format>
    <format dxfId="10">
      <pivotArea outline="0" collapsedLevelsAreSubtotals="1" fieldPosition="0">
        <references count="1">
          <reference field="4" count="1" selected="0" defaultSubtotal="1">
            <x v="1"/>
          </reference>
        </references>
      </pivotArea>
    </format>
    <format dxfId="9">
      <pivotArea type="topRight" dataOnly="0" labelOnly="1" outline="0" offset="B1:D1" fieldPosition="0"/>
    </format>
    <format dxfId="8">
      <pivotArea dataOnly="0" labelOnly="1" fieldPosition="0">
        <references count="1">
          <reference field="4" count="1">
            <x v="1"/>
          </reference>
        </references>
      </pivotArea>
    </format>
    <format dxfId="7">
      <pivotArea dataOnly="0" labelOnly="1" fieldPosition="0">
        <references count="1">
          <reference field="4" count="1" defaultSubtotal="1">
            <x v="1"/>
          </reference>
        </references>
      </pivotArea>
    </format>
    <format dxfId="6">
      <pivotArea dataOnly="0" labelOnly="1" fieldPosition="0">
        <references count="2">
          <reference field="4" count="1" selected="0">
            <x v="1"/>
          </reference>
          <reference field="10" count="0"/>
        </references>
      </pivotArea>
    </format>
    <format dxfId="5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4" count="1" defaultSubtotal="1">
            <x v="0"/>
          </reference>
        </references>
      </pivotArea>
    </format>
    <format dxfId="2">
      <pivotArea collapsedLevelsAreSubtotals="1" fieldPosition="0">
        <references count="2">
          <reference field="2" count="0"/>
          <reference field="4" count="0" selected="0" defaultSubtotal="1"/>
        </references>
      </pivotArea>
    </format>
    <format dxfId="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2" count="4">
            <x v="50"/>
            <x v="51"/>
            <x v="52"/>
            <x v="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G12" sqref="G12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34.140625" bestFit="1" customWidth="1"/>
    <col min="6" max="6" width="18.140625" bestFit="1" customWidth="1"/>
    <col min="7" max="7" width="23.85546875" bestFit="1" customWidth="1"/>
    <col min="8" max="8" width="22.42578125" bestFit="1" customWidth="1"/>
    <col min="9" max="9" width="21.7109375" bestFit="1" customWidth="1"/>
  </cols>
  <sheetData>
    <row r="1" spans="1:18" ht="16.5" thickBot="1" x14ac:dyDescent="0.3">
      <c r="A1" s="1" t="s">
        <v>282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</row>
    <row r="2" spans="1:18" x14ac:dyDescent="0.25">
      <c r="A2" s="3">
        <v>43546</v>
      </c>
      <c r="B2">
        <v>6</v>
      </c>
      <c r="C2" t="s">
        <v>284</v>
      </c>
      <c r="D2" s="5">
        <v>0.3298611111111111</v>
      </c>
      <c r="E2" s="5">
        <v>0.44791666666666669</v>
      </c>
      <c r="F2">
        <v>50</v>
      </c>
      <c r="G2">
        <v>10</v>
      </c>
      <c r="H2" t="s">
        <v>155</v>
      </c>
      <c r="I2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3"/>
  <sheetViews>
    <sheetView tabSelected="1" topLeftCell="A135" workbookViewId="0">
      <selection activeCell="B173" sqref="B173"/>
    </sheetView>
  </sheetViews>
  <sheetFormatPr defaultRowHeight="15" x14ac:dyDescent="0.25"/>
  <cols>
    <col min="2" max="2" width="10.28515625" bestFit="1" customWidth="1"/>
    <col min="4" max="4" width="31" bestFit="1" customWidth="1"/>
    <col min="10" max="10" width="36.5703125" bestFit="1" customWidth="1"/>
    <col min="12" max="12" width="20.140625" bestFit="1" customWidth="1"/>
    <col min="29" max="29" width="18.28515625" bestFit="1" customWidth="1"/>
    <col min="31" max="31" width="18.28515625" bestFit="1" customWidth="1"/>
  </cols>
  <sheetData>
    <row r="1" spans="1:32" ht="15.75" x14ac:dyDescent="0.25">
      <c r="A1" s="1" t="s">
        <v>0</v>
      </c>
      <c r="B1" s="1" t="s">
        <v>282</v>
      </c>
      <c r="C1" s="1" t="s">
        <v>283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52</v>
      </c>
      <c r="B2" s="3">
        <v>43546</v>
      </c>
      <c r="C2" s="4">
        <f>AE2-(7/24)</f>
        <v>43546.419942129629</v>
      </c>
      <c r="D2" t="s">
        <v>124</v>
      </c>
      <c r="E2">
        <v>10</v>
      </c>
      <c r="F2" t="s">
        <v>31</v>
      </c>
      <c r="G2" t="s">
        <v>125</v>
      </c>
      <c r="L2" t="s">
        <v>33</v>
      </c>
      <c r="AB2" t="s">
        <v>126</v>
      </c>
      <c r="AC2" s="2">
        <v>43546.711608796293</v>
      </c>
      <c r="AD2" t="s">
        <v>35</v>
      </c>
      <c r="AE2" s="2">
        <v>43546.711608796293</v>
      </c>
      <c r="AF2" t="s">
        <v>35</v>
      </c>
    </row>
    <row r="3" spans="1:32" x14ac:dyDescent="0.25">
      <c r="A3">
        <v>63</v>
      </c>
      <c r="B3" s="3">
        <v>43546</v>
      </c>
      <c r="C3" s="4">
        <f>AE3-(7/24)</f>
        <v>43546.427129629643</v>
      </c>
      <c r="D3" t="s">
        <v>124</v>
      </c>
      <c r="E3">
        <v>30</v>
      </c>
      <c r="F3" t="s">
        <v>31</v>
      </c>
      <c r="G3" t="s">
        <v>125</v>
      </c>
      <c r="L3" t="s">
        <v>33</v>
      </c>
      <c r="AB3" t="s">
        <v>141</v>
      </c>
      <c r="AC3" s="2">
        <v>43546.718796296307</v>
      </c>
      <c r="AD3" t="s">
        <v>35</v>
      </c>
      <c r="AE3" s="2">
        <v>43546.718796296307</v>
      </c>
      <c r="AF3" t="s">
        <v>35</v>
      </c>
    </row>
    <row r="4" spans="1:32" x14ac:dyDescent="0.25">
      <c r="A4">
        <v>73</v>
      </c>
      <c r="B4" s="3">
        <v>43546</v>
      </c>
      <c r="C4" s="4">
        <f>AE4-(7/24)</f>
        <v>43546.337071759262</v>
      </c>
      <c r="D4" t="s">
        <v>124</v>
      </c>
      <c r="E4">
        <v>1</v>
      </c>
      <c r="F4" t="s">
        <v>31</v>
      </c>
      <c r="G4" t="s">
        <v>125</v>
      </c>
      <c r="L4" t="s">
        <v>153</v>
      </c>
      <c r="AB4" t="s">
        <v>163</v>
      </c>
      <c r="AC4" s="2">
        <v>43546.628738425927</v>
      </c>
      <c r="AD4" t="s">
        <v>158</v>
      </c>
      <c r="AE4" s="2">
        <v>43546.628738425927</v>
      </c>
      <c r="AF4" t="s">
        <v>158</v>
      </c>
    </row>
    <row r="5" spans="1:32" x14ac:dyDescent="0.25">
      <c r="A5">
        <v>107</v>
      </c>
      <c r="B5" s="3">
        <v>43546</v>
      </c>
      <c r="C5" s="4">
        <f>AE5-(7/24)</f>
        <v>43546.363935185189</v>
      </c>
      <c r="D5" t="s">
        <v>124</v>
      </c>
      <c r="E5">
        <v>2</v>
      </c>
      <c r="F5" t="s">
        <v>31</v>
      </c>
      <c r="G5" t="s">
        <v>125</v>
      </c>
      <c r="L5" t="s">
        <v>153</v>
      </c>
      <c r="AB5" t="s">
        <v>207</v>
      </c>
      <c r="AC5" s="2">
        <v>43546.655601851853</v>
      </c>
      <c r="AD5" t="s">
        <v>158</v>
      </c>
      <c r="AE5" s="2">
        <v>43546.655601851853</v>
      </c>
      <c r="AF5" t="s">
        <v>158</v>
      </c>
    </row>
    <row r="6" spans="1:32" x14ac:dyDescent="0.25">
      <c r="A6">
        <v>115</v>
      </c>
      <c r="B6" s="3">
        <v>43546</v>
      </c>
      <c r="C6" s="4">
        <f>AE6-(7/24)</f>
        <v>43546.371377314819</v>
      </c>
      <c r="D6" t="s">
        <v>124</v>
      </c>
      <c r="E6">
        <v>3</v>
      </c>
      <c r="F6" t="s">
        <v>31</v>
      </c>
      <c r="G6" t="s">
        <v>171</v>
      </c>
      <c r="L6" t="s">
        <v>153</v>
      </c>
      <c r="AB6" t="s">
        <v>215</v>
      </c>
      <c r="AC6" s="2">
        <v>43546.663043981483</v>
      </c>
      <c r="AD6" t="s">
        <v>158</v>
      </c>
      <c r="AE6" s="2">
        <v>43546.663043981483</v>
      </c>
      <c r="AF6" t="s">
        <v>158</v>
      </c>
    </row>
    <row r="7" spans="1:32" x14ac:dyDescent="0.25">
      <c r="A7">
        <v>120</v>
      </c>
      <c r="B7" s="3">
        <v>43546</v>
      </c>
      <c r="C7" s="4">
        <f>AE7-(7/24)</f>
        <v>43546.377303240733</v>
      </c>
      <c r="D7" t="s">
        <v>124</v>
      </c>
      <c r="E7">
        <v>3</v>
      </c>
      <c r="F7" t="s">
        <v>31</v>
      </c>
      <c r="G7" t="s">
        <v>125</v>
      </c>
      <c r="L7" t="s">
        <v>153</v>
      </c>
      <c r="AB7" t="s">
        <v>220</v>
      </c>
      <c r="AC7" s="2">
        <v>43546.668969907398</v>
      </c>
      <c r="AD7" t="s">
        <v>158</v>
      </c>
      <c r="AE7" s="2">
        <v>43546.668969907398</v>
      </c>
      <c r="AF7" t="s">
        <v>158</v>
      </c>
    </row>
    <row r="8" spans="1:32" x14ac:dyDescent="0.25">
      <c r="A8">
        <v>126</v>
      </c>
      <c r="B8" s="3">
        <v>43546</v>
      </c>
      <c r="C8" s="4">
        <f>AE8-(7/24)</f>
        <v>43546.381064814814</v>
      </c>
      <c r="D8" t="s">
        <v>124</v>
      </c>
      <c r="E8">
        <v>6</v>
      </c>
      <c r="F8" t="s">
        <v>31</v>
      </c>
      <c r="G8" t="s">
        <v>125</v>
      </c>
      <c r="L8" t="s">
        <v>153</v>
      </c>
      <c r="AB8" t="s">
        <v>227</v>
      </c>
      <c r="AC8" s="2">
        <v>43546.672731481478</v>
      </c>
      <c r="AD8" t="s">
        <v>158</v>
      </c>
      <c r="AE8" s="2">
        <v>43546.672731481478</v>
      </c>
      <c r="AF8" t="s">
        <v>158</v>
      </c>
    </row>
    <row r="9" spans="1:32" x14ac:dyDescent="0.25">
      <c r="A9">
        <v>140</v>
      </c>
      <c r="B9" s="3">
        <v>43546</v>
      </c>
      <c r="C9" s="4">
        <f>AE9-(7/24)</f>
        <v>43546.401041666679</v>
      </c>
      <c r="D9" t="s">
        <v>124</v>
      </c>
      <c r="E9">
        <v>2</v>
      </c>
      <c r="F9" t="s">
        <v>31</v>
      </c>
      <c r="G9" t="s">
        <v>125</v>
      </c>
      <c r="L9" t="s">
        <v>153</v>
      </c>
      <c r="AB9" t="s">
        <v>242</v>
      </c>
      <c r="AC9" s="2">
        <v>43546.692708333343</v>
      </c>
      <c r="AD9" t="s">
        <v>158</v>
      </c>
      <c r="AE9" s="2">
        <v>43546.692708333343</v>
      </c>
      <c r="AF9" t="s">
        <v>158</v>
      </c>
    </row>
    <row r="10" spans="1:32" x14ac:dyDescent="0.25">
      <c r="A10">
        <v>4</v>
      </c>
      <c r="B10" s="3">
        <v>43546</v>
      </c>
      <c r="C10" s="4">
        <f>AE10-(7/24)</f>
        <v>43546.346539351856</v>
      </c>
      <c r="D10" t="s">
        <v>42</v>
      </c>
      <c r="E10">
        <v>3</v>
      </c>
      <c r="F10" t="s">
        <v>31</v>
      </c>
      <c r="G10" t="s">
        <v>40</v>
      </c>
      <c r="L10" t="s">
        <v>33</v>
      </c>
      <c r="AB10" t="s">
        <v>43</v>
      </c>
      <c r="AC10" s="2">
        <v>43546.638206018521</v>
      </c>
      <c r="AD10" t="s">
        <v>35</v>
      </c>
      <c r="AE10" s="2">
        <v>43546.638206018521</v>
      </c>
      <c r="AF10" t="s">
        <v>35</v>
      </c>
    </row>
    <row r="11" spans="1:32" x14ac:dyDescent="0.25">
      <c r="A11">
        <v>30</v>
      </c>
      <c r="B11" s="3">
        <v>43546</v>
      </c>
      <c r="C11" s="4">
        <f>AE11-(7/24)</f>
        <v>43546.394375000003</v>
      </c>
      <c r="D11" t="s">
        <v>42</v>
      </c>
      <c r="E11">
        <v>1</v>
      </c>
      <c r="F11" t="s">
        <v>31</v>
      </c>
      <c r="G11" t="s">
        <v>91</v>
      </c>
      <c r="L11" t="s">
        <v>33</v>
      </c>
      <c r="AB11" t="s">
        <v>92</v>
      </c>
      <c r="AC11" s="2">
        <v>43546.686041666668</v>
      </c>
      <c r="AD11" t="s">
        <v>35</v>
      </c>
      <c r="AE11" s="2">
        <v>43546.686041666668</v>
      </c>
      <c r="AF11" t="s">
        <v>35</v>
      </c>
    </row>
    <row r="12" spans="1:32" x14ac:dyDescent="0.25">
      <c r="A12">
        <v>83</v>
      </c>
      <c r="B12" s="3">
        <v>43546</v>
      </c>
      <c r="C12" s="4">
        <f>AE12-(7/24)</f>
        <v>43546.347210648142</v>
      </c>
      <c r="D12" t="s">
        <v>42</v>
      </c>
      <c r="E12">
        <v>3</v>
      </c>
      <c r="F12" t="s">
        <v>31</v>
      </c>
      <c r="G12" t="s">
        <v>40</v>
      </c>
      <c r="L12" t="s">
        <v>153</v>
      </c>
      <c r="AB12" t="s">
        <v>178</v>
      </c>
      <c r="AC12" s="2">
        <v>43546.638877314806</v>
      </c>
      <c r="AD12" t="s">
        <v>158</v>
      </c>
      <c r="AE12" s="2">
        <v>43546.638877314806</v>
      </c>
      <c r="AF12" t="s">
        <v>158</v>
      </c>
    </row>
    <row r="13" spans="1:32" x14ac:dyDescent="0.25">
      <c r="A13">
        <v>109</v>
      </c>
      <c r="B13" s="3">
        <v>43546</v>
      </c>
      <c r="C13" s="4">
        <f>AE13-(7/24)</f>
        <v>43546.364699074074</v>
      </c>
      <c r="D13" t="s">
        <v>42</v>
      </c>
      <c r="E13">
        <v>2</v>
      </c>
      <c r="F13" t="s">
        <v>31</v>
      </c>
      <c r="G13" t="s">
        <v>40</v>
      </c>
      <c r="L13" t="s">
        <v>153</v>
      </c>
      <c r="AB13" t="s">
        <v>209</v>
      </c>
      <c r="AC13" s="2">
        <v>43546.656365740739</v>
      </c>
      <c r="AD13" t="s">
        <v>158</v>
      </c>
      <c r="AE13" s="2">
        <v>43546.656365740739</v>
      </c>
      <c r="AF13" t="s">
        <v>158</v>
      </c>
    </row>
    <row r="14" spans="1:32" x14ac:dyDescent="0.25">
      <c r="A14">
        <v>114</v>
      </c>
      <c r="B14" s="3">
        <v>43546</v>
      </c>
      <c r="C14" s="4">
        <f>AE14-(7/24)</f>
        <v>43546.370659722226</v>
      </c>
      <c r="D14" t="s">
        <v>42</v>
      </c>
      <c r="E14">
        <v>1</v>
      </c>
      <c r="F14" t="s">
        <v>31</v>
      </c>
      <c r="G14" t="s">
        <v>40</v>
      </c>
      <c r="L14" t="s">
        <v>153</v>
      </c>
      <c r="AB14" t="s">
        <v>214</v>
      </c>
      <c r="AC14" s="2">
        <v>43546.662326388891</v>
      </c>
      <c r="AD14" t="s">
        <v>158</v>
      </c>
      <c r="AE14" s="2">
        <v>43546.662326388891</v>
      </c>
      <c r="AF14" t="s">
        <v>158</v>
      </c>
    </row>
    <row r="15" spans="1:32" x14ac:dyDescent="0.25">
      <c r="A15">
        <v>124</v>
      </c>
      <c r="B15" s="3">
        <v>43546</v>
      </c>
      <c r="C15" s="4">
        <f>AE15-(7/24)</f>
        <v>43546.380613425928</v>
      </c>
      <c r="D15" t="s">
        <v>42</v>
      </c>
      <c r="E15">
        <v>1</v>
      </c>
      <c r="F15" t="s">
        <v>31</v>
      </c>
      <c r="G15" t="s">
        <v>47</v>
      </c>
      <c r="L15" t="s">
        <v>153</v>
      </c>
      <c r="AB15" t="s">
        <v>224</v>
      </c>
      <c r="AC15" s="2">
        <v>43546.672280092593</v>
      </c>
      <c r="AD15" t="s">
        <v>158</v>
      </c>
      <c r="AE15" s="2">
        <v>43546.672280092593</v>
      </c>
      <c r="AF15" t="s">
        <v>158</v>
      </c>
    </row>
    <row r="16" spans="1:32" x14ac:dyDescent="0.25">
      <c r="A16">
        <v>139</v>
      </c>
      <c r="B16" s="3">
        <v>43546</v>
      </c>
      <c r="C16" s="4">
        <f>AE16-(7/24)</f>
        <v>43546.399814814817</v>
      </c>
      <c r="D16" t="s">
        <v>42</v>
      </c>
      <c r="E16">
        <v>1</v>
      </c>
      <c r="F16" t="s">
        <v>31</v>
      </c>
      <c r="G16" t="s">
        <v>47</v>
      </c>
      <c r="L16" t="s">
        <v>153</v>
      </c>
      <c r="AB16" t="s">
        <v>241</v>
      </c>
      <c r="AC16" s="2">
        <v>43546.691481481481</v>
      </c>
      <c r="AD16" t="s">
        <v>158</v>
      </c>
      <c r="AE16" s="2">
        <v>43546.691481481481</v>
      </c>
      <c r="AF16" t="s">
        <v>158</v>
      </c>
    </row>
    <row r="17" spans="1:32" x14ac:dyDescent="0.25">
      <c r="A17">
        <v>141</v>
      </c>
      <c r="B17" s="3">
        <v>43546</v>
      </c>
      <c r="C17" s="4">
        <f>AE17-(7/24)</f>
        <v>43546.401493055557</v>
      </c>
      <c r="D17" t="s">
        <v>42</v>
      </c>
      <c r="E17">
        <v>2</v>
      </c>
      <c r="F17" t="s">
        <v>31</v>
      </c>
      <c r="G17" t="s">
        <v>47</v>
      </c>
      <c r="L17" t="s">
        <v>153</v>
      </c>
      <c r="AB17" t="s">
        <v>243</v>
      </c>
      <c r="AC17" s="2">
        <v>43546.693159722221</v>
      </c>
      <c r="AD17" t="s">
        <v>158</v>
      </c>
      <c r="AE17" s="2">
        <v>43546.693159722221</v>
      </c>
      <c r="AF17" t="s">
        <v>158</v>
      </c>
    </row>
    <row r="18" spans="1:32" x14ac:dyDescent="0.25">
      <c r="A18">
        <v>145</v>
      </c>
      <c r="B18" s="3">
        <v>43546</v>
      </c>
      <c r="C18" s="4">
        <f>AE18-(7/24)</f>
        <v>43546.409699074087</v>
      </c>
      <c r="D18" t="s">
        <v>42</v>
      </c>
      <c r="E18">
        <v>1</v>
      </c>
      <c r="F18" t="s">
        <v>31</v>
      </c>
      <c r="G18" t="s">
        <v>47</v>
      </c>
      <c r="L18" t="s">
        <v>153</v>
      </c>
      <c r="AB18" t="s">
        <v>248</v>
      </c>
      <c r="AC18" s="2">
        <v>43546.701365740751</v>
      </c>
      <c r="AD18" t="s">
        <v>158</v>
      </c>
      <c r="AE18" s="2">
        <v>43546.701365740751</v>
      </c>
      <c r="AF18" t="s">
        <v>158</v>
      </c>
    </row>
    <row r="19" spans="1:32" x14ac:dyDescent="0.25">
      <c r="A19">
        <v>7</v>
      </c>
      <c r="B19" s="3">
        <v>43546</v>
      </c>
      <c r="C19" s="4">
        <f>AE19-(7/24)</f>
        <v>43546.358182870375</v>
      </c>
      <c r="D19" t="s">
        <v>51</v>
      </c>
      <c r="E19">
        <v>30</v>
      </c>
      <c r="F19" t="s">
        <v>31</v>
      </c>
      <c r="G19" t="s">
        <v>52</v>
      </c>
      <c r="L19" t="s">
        <v>33</v>
      </c>
      <c r="AB19" t="s">
        <v>53</v>
      </c>
      <c r="AC19" s="2">
        <v>43546.64984953704</v>
      </c>
      <c r="AD19" t="s">
        <v>35</v>
      </c>
      <c r="AE19" s="2">
        <v>43546.64984953704</v>
      </c>
      <c r="AF19" t="s">
        <v>35</v>
      </c>
    </row>
    <row r="20" spans="1:32" x14ac:dyDescent="0.25">
      <c r="A20">
        <v>53</v>
      </c>
      <c r="B20" s="3">
        <v>43546</v>
      </c>
      <c r="C20" s="4">
        <f>AE20-(7/24)</f>
        <v>43546.420347222229</v>
      </c>
      <c r="D20" t="s">
        <v>51</v>
      </c>
      <c r="E20">
        <v>1</v>
      </c>
      <c r="F20" t="s">
        <v>31</v>
      </c>
      <c r="G20" t="s">
        <v>47</v>
      </c>
      <c r="L20" t="s">
        <v>33</v>
      </c>
      <c r="AB20" t="s">
        <v>127</v>
      </c>
      <c r="AC20" s="2">
        <v>43546.712013888893</v>
      </c>
      <c r="AD20" t="s">
        <v>35</v>
      </c>
      <c r="AE20" s="2">
        <v>43546.712013888893</v>
      </c>
      <c r="AF20" t="s">
        <v>35</v>
      </c>
    </row>
    <row r="21" spans="1:32" x14ac:dyDescent="0.25">
      <c r="A21">
        <v>3</v>
      </c>
      <c r="B21" s="3">
        <v>43546</v>
      </c>
      <c r="C21" s="4">
        <f>AE21-(7/24)</f>
        <v>43546.345891203717</v>
      </c>
      <c r="D21" t="s">
        <v>39</v>
      </c>
      <c r="E21">
        <v>1</v>
      </c>
      <c r="F21" t="s">
        <v>31</v>
      </c>
      <c r="G21" t="s">
        <v>40</v>
      </c>
      <c r="L21" t="s">
        <v>33</v>
      </c>
      <c r="AB21" t="s">
        <v>41</v>
      </c>
      <c r="AC21" s="2">
        <v>43546.637557870381</v>
      </c>
      <c r="AD21" t="s">
        <v>35</v>
      </c>
      <c r="AE21" s="2">
        <v>43546.637557870381</v>
      </c>
      <c r="AF21" t="s">
        <v>35</v>
      </c>
    </row>
    <row r="22" spans="1:32" x14ac:dyDescent="0.25">
      <c r="A22">
        <v>14</v>
      </c>
      <c r="B22" s="3">
        <v>43546</v>
      </c>
      <c r="C22" s="4">
        <f>AE22-(7/24)</f>
        <v>43546.377384259264</v>
      </c>
      <c r="D22" t="s">
        <v>39</v>
      </c>
      <c r="E22">
        <v>1</v>
      </c>
      <c r="F22" t="s">
        <v>31</v>
      </c>
      <c r="G22" t="s">
        <v>40</v>
      </c>
      <c r="L22" t="s">
        <v>33</v>
      </c>
      <c r="AB22" t="s">
        <v>63</v>
      </c>
      <c r="AC22" s="2">
        <v>43546.669050925928</v>
      </c>
      <c r="AD22" t="s">
        <v>35</v>
      </c>
      <c r="AE22" s="2">
        <v>43546.669050925928</v>
      </c>
      <c r="AF22" t="s">
        <v>35</v>
      </c>
    </row>
    <row r="23" spans="1:32" x14ac:dyDescent="0.25">
      <c r="A23">
        <v>32</v>
      </c>
      <c r="B23" s="3">
        <v>43546</v>
      </c>
      <c r="C23" s="4">
        <f>AE23-(7/24)</f>
        <v>43546.397418981483</v>
      </c>
      <c r="D23" t="s">
        <v>39</v>
      </c>
      <c r="E23">
        <v>1</v>
      </c>
      <c r="F23" t="s">
        <v>31</v>
      </c>
      <c r="G23" t="s">
        <v>40</v>
      </c>
      <c r="L23" t="s">
        <v>33</v>
      </c>
      <c r="AB23" t="s">
        <v>94</v>
      </c>
      <c r="AC23" s="2">
        <v>43546.689085648148</v>
      </c>
      <c r="AD23" t="s">
        <v>35</v>
      </c>
      <c r="AE23" s="2">
        <v>43546.689085648148</v>
      </c>
      <c r="AF23" t="s">
        <v>35</v>
      </c>
    </row>
    <row r="24" spans="1:32" x14ac:dyDescent="0.25">
      <c r="A24">
        <v>59</v>
      </c>
      <c r="B24" s="3">
        <v>43546</v>
      </c>
      <c r="C24" s="4">
        <f>AE24-(7/24)</f>
        <v>43546.424027777779</v>
      </c>
      <c r="D24" t="s">
        <v>39</v>
      </c>
      <c r="E24">
        <v>1</v>
      </c>
      <c r="F24" t="s">
        <v>31</v>
      </c>
      <c r="G24" t="s">
        <v>70</v>
      </c>
      <c r="L24" t="s">
        <v>33</v>
      </c>
      <c r="AB24" t="s">
        <v>137</v>
      </c>
      <c r="AC24" s="2">
        <v>43546.715694444443</v>
      </c>
      <c r="AD24" t="s">
        <v>35</v>
      </c>
      <c r="AE24" s="2">
        <v>43546.715694444443</v>
      </c>
      <c r="AF24" t="s">
        <v>35</v>
      </c>
    </row>
    <row r="25" spans="1:32" x14ac:dyDescent="0.25">
      <c r="A25">
        <v>86</v>
      </c>
      <c r="B25" s="3">
        <v>43546</v>
      </c>
      <c r="C25" s="4">
        <f>AE25-(7/24)</f>
        <v>43546.352719907409</v>
      </c>
      <c r="D25" t="s">
        <v>39</v>
      </c>
      <c r="E25">
        <v>1</v>
      </c>
      <c r="F25" t="s">
        <v>31</v>
      </c>
      <c r="G25" t="s">
        <v>40</v>
      </c>
      <c r="L25" t="s">
        <v>153</v>
      </c>
      <c r="AB25" t="s">
        <v>181</v>
      </c>
      <c r="AC25" s="2">
        <v>43546.644386574073</v>
      </c>
      <c r="AD25" t="s">
        <v>158</v>
      </c>
      <c r="AE25" s="2">
        <v>43546.644386574073</v>
      </c>
      <c r="AF25" t="s">
        <v>158</v>
      </c>
    </row>
    <row r="26" spans="1:32" x14ac:dyDescent="0.25">
      <c r="A26">
        <v>88</v>
      </c>
      <c r="B26" s="3">
        <v>43546</v>
      </c>
      <c r="C26" s="4">
        <f>AE26-(7/24)</f>
        <v>43546.354502314818</v>
      </c>
      <c r="D26" t="s">
        <v>39</v>
      </c>
      <c r="E26">
        <v>1</v>
      </c>
      <c r="F26" t="s">
        <v>31</v>
      </c>
      <c r="G26" t="s">
        <v>70</v>
      </c>
      <c r="L26" t="s">
        <v>153</v>
      </c>
      <c r="AB26" t="s">
        <v>183</v>
      </c>
      <c r="AC26" s="2">
        <v>43546.646168981482</v>
      </c>
      <c r="AD26" t="s">
        <v>158</v>
      </c>
      <c r="AE26" s="2">
        <v>43546.646168981482</v>
      </c>
      <c r="AF26" t="s">
        <v>158</v>
      </c>
    </row>
    <row r="27" spans="1:32" x14ac:dyDescent="0.25">
      <c r="A27">
        <v>131</v>
      </c>
      <c r="B27" s="3">
        <v>43546</v>
      </c>
      <c r="C27" s="4">
        <f>AE27-(7/24)</f>
        <v>43546.388807870375</v>
      </c>
      <c r="D27" t="s">
        <v>39</v>
      </c>
      <c r="E27">
        <v>2</v>
      </c>
      <c r="F27" t="s">
        <v>31</v>
      </c>
      <c r="G27" t="s">
        <v>32</v>
      </c>
      <c r="L27" t="s">
        <v>153</v>
      </c>
      <c r="AB27" t="s">
        <v>232</v>
      </c>
      <c r="AC27" s="2">
        <v>43546.680474537039</v>
      </c>
      <c r="AD27" t="s">
        <v>158</v>
      </c>
      <c r="AE27" s="2">
        <v>43546.680474537039</v>
      </c>
      <c r="AF27" t="s">
        <v>158</v>
      </c>
    </row>
    <row r="28" spans="1:32" x14ac:dyDescent="0.25">
      <c r="A28">
        <v>17</v>
      </c>
      <c r="B28" s="3">
        <v>43546</v>
      </c>
      <c r="C28" s="4">
        <f>AE28-(7/24)</f>
        <v>43546.381759259253</v>
      </c>
      <c r="D28" t="s">
        <v>68</v>
      </c>
      <c r="E28">
        <v>2</v>
      </c>
      <c r="F28" t="s">
        <v>31</v>
      </c>
      <c r="L28" t="s">
        <v>33</v>
      </c>
      <c r="AB28" t="s">
        <v>69</v>
      </c>
      <c r="AC28" s="2">
        <v>43546.673425925917</v>
      </c>
      <c r="AD28" t="s">
        <v>35</v>
      </c>
      <c r="AE28" s="2">
        <v>43546.673425925917</v>
      </c>
      <c r="AF28" t="s">
        <v>35</v>
      </c>
    </row>
    <row r="29" spans="1:32" x14ac:dyDescent="0.25">
      <c r="A29">
        <v>5</v>
      </c>
      <c r="B29" s="3">
        <v>43546</v>
      </c>
      <c r="C29" s="4">
        <f>AE29-(7/24)</f>
        <v>43546.349062500005</v>
      </c>
      <c r="D29" t="s">
        <v>44</v>
      </c>
      <c r="E29">
        <v>1</v>
      </c>
      <c r="F29" t="s">
        <v>31</v>
      </c>
      <c r="G29" t="s">
        <v>40</v>
      </c>
      <c r="L29" t="s">
        <v>33</v>
      </c>
      <c r="AB29" t="s">
        <v>45</v>
      </c>
      <c r="AC29" s="2">
        <v>43546.640729166669</v>
      </c>
      <c r="AD29" t="s">
        <v>35</v>
      </c>
      <c r="AE29" s="2">
        <v>43546.640729166669</v>
      </c>
      <c r="AF29" t="s">
        <v>35</v>
      </c>
    </row>
    <row r="30" spans="1:32" x14ac:dyDescent="0.25">
      <c r="A30">
        <v>45</v>
      </c>
      <c r="B30" s="3">
        <v>43546</v>
      </c>
      <c r="C30" s="4">
        <f>AE30-(7/24)</f>
        <v>43546.409328703703</v>
      </c>
      <c r="D30" t="s">
        <v>44</v>
      </c>
      <c r="E30">
        <v>1</v>
      </c>
      <c r="F30" t="s">
        <v>31</v>
      </c>
      <c r="G30" t="s">
        <v>40</v>
      </c>
      <c r="L30" t="s">
        <v>33</v>
      </c>
      <c r="AB30" t="s">
        <v>114</v>
      </c>
      <c r="AC30" s="2">
        <v>43546.700995370367</v>
      </c>
      <c r="AD30" t="s">
        <v>35</v>
      </c>
      <c r="AE30" s="2">
        <v>43546.700995370367</v>
      </c>
      <c r="AF30" t="s">
        <v>35</v>
      </c>
    </row>
    <row r="31" spans="1:32" x14ac:dyDescent="0.25">
      <c r="B31" s="3">
        <v>43546</v>
      </c>
      <c r="D31" t="s">
        <v>44</v>
      </c>
      <c r="E31">
        <v>1</v>
      </c>
      <c r="F31" t="s">
        <v>31</v>
      </c>
      <c r="J31" t="s">
        <v>295</v>
      </c>
      <c r="L31" t="s">
        <v>153</v>
      </c>
    </row>
    <row r="32" spans="1:32" x14ac:dyDescent="0.25">
      <c r="A32">
        <v>43</v>
      </c>
      <c r="B32" s="3">
        <v>43546</v>
      </c>
      <c r="C32" s="4">
        <f>AE32-(7/24)</f>
        <v>43546.407615740733</v>
      </c>
      <c r="D32" t="s">
        <v>110</v>
      </c>
      <c r="E32">
        <v>2</v>
      </c>
      <c r="F32" t="s">
        <v>31</v>
      </c>
      <c r="G32" t="s">
        <v>70</v>
      </c>
      <c r="L32" t="s">
        <v>33</v>
      </c>
      <c r="AB32" t="s">
        <v>111</v>
      </c>
      <c r="AC32" s="2">
        <v>43546.699282407397</v>
      </c>
      <c r="AD32" t="s">
        <v>35</v>
      </c>
      <c r="AE32" s="2">
        <v>43546.699282407397</v>
      </c>
      <c r="AF32" t="s">
        <v>35</v>
      </c>
    </row>
    <row r="33" spans="1:32" x14ac:dyDescent="0.25">
      <c r="A33">
        <v>123</v>
      </c>
      <c r="B33" s="3">
        <v>43546</v>
      </c>
      <c r="C33" s="4">
        <f>AE33-(7/24)</f>
        <v>43546.379895833335</v>
      </c>
      <c r="D33" t="s">
        <v>110</v>
      </c>
      <c r="E33">
        <v>1</v>
      </c>
      <c r="F33" t="s">
        <v>31</v>
      </c>
      <c r="G33" t="s">
        <v>52</v>
      </c>
      <c r="L33" t="s">
        <v>153</v>
      </c>
      <c r="AB33" t="s">
        <v>223</v>
      </c>
      <c r="AC33" s="2">
        <v>43546.6715625</v>
      </c>
      <c r="AD33" t="s">
        <v>158</v>
      </c>
      <c r="AE33" s="2">
        <v>43546.6715625</v>
      </c>
      <c r="AF33" t="s">
        <v>158</v>
      </c>
    </row>
    <row r="34" spans="1:32" x14ac:dyDescent="0.25">
      <c r="A34">
        <v>151</v>
      </c>
      <c r="B34" s="3">
        <v>43546</v>
      </c>
      <c r="C34" s="4">
        <f>AE34-(7/24)</f>
        <v>43546.413668981484</v>
      </c>
      <c r="D34" t="s">
        <v>110</v>
      </c>
      <c r="E34">
        <v>1</v>
      </c>
      <c r="F34" t="s">
        <v>31</v>
      </c>
      <c r="G34" t="s">
        <v>47</v>
      </c>
      <c r="L34" t="s">
        <v>153</v>
      </c>
      <c r="AB34" t="s">
        <v>256</v>
      </c>
      <c r="AC34" s="2">
        <v>43546.705335648148</v>
      </c>
      <c r="AD34" t="s">
        <v>158</v>
      </c>
      <c r="AE34" s="2">
        <v>43546.705335648148</v>
      </c>
      <c r="AF34" t="s">
        <v>158</v>
      </c>
    </row>
    <row r="35" spans="1:32" x14ac:dyDescent="0.25">
      <c r="A35">
        <v>155</v>
      </c>
      <c r="B35" s="3">
        <v>43546</v>
      </c>
      <c r="C35" s="4">
        <f>AE35-(7/24)</f>
        <v>43546.415891203716</v>
      </c>
      <c r="D35" t="s">
        <v>110</v>
      </c>
      <c r="E35">
        <v>1</v>
      </c>
      <c r="F35" t="s">
        <v>31</v>
      </c>
      <c r="G35" t="s">
        <v>47</v>
      </c>
      <c r="L35" t="s">
        <v>153</v>
      </c>
      <c r="AB35" t="s">
        <v>260</v>
      </c>
      <c r="AC35" s="2">
        <v>43546.707557870381</v>
      </c>
      <c r="AD35" t="s">
        <v>158</v>
      </c>
      <c r="AE35" s="2">
        <v>43546.707557870381</v>
      </c>
      <c r="AF35" t="s">
        <v>158</v>
      </c>
    </row>
    <row r="36" spans="1:32" x14ac:dyDescent="0.25">
      <c r="A36">
        <v>159</v>
      </c>
      <c r="B36" s="3">
        <v>43546</v>
      </c>
      <c r="C36" s="4">
        <f>AE36-(7/24)</f>
        <v>43546.420983796299</v>
      </c>
      <c r="D36" t="s">
        <v>110</v>
      </c>
      <c r="E36">
        <v>1</v>
      </c>
      <c r="F36" t="s">
        <v>31</v>
      </c>
      <c r="G36" t="s">
        <v>267</v>
      </c>
      <c r="I36" t="s">
        <v>268</v>
      </c>
      <c r="J36" t="s">
        <v>269</v>
      </c>
      <c r="L36" t="s">
        <v>153</v>
      </c>
      <c r="AB36" t="s">
        <v>270</v>
      </c>
      <c r="AC36" s="2">
        <v>43546.712650462963</v>
      </c>
      <c r="AD36" t="s">
        <v>158</v>
      </c>
      <c r="AE36" s="2">
        <v>43546.712650462963</v>
      </c>
      <c r="AF36" t="s">
        <v>158</v>
      </c>
    </row>
    <row r="37" spans="1:32" x14ac:dyDescent="0.25">
      <c r="A37">
        <v>164</v>
      </c>
      <c r="B37" s="3">
        <v>43546</v>
      </c>
      <c r="C37" s="4">
        <f>AE37-(7/24)</f>
        <v>43546.428530092606</v>
      </c>
      <c r="D37" t="s">
        <v>110</v>
      </c>
      <c r="E37">
        <v>1</v>
      </c>
      <c r="F37" t="s">
        <v>31</v>
      </c>
      <c r="G37" t="s">
        <v>273</v>
      </c>
      <c r="L37" t="s">
        <v>153</v>
      </c>
      <c r="AB37" t="s">
        <v>276</v>
      </c>
      <c r="AC37" s="2">
        <v>43546.72019675927</v>
      </c>
      <c r="AD37" t="s">
        <v>158</v>
      </c>
      <c r="AE37" s="2">
        <v>43546.72019675927</v>
      </c>
      <c r="AF37" t="s">
        <v>158</v>
      </c>
    </row>
    <row r="38" spans="1:32" x14ac:dyDescent="0.25">
      <c r="B38" s="3">
        <v>43546</v>
      </c>
      <c r="D38" t="s">
        <v>110</v>
      </c>
      <c r="E38">
        <v>1</v>
      </c>
      <c r="F38" t="s">
        <v>31</v>
      </c>
      <c r="J38" t="s">
        <v>295</v>
      </c>
      <c r="L38" t="s">
        <v>153</v>
      </c>
    </row>
    <row r="39" spans="1:32" x14ac:dyDescent="0.25">
      <c r="A39">
        <v>69</v>
      </c>
      <c r="B39" s="3">
        <v>43546</v>
      </c>
      <c r="C39" s="4">
        <f>AE39-(7/24)</f>
        <v>43546.332905092597</v>
      </c>
      <c r="D39" t="s">
        <v>151</v>
      </c>
      <c r="E39">
        <v>2</v>
      </c>
      <c r="F39" t="s">
        <v>31</v>
      </c>
      <c r="G39" t="s">
        <v>152</v>
      </c>
      <c r="K39">
        <v>6</v>
      </c>
      <c r="L39" t="s">
        <v>153</v>
      </c>
      <c r="M39" t="s">
        <v>154</v>
      </c>
      <c r="O39">
        <v>50</v>
      </c>
      <c r="P39">
        <v>10</v>
      </c>
      <c r="Q39" t="s">
        <v>155</v>
      </c>
      <c r="R39" t="s">
        <v>156</v>
      </c>
      <c r="AB39" t="s">
        <v>157</v>
      </c>
      <c r="AC39" s="2">
        <v>43546.624571759261</v>
      </c>
      <c r="AD39" t="s">
        <v>158</v>
      </c>
      <c r="AE39" s="2">
        <v>43546.624571759261</v>
      </c>
      <c r="AF39" t="s">
        <v>158</v>
      </c>
    </row>
    <row r="40" spans="1:32" x14ac:dyDescent="0.25">
      <c r="A40">
        <v>108</v>
      </c>
      <c r="B40" s="3">
        <v>43546</v>
      </c>
      <c r="C40" s="4">
        <f>AE40-(7/24)</f>
        <v>43546.364131944458</v>
      </c>
      <c r="D40" t="s">
        <v>151</v>
      </c>
      <c r="E40">
        <v>1</v>
      </c>
      <c r="F40" t="s">
        <v>31</v>
      </c>
      <c r="G40" t="s">
        <v>171</v>
      </c>
      <c r="L40" t="s">
        <v>153</v>
      </c>
      <c r="AB40" t="s">
        <v>208</v>
      </c>
      <c r="AC40" s="2">
        <v>43546.655798611122</v>
      </c>
      <c r="AD40" t="s">
        <v>158</v>
      </c>
      <c r="AE40" s="2">
        <v>43546.655798611122</v>
      </c>
      <c r="AF40" t="s">
        <v>158</v>
      </c>
    </row>
    <row r="41" spans="1:32" x14ac:dyDescent="0.25">
      <c r="A41">
        <v>110</v>
      </c>
      <c r="B41" s="3">
        <v>43546</v>
      </c>
      <c r="C41" s="4">
        <f>AE41-(7/24)</f>
        <v>43546.365462962967</v>
      </c>
      <c r="D41" t="s">
        <v>151</v>
      </c>
      <c r="E41">
        <v>1</v>
      </c>
      <c r="F41" t="s">
        <v>31</v>
      </c>
      <c r="G41" t="s">
        <v>171</v>
      </c>
      <c r="L41" t="s">
        <v>153</v>
      </c>
      <c r="AB41" t="s">
        <v>210</v>
      </c>
      <c r="AC41" s="2">
        <v>43546.657129629632</v>
      </c>
      <c r="AD41" t="s">
        <v>158</v>
      </c>
      <c r="AE41" s="2">
        <v>43546.657129629632</v>
      </c>
      <c r="AF41" t="s">
        <v>158</v>
      </c>
    </row>
    <row r="42" spans="1:32" x14ac:dyDescent="0.25">
      <c r="A42">
        <v>49</v>
      </c>
      <c r="B42" s="3">
        <v>43546</v>
      </c>
      <c r="C42" s="4">
        <f>AE42-(7/24)</f>
        <v>43546.415185185186</v>
      </c>
      <c r="D42" t="s">
        <v>119</v>
      </c>
      <c r="E42">
        <v>2</v>
      </c>
      <c r="F42" t="s">
        <v>31</v>
      </c>
      <c r="G42" t="s">
        <v>70</v>
      </c>
      <c r="L42" t="s">
        <v>33</v>
      </c>
      <c r="AB42" t="s">
        <v>120</v>
      </c>
      <c r="AC42" s="2">
        <v>43546.70685185185</v>
      </c>
      <c r="AD42" t="s">
        <v>35</v>
      </c>
      <c r="AE42" s="2">
        <v>43546.70685185185</v>
      </c>
      <c r="AF42" t="s">
        <v>35</v>
      </c>
    </row>
    <row r="43" spans="1:32" x14ac:dyDescent="0.25">
      <c r="A43">
        <v>160</v>
      </c>
      <c r="B43" s="3">
        <v>43546</v>
      </c>
      <c r="C43" s="4">
        <f>AE43-(7/24)</f>
        <v>43546.424143518518</v>
      </c>
      <c r="D43" t="s">
        <v>119</v>
      </c>
      <c r="E43">
        <v>1</v>
      </c>
      <c r="F43" t="s">
        <v>31</v>
      </c>
      <c r="G43" t="s">
        <v>40</v>
      </c>
      <c r="L43" t="s">
        <v>153</v>
      </c>
      <c r="AB43" t="s">
        <v>271</v>
      </c>
      <c r="AC43" s="2">
        <v>43546.715810185182</v>
      </c>
      <c r="AD43" t="s">
        <v>158</v>
      </c>
      <c r="AE43" s="2">
        <v>43546.715810185182</v>
      </c>
      <c r="AF43" t="s">
        <v>158</v>
      </c>
    </row>
    <row r="44" spans="1:32" x14ac:dyDescent="0.25">
      <c r="A44">
        <v>98</v>
      </c>
      <c r="B44" s="3">
        <v>43546</v>
      </c>
      <c r="C44" s="4">
        <f>AE44-(7/24)</f>
        <v>43546.358541666668</v>
      </c>
      <c r="D44" t="s">
        <v>196</v>
      </c>
      <c r="E44">
        <v>1</v>
      </c>
      <c r="F44" t="s">
        <v>31</v>
      </c>
      <c r="G44" t="s">
        <v>152</v>
      </c>
      <c r="L44" t="s">
        <v>153</v>
      </c>
      <c r="AB44" t="s">
        <v>197</v>
      </c>
      <c r="AC44" s="2">
        <v>43546.650208333333</v>
      </c>
      <c r="AD44" t="s">
        <v>158</v>
      </c>
      <c r="AE44" s="2">
        <v>43546.650208333333</v>
      </c>
      <c r="AF44" t="s">
        <v>158</v>
      </c>
    </row>
    <row r="45" spans="1:32" x14ac:dyDescent="0.25">
      <c r="A45">
        <v>15</v>
      </c>
      <c r="B45" s="3">
        <v>43546</v>
      </c>
      <c r="C45" s="4">
        <f>AE45-(7/24)</f>
        <v>43546.378125000003</v>
      </c>
      <c r="D45" t="s">
        <v>64</v>
      </c>
      <c r="E45">
        <v>2</v>
      </c>
      <c r="F45" t="s">
        <v>31</v>
      </c>
      <c r="G45" t="s">
        <v>52</v>
      </c>
      <c r="L45" t="s">
        <v>33</v>
      </c>
      <c r="AB45" t="s">
        <v>65</v>
      </c>
      <c r="AC45" s="2">
        <v>43546.669791666667</v>
      </c>
      <c r="AD45" t="s">
        <v>35</v>
      </c>
      <c r="AE45" s="2">
        <v>43546.669791666667</v>
      </c>
      <c r="AF45" t="s">
        <v>35</v>
      </c>
    </row>
    <row r="46" spans="1:32" x14ac:dyDescent="0.25">
      <c r="A46">
        <v>62</v>
      </c>
      <c r="B46" s="3">
        <v>43546</v>
      </c>
      <c r="C46" s="4">
        <f>AE46-(7/24)</f>
        <v>43546.425046296295</v>
      </c>
      <c r="D46" t="s">
        <v>64</v>
      </c>
      <c r="E46">
        <v>1</v>
      </c>
      <c r="F46" t="s">
        <v>31</v>
      </c>
      <c r="G46" t="s">
        <v>47</v>
      </c>
      <c r="L46" t="s">
        <v>33</v>
      </c>
      <c r="AB46" t="s">
        <v>140</v>
      </c>
      <c r="AC46" s="2">
        <v>43546.71671296296</v>
      </c>
      <c r="AD46" t="s">
        <v>35</v>
      </c>
      <c r="AE46" s="2">
        <v>43546.71671296296</v>
      </c>
      <c r="AF46" t="s">
        <v>35</v>
      </c>
    </row>
    <row r="47" spans="1:32" x14ac:dyDescent="0.25">
      <c r="A47">
        <v>89</v>
      </c>
      <c r="B47" s="3">
        <v>43546</v>
      </c>
      <c r="C47" s="4">
        <f>AE47-(7/24)</f>
        <v>43546.355682870373</v>
      </c>
      <c r="D47" t="s">
        <v>64</v>
      </c>
      <c r="E47">
        <v>1</v>
      </c>
      <c r="F47" t="s">
        <v>31</v>
      </c>
      <c r="G47" t="s">
        <v>70</v>
      </c>
      <c r="L47" t="s">
        <v>153</v>
      </c>
      <c r="AB47" t="s">
        <v>184</v>
      </c>
      <c r="AC47" s="2">
        <v>43546.647349537037</v>
      </c>
      <c r="AD47" t="s">
        <v>158</v>
      </c>
      <c r="AE47" s="2">
        <v>43546.647349537037</v>
      </c>
      <c r="AF47" t="s">
        <v>158</v>
      </c>
    </row>
    <row r="48" spans="1:32" x14ac:dyDescent="0.25">
      <c r="A48">
        <v>165</v>
      </c>
      <c r="B48" s="3">
        <v>43546</v>
      </c>
      <c r="C48" s="4">
        <f>AE48-(7/24)</f>
        <v>43546.429756944446</v>
      </c>
      <c r="D48" t="s">
        <v>64</v>
      </c>
      <c r="E48">
        <v>1</v>
      </c>
      <c r="F48" t="s">
        <v>31</v>
      </c>
      <c r="G48" t="s">
        <v>70</v>
      </c>
      <c r="L48" t="s">
        <v>153</v>
      </c>
      <c r="AB48" t="s">
        <v>277</v>
      </c>
      <c r="AC48" s="2">
        <v>43546.72142361111</v>
      </c>
      <c r="AD48" t="s">
        <v>158</v>
      </c>
      <c r="AE48" s="2">
        <v>43546.72142361111</v>
      </c>
      <c r="AF48" t="s">
        <v>158</v>
      </c>
    </row>
    <row r="49" spans="1:32" x14ac:dyDescent="0.25">
      <c r="A49">
        <v>77</v>
      </c>
      <c r="B49" s="3">
        <v>43546</v>
      </c>
      <c r="C49" s="4">
        <f>AE49-(7/24)</f>
        <v>43546.342951388899</v>
      </c>
      <c r="D49" t="s">
        <v>170</v>
      </c>
      <c r="E49">
        <v>4</v>
      </c>
      <c r="F49" t="s">
        <v>31</v>
      </c>
      <c r="G49" t="s">
        <v>171</v>
      </c>
      <c r="L49" t="s">
        <v>153</v>
      </c>
      <c r="AB49" t="s">
        <v>172</v>
      </c>
      <c r="AC49" s="2">
        <v>43546.634618055563</v>
      </c>
      <c r="AD49" t="s">
        <v>158</v>
      </c>
      <c r="AE49" s="2">
        <v>43546.634618055563</v>
      </c>
      <c r="AF49" t="s">
        <v>158</v>
      </c>
    </row>
    <row r="50" spans="1:32" x14ac:dyDescent="0.25">
      <c r="A50">
        <v>118</v>
      </c>
      <c r="B50" s="3">
        <v>43546</v>
      </c>
      <c r="C50" s="4">
        <f>AE50-(7/24)</f>
        <v>43546.376365740733</v>
      </c>
      <c r="D50" t="s">
        <v>170</v>
      </c>
      <c r="E50">
        <v>2</v>
      </c>
      <c r="F50" t="s">
        <v>31</v>
      </c>
      <c r="G50" t="s">
        <v>125</v>
      </c>
      <c r="L50" t="s">
        <v>153</v>
      </c>
      <c r="AB50" t="s">
        <v>218</v>
      </c>
      <c r="AC50" s="2">
        <v>43546.668032407397</v>
      </c>
      <c r="AD50" t="s">
        <v>158</v>
      </c>
      <c r="AE50" s="2">
        <v>43546.668032407397</v>
      </c>
      <c r="AF50" t="s">
        <v>158</v>
      </c>
    </row>
    <row r="51" spans="1:32" x14ac:dyDescent="0.25">
      <c r="A51">
        <v>119</v>
      </c>
      <c r="B51" s="3">
        <v>43546</v>
      </c>
      <c r="C51" s="4">
        <f>AE51-(7/24)</f>
        <v>43546.377118055556</v>
      </c>
      <c r="D51" t="s">
        <v>170</v>
      </c>
      <c r="E51">
        <v>2</v>
      </c>
      <c r="F51" t="s">
        <v>31</v>
      </c>
      <c r="G51" t="s">
        <v>125</v>
      </c>
      <c r="L51" t="s">
        <v>153</v>
      </c>
      <c r="AB51" t="s">
        <v>219</v>
      </c>
      <c r="AC51" s="2">
        <v>43546.66878472222</v>
      </c>
      <c r="AD51" t="s">
        <v>158</v>
      </c>
      <c r="AE51" s="2">
        <v>43546.66878472222</v>
      </c>
      <c r="AF51" t="s">
        <v>158</v>
      </c>
    </row>
    <row r="52" spans="1:32" x14ac:dyDescent="0.25">
      <c r="A52">
        <v>66</v>
      </c>
      <c r="B52" s="3">
        <v>43546</v>
      </c>
      <c r="C52" s="4">
        <f>AE52-(7/24)</f>
        <v>43546.429942129638</v>
      </c>
      <c r="D52" t="s">
        <v>145</v>
      </c>
      <c r="E52">
        <v>25</v>
      </c>
      <c r="F52" t="s">
        <v>31</v>
      </c>
      <c r="G52" t="s">
        <v>32</v>
      </c>
      <c r="H52" t="s">
        <v>146</v>
      </c>
      <c r="L52" t="s">
        <v>33</v>
      </c>
      <c r="AB52" t="s">
        <v>147</v>
      </c>
      <c r="AC52" s="2">
        <v>43546.721608796302</v>
      </c>
      <c r="AD52" t="s">
        <v>35</v>
      </c>
      <c r="AE52" s="2">
        <v>43546.721608796302</v>
      </c>
      <c r="AF52" t="s">
        <v>35</v>
      </c>
    </row>
    <row r="53" spans="1:32" x14ac:dyDescent="0.25">
      <c r="A53">
        <v>23</v>
      </c>
      <c r="B53" s="3">
        <v>43546</v>
      </c>
      <c r="C53" s="4">
        <f>AE53-(7/24)</f>
        <v>43546.390868055569</v>
      </c>
      <c r="D53" t="s">
        <v>80</v>
      </c>
      <c r="E53">
        <v>1</v>
      </c>
      <c r="F53" t="s">
        <v>31</v>
      </c>
      <c r="G53" t="s">
        <v>52</v>
      </c>
      <c r="L53" t="s">
        <v>33</v>
      </c>
      <c r="AB53" t="s">
        <v>81</v>
      </c>
      <c r="AC53" s="2">
        <v>43546.682534722233</v>
      </c>
      <c r="AD53" t="s">
        <v>35</v>
      </c>
      <c r="AE53" s="2">
        <v>43546.682534722233</v>
      </c>
      <c r="AF53" t="s">
        <v>35</v>
      </c>
    </row>
    <row r="54" spans="1:32" x14ac:dyDescent="0.25">
      <c r="A54">
        <v>33</v>
      </c>
      <c r="B54" s="3">
        <v>43546</v>
      </c>
      <c r="C54" s="4">
        <f>AE54-(7/24)</f>
        <v>43546.398553240753</v>
      </c>
      <c r="D54" t="s">
        <v>80</v>
      </c>
      <c r="E54">
        <v>2</v>
      </c>
      <c r="F54" t="s">
        <v>31</v>
      </c>
      <c r="G54" t="s">
        <v>52</v>
      </c>
      <c r="L54" t="s">
        <v>33</v>
      </c>
      <c r="AB54" t="s">
        <v>95</v>
      </c>
      <c r="AC54" s="2">
        <v>43546.690219907417</v>
      </c>
      <c r="AD54" t="s">
        <v>35</v>
      </c>
      <c r="AE54" s="2">
        <v>43546.690219907417</v>
      </c>
      <c r="AF54" t="s">
        <v>35</v>
      </c>
    </row>
    <row r="55" spans="1:32" x14ac:dyDescent="0.25">
      <c r="A55">
        <v>68</v>
      </c>
      <c r="B55" s="3">
        <v>43546</v>
      </c>
      <c r="C55" s="4">
        <f>AE55-(7/24)</f>
        <v>43546.435879629629</v>
      </c>
      <c r="D55" t="s">
        <v>80</v>
      </c>
      <c r="E55">
        <v>1</v>
      </c>
      <c r="F55" t="s">
        <v>31</v>
      </c>
      <c r="G55" t="s">
        <v>52</v>
      </c>
      <c r="L55" t="s">
        <v>33</v>
      </c>
      <c r="AB55" t="s">
        <v>150</v>
      </c>
      <c r="AC55" s="2">
        <v>43546.727453703701</v>
      </c>
      <c r="AD55" t="s">
        <v>35</v>
      </c>
      <c r="AE55" s="2">
        <v>43546.727546296293</v>
      </c>
      <c r="AF55" t="s">
        <v>35</v>
      </c>
    </row>
    <row r="56" spans="1:32" x14ac:dyDescent="0.25">
      <c r="A56">
        <v>2</v>
      </c>
      <c r="B56" s="3">
        <v>43546</v>
      </c>
      <c r="C56" s="4">
        <f>AE56-(7/24)</f>
        <v>43546.345729166678</v>
      </c>
      <c r="D56" t="s">
        <v>36</v>
      </c>
      <c r="E56">
        <v>1</v>
      </c>
      <c r="F56" t="s">
        <v>31</v>
      </c>
      <c r="G56" t="s">
        <v>37</v>
      </c>
      <c r="L56" t="s">
        <v>33</v>
      </c>
      <c r="AB56" t="s">
        <v>38</v>
      </c>
      <c r="AC56" s="2">
        <v>43546.633136574077</v>
      </c>
      <c r="AD56" t="s">
        <v>35</v>
      </c>
      <c r="AE56" s="2">
        <v>43546.637395833342</v>
      </c>
      <c r="AF56" t="s">
        <v>35</v>
      </c>
    </row>
    <row r="57" spans="1:32" x14ac:dyDescent="0.25">
      <c r="A57">
        <v>10</v>
      </c>
      <c r="B57" s="3">
        <v>43546</v>
      </c>
      <c r="C57" s="4">
        <f>AE57-(7/24)</f>
        <v>43546.366342592599</v>
      </c>
      <c r="D57" t="s">
        <v>36</v>
      </c>
      <c r="E57">
        <v>1</v>
      </c>
      <c r="F57" t="s">
        <v>56</v>
      </c>
      <c r="G57" t="s">
        <v>40</v>
      </c>
      <c r="L57" t="s">
        <v>33</v>
      </c>
      <c r="AB57" t="s">
        <v>57</v>
      </c>
      <c r="AC57" s="2">
        <v>43546.658009259263</v>
      </c>
      <c r="AD57" t="s">
        <v>35</v>
      </c>
      <c r="AE57" s="2">
        <v>43546.658009259263</v>
      </c>
      <c r="AF57" t="s">
        <v>35</v>
      </c>
    </row>
    <row r="58" spans="1:32" x14ac:dyDescent="0.25">
      <c r="A58">
        <v>82</v>
      </c>
      <c r="B58" s="3">
        <v>43546</v>
      </c>
      <c r="C58" s="4">
        <f>AE58-(7/24)</f>
        <v>43546.347048611118</v>
      </c>
      <c r="D58" t="s">
        <v>36</v>
      </c>
      <c r="E58">
        <v>1</v>
      </c>
      <c r="F58" t="s">
        <v>56</v>
      </c>
      <c r="G58" t="s">
        <v>40</v>
      </c>
      <c r="J58" t="s">
        <v>293</v>
      </c>
      <c r="L58" t="s">
        <v>153</v>
      </c>
      <c r="AB58" t="s">
        <v>177</v>
      </c>
      <c r="AC58" s="2">
        <v>43546.638715277782</v>
      </c>
      <c r="AD58" t="s">
        <v>158</v>
      </c>
      <c r="AE58" s="2">
        <v>43546.638715277782</v>
      </c>
      <c r="AF58" t="s">
        <v>158</v>
      </c>
    </row>
    <row r="59" spans="1:32" x14ac:dyDescent="0.25">
      <c r="A59">
        <v>75</v>
      </c>
      <c r="B59" s="3">
        <v>43546</v>
      </c>
      <c r="C59" s="4">
        <f>AE59-(7/24)</f>
        <v>43546.341192129643</v>
      </c>
      <c r="D59" t="s">
        <v>166</v>
      </c>
      <c r="E59">
        <v>2</v>
      </c>
      <c r="F59" t="s">
        <v>31</v>
      </c>
      <c r="G59" t="s">
        <v>125</v>
      </c>
      <c r="L59" t="s">
        <v>153</v>
      </c>
      <c r="AB59" t="s">
        <v>167</v>
      </c>
      <c r="AC59" s="2">
        <v>43546.632858796307</v>
      </c>
      <c r="AD59" t="s">
        <v>158</v>
      </c>
      <c r="AE59" s="2">
        <v>43546.632858796307</v>
      </c>
      <c r="AF59" t="s">
        <v>158</v>
      </c>
    </row>
    <row r="60" spans="1:32" x14ac:dyDescent="0.25">
      <c r="A60">
        <v>41</v>
      </c>
      <c r="B60" s="3">
        <v>43546</v>
      </c>
      <c r="C60" s="4">
        <f>AE60-(7/24)</f>
        <v>43546.405520833338</v>
      </c>
      <c r="D60" t="s">
        <v>106</v>
      </c>
      <c r="E60">
        <v>5</v>
      </c>
      <c r="F60" t="s">
        <v>31</v>
      </c>
      <c r="G60" t="s">
        <v>52</v>
      </c>
      <c r="L60" t="s">
        <v>33</v>
      </c>
      <c r="AB60" t="s">
        <v>107</v>
      </c>
      <c r="AC60" s="2">
        <v>43546.697187500002</v>
      </c>
      <c r="AD60" t="s">
        <v>35</v>
      </c>
      <c r="AE60" s="2">
        <v>43546.697187500002</v>
      </c>
      <c r="AF60" t="s">
        <v>35</v>
      </c>
    </row>
    <row r="61" spans="1:32" x14ac:dyDescent="0.25">
      <c r="A61">
        <v>74</v>
      </c>
      <c r="B61" s="3">
        <v>43546</v>
      </c>
      <c r="C61" s="4">
        <f>AE61-(7/24)</f>
        <v>43546.337303240733</v>
      </c>
      <c r="D61" t="s">
        <v>164</v>
      </c>
      <c r="E61">
        <v>1</v>
      </c>
      <c r="F61" t="s">
        <v>31</v>
      </c>
      <c r="G61" t="s">
        <v>125</v>
      </c>
      <c r="L61" t="s">
        <v>153</v>
      </c>
      <c r="AB61" t="s">
        <v>165</v>
      </c>
      <c r="AC61" s="2">
        <v>43546.628969907397</v>
      </c>
      <c r="AD61" t="s">
        <v>158</v>
      </c>
      <c r="AE61" s="2">
        <v>43546.628969907397</v>
      </c>
      <c r="AF61" t="s">
        <v>158</v>
      </c>
    </row>
    <row r="62" spans="1:32" x14ac:dyDescent="0.25">
      <c r="A62">
        <v>94</v>
      </c>
      <c r="B62" s="3">
        <v>43546</v>
      </c>
      <c r="C62" s="4">
        <f>AE62-(7/24)</f>
        <v>43546.357766203706</v>
      </c>
      <c r="D62" t="s">
        <v>164</v>
      </c>
      <c r="E62">
        <v>3</v>
      </c>
      <c r="F62" t="s">
        <v>31</v>
      </c>
      <c r="G62" t="s">
        <v>171</v>
      </c>
      <c r="L62" t="s">
        <v>153</v>
      </c>
      <c r="AB62" t="s">
        <v>190</v>
      </c>
      <c r="AC62" s="2">
        <v>43546.64943287037</v>
      </c>
      <c r="AD62" t="s">
        <v>158</v>
      </c>
      <c r="AE62" s="2">
        <v>43546.64943287037</v>
      </c>
      <c r="AF62" t="s">
        <v>158</v>
      </c>
    </row>
    <row r="63" spans="1:32" x14ac:dyDescent="0.25">
      <c r="A63">
        <v>38</v>
      </c>
      <c r="B63" s="3">
        <v>43546</v>
      </c>
      <c r="C63" s="4">
        <f>AE63-(7/24)</f>
        <v>43546.403136574074</v>
      </c>
      <c r="D63" t="s">
        <v>101</v>
      </c>
      <c r="E63">
        <v>1</v>
      </c>
      <c r="F63" t="s">
        <v>31</v>
      </c>
      <c r="G63" t="s">
        <v>47</v>
      </c>
      <c r="L63" t="s">
        <v>33</v>
      </c>
      <c r="AB63" t="s">
        <v>102</v>
      </c>
      <c r="AC63" s="2">
        <v>43546.694803240738</v>
      </c>
      <c r="AD63" t="s">
        <v>35</v>
      </c>
      <c r="AE63" s="2">
        <v>43546.694803240738</v>
      </c>
      <c r="AF63" t="s">
        <v>35</v>
      </c>
    </row>
    <row r="64" spans="1:32" x14ac:dyDescent="0.25">
      <c r="A64">
        <v>48</v>
      </c>
      <c r="B64" s="3">
        <v>43546</v>
      </c>
      <c r="C64" s="4">
        <f>AE64-(7/24)</f>
        <v>43546.414780092593</v>
      </c>
      <c r="D64" t="s">
        <v>101</v>
      </c>
      <c r="E64">
        <v>1</v>
      </c>
      <c r="F64" t="s">
        <v>31</v>
      </c>
      <c r="G64" t="s">
        <v>47</v>
      </c>
      <c r="L64" t="s">
        <v>33</v>
      </c>
      <c r="AB64" t="s">
        <v>118</v>
      </c>
      <c r="AC64" s="2">
        <v>43546.706446759257</v>
      </c>
      <c r="AD64" t="s">
        <v>35</v>
      </c>
      <c r="AE64" s="2">
        <v>43546.706446759257</v>
      </c>
      <c r="AF64" t="s">
        <v>35</v>
      </c>
    </row>
    <row r="65" spans="1:32" x14ac:dyDescent="0.25">
      <c r="A65">
        <v>39</v>
      </c>
      <c r="B65" s="3">
        <v>43546</v>
      </c>
      <c r="C65" s="4">
        <f>AE65-(7/24)</f>
        <v>43546.403599537036</v>
      </c>
      <c r="D65" t="s">
        <v>103</v>
      </c>
      <c r="E65">
        <v>1</v>
      </c>
      <c r="F65" t="s">
        <v>31</v>
      </c>
      <c r="G65" t="s">
        <v>47</v>
      </c>
      <c r="L65" t="s">
        <v>33</v>
      </c>
      <c r="AB65" t="s">
        <v>104</v>
      </c>
      <c r="AC65" s="2">
        <v>43546.6952662037</v>
      </c>
      <c r="AD65" t="s">
        <v>35</v>
      </c>
      <c r="AE65" s="2">
        <v>43546.6952662037</v>
      </c>
      <c r="AF65" t="s">
        <v>35</v>
      </c>
    </row>
    <row r="66" spans="1:32" x14ac:dyDescent="0.25">
      <c r="A66">
        <v>147</v>
      </c>
      <c r="B66" s="3">
        <v>43546</v>
      </c>
      <c r="C66" s="4">
        <f>AE66-(7/24)</f>
        <v>43546.410439814819</v>
      </c>
      <c r="D66" t="s">
        <v>250</v>
      </c>
      <c r="E66">
        <v>1</v>
      </c>
      <c r="F66" t="s">
        <v>31</v>
      </c>
      <c r="G66" t="s">
        <v>171</v>
      </c>
      <c r="L66" t="s">
        <v>153</v>
      </c>
      <c r="AB66" t="s">
        <v>251</v>
      </c>
      <c r="AC66" s="2">
        <v>43546.702106481483</v>
      </c>
      <c r="AD66" t="s">
        <v>158</v>
      </c>
      <c r="AE66" s="2">
        <v>43546.702106481483</v>
      </c>
      <c r="AF66" t="s">
        <v>158</v>
      </c>
    </row>
    <row r="67" spans="1:32" x14ac:dyDescent="0.25">
      <c r="A67">
        <v>163</v>
      </c>
      <c r="B67" s="3">
        <v>43546</v>
      </c>
      <c r="C67" s="4">
        <f>AE67-(7/24)</f>
        <v>43546.428263888898</v>
      </c>
      <c r="D67" t="s">
        <v>250</v>
      </c>
      <c r="E67">
        <v>1</v>
      </c>
      <c r="F67" t="s">
        <v>31</v>
      </c>
      <c r="G67" t="s">
        <v>152</v>
      </c>
      <c r="L67" t="s">
        <v>153</v>
      </c>
      <c r="AB67" t="s">
        <v>275</v>
      </c>
      <c r="AC67" s="2">
        <v>43546.719930555562</v>
      </c>
      <c r="AD67" t="s">
        <v>158</v>
      </c>
      <c r="AE67" s="2">
        <v>43546.719930555562</v>
      </c>
      <c r="AF67" t="s">
        <v>158</v>
      </c>
    </row>
    <row r="68" spans="1:32" x14ac:dyDescent="0.25">
      <c r="A68">
        <v>168</v>
      </c>
      <c r="B68" s="3">
        <v>43546</v>
      </c>
      <c r="C68" s="4">
        <f>AE68-(7/24)</f>
        <v>43546.449398148143</v>
      </c>
      <c r="D68" t="s">
        <v>250</v>
      </c>
      <c r="E68">
        <v>1</v>
      </c>
      <c r="F68" t="s">
        <v>56</v>
      </c>
      <c r="G68" t="s">
        <v>171</v>
      </c>
      <c r="J68" t="s">
        <v>293</v>
      </c>
      <c r="L68" t="s">
        <v>153</v>
      </c>
      <c r="N68" t="s">
        <v>280</v>
      </c>
      <c r="AB68" t="s">
        <v>281</v>
      </c>
      <c r="AC68" s="2">
        <v>43546.740289351852</v>
      </c>
      <c r="AD68" t="s">
        <v>158</v>
      </c>
      <c r="AE68" s="2">
        <v>43546.741064814807</v>
      </c>
      <c r="AF68" t="s">
        <v>158</v>
      </c>
    </row>
    <row r="69" spans="1:32" x14ac:dyDescent="0.25">
      <c r="A69">
        <v>125</v>
      </c>
      <c r="B69" s="3">
        <v>43546</v>
      </c>
      <c r="C69" s="4">
        <f>AE69-(7/24)</f>
        <v>43546.380891203706</v>
      </c>
      <c r="D69" t="s">
        <v>225</v>
      </c>
      <c r="E69">
        <v>1</v>
      </c>
      <c r="F69" t="s">
        <v>31</v>
      </c>
      <c r="G69" t="s">
        <v>125</v>
      </c>
      <c r="L69" t="s">
        <v>153</v>
      </c>
      <c r="AB69" t="s">
        <v>226</v>
      </c>
      <c r="AC69" s="2">
        <v>43546.67255787037</v>
      </c>
      <c r="AD69" t="s">
        <v>158</v>
      </c>
      <c r="AE69" s="2">
        <v>43546.67255787037</v>
      </c>
      <c r="AF69" t="s">
        <v>158</v>
      </c>
    </row>
    <row r="70" spans="1:32" x14ac:dyDescent="0.25">
      <c r="A70">
        <v>51</v>
      </c>
      <c r="B70" s="3">
        <v>43546</v>
      </c>
      <c r="C70" s="4">
        <f>AE70-(7/24)</f>
        <v>43546.418287037042</v>
      </c>
      <c r="D70" t="s">
        <v>122</v>
      </c>
      <c r="E70">
        <v>1</v>
      </c>
      <c r="F70" t="s">
        <v>31</v>
      </c>
      <c r="G70" t="s">
        <v>40</v>
      </c>
      <c r="L70" t="s">
        <v>33</v>
      </c>
      <c r="AB70" t="s">
        <v>123</v>
      </c>
      <c r="AC70" s="2">
        <v>43546.709953703707</v>
      </c>
      <c r="AD70" t="s">
        <v>35</v>
      </c>
      <c r="AE70" s="2">
        <v>43546.709953703707</v>
      </c>
      <c r="AF70" t="s">
        <v>35</v>
      </c>
    </row>
    <row r="71" spans="1:32" x14ac:dyDescent="0.25">
      <c r="A71">
        <v>36</v>
      </c>
      <c r="B71" s="3">
        <v>43546</v>
      </c>
      <c r="C71" s="4">
        <f>AE71-(7/24)</f>
        <v>43546.401018518518</v>
      </c>
      <c r="D71" t="s">
        <v>98</v>
      </c>
      <c r="E71">
        <v>2</v>
      </c>
      <c r="F71" t="s">
        <v>31</v>
      </c>
      <c r="G71" t="s">
        <v>40</v>
      </c>
      <c r="L71" t="s">
        <v>33</v>
      </c>
      <c r="AB71" t="s">
        <v>99</v>
      </c>
      <c r="AC71" s="2">
        <v>43546.692685185182</v>
      </c>
      <c r="AD71" t="s">
        <v>35</v>
      </c>
      <c r="AE71" s="2">
        <v>43546.692685185182</v>
      </c>
      <c r="AF71" t="s">
        <v>35</v>
      </c>
    </row>
    <row r="72" spans="1:32" x14ac:dyDescent="0.25">
      <c r="A72">
        <v>56</v>
      </c>
      <c r="B72" s="3">
        <v>43546</v>
      </c>
      <c r="C72" s="4">
        <f>AE72-(7/24)</f>
        <v>43546.422731481485</v>
      </c>
      <c r="D72" t="s">
        <v>98</v>
      </c>
      <c r="E72">
        <v>1</v>
      </c>
      <c r="F72" t="s">
        <v>31</v>
      </c>
      <c r="G72" t="s">
        <v>40</v>
      </c>
      <c r="L72" t="s">
        <v>33</v>
      </c>
      <c r="AB72" t="s">
        <v>132</v>
      </c>
      <c r="AC72" s="2">
        <v>43546.714398148149</v>
      </c>
      <c r="AD72" t="s">
        <v>35</v>
      </c>
      <c r="AE72" s="2">
        <v>43546.714398148149</v>
      </c>
      <c r="AF72" t="s">
        <v>35</v>
      </c>
    </row>
    <row r="73" spans="1:32" x14ac:dyDescent="0.25">
      <c r="A73">
        <v>60</v>
      </c>
      <c r="B73" s="3">
        <v>43546</v>
      </c>
      <c r="C73" s="4">
        <f>AE73-(7/24)</f>
        <v>43546.424178240733</v>
      </c>
      <c r="D73" t="s">
        <v>98</v>
      </c>
      <c r="E73">
        <v>7</v>
      </c>
      <c r="F73" t="s">
        <v>31</v>
      </c>
      <c r="G73" t="s">
        <v>70</v>
      </c>
      <c r="L73" t="s">
        <v>33</v>
      </c>
      <c r="AB73" t="s">
        <v>138</v>
      </c>
      <c r="AC73" s="2">
        <v>43546.715844907398</v>
      </c>
      <c r="AD73" t="s">
        <v>35</v>
      </c>
      <c r="AE73" s="2">
        <v>43546.715844907398</v>
      </c>
      <c r="AF73" t="s">
        <v>35</v>
      </c>
    </row>
    <row r="74" spans="1:32" x14ac:dyDescent="0.25">
      <c r="A74">
        <v>156</v>
      </c>
      <c r="B74" s="3">
        <v>43546</v>
      </c>
      <c r="C74" s="4">
        <f>AE74-(7/24)</f>
        <v>43546.416493055556</v>
      </c>
      <c r="D74" t="s">
        <v>98</v>
      </c>
      <c r="E74">
        <v>1</v>
      </c>
      <c r="F74" t="s">
        <v>31</v>
      </c>
      <c r="G74" t="s">
        <v>47</v>
      </c>
      <c r="H74" t="s">
        <v>261</v>
      </c>
      <c r="I74" t="s">
        <v>262</v>
      </c>
      <c r="L74" t="s">
        <v>153</v>
      </c>
      <c r="AB74" t="s">
        <v>263</v>
      </c>
      <c r="AC74" s="2">
        <v>43546.70815972222</v>
      </c>
      <c r="AD74" t="s">
        <v>158</v>
      </c>
      <c r="AE74" s="2">
        <v>43546.70815972222</v>
      </c>
      <c r="AF74" t="s">
        <v>158</v>
      </c>
    </row>
    <row r="75" spans="1:32" x14ac:dyDescent="0.25">
      <c r="A75">
        <v>158</v>
      </c>
      <c r="B75" s="3">
        <v>43546</v>
      </c>
      <c r="C75" s="4">
        <f>AE75-(7/24)</f>
        <v>43546.418807870374</v>
      </c>
      <c r="D75" t="s">
        <v>98</v>
      </c>
      <c r="E75">
        <v>1</v>
      </c>
      <c r="F75" t="s">
        <v>31</v>
      </c>
      <c r="G75" t="s">
        <v>40</v>
      </c>
      <c r="H75" t="s">
        <v>265</v>
      </c>
      <c r="L75" t="s">
        <v>153</v>
      </c>
      <c r="AB75" t="s">
        <v>266</v>
      </c>
      <c r="AC75" s="2">
        <v>43546.710474537038</v>
      </c>
      <c r="AD75" t="s">
        <v>158</v>
      </c>
      <c r="AE75" s="2">
        <v>43546.710474537038</v>
      </c>
      <c r="AF75" t="s">
        <v>158</v>
      </c>
    </row>
    <row r="76" spans="1:32" x14ac:dyDescent="0.25">
      <c r="A76">
        <v>162</v>
      </c>
      <c r="B76" s="3">
        <v>43546</v>
      </c>
      <c r="C76" s="4">
        <f>AE76-(7/24)</f>
        <v>43546.427013888882</v>
      </c>
      <c r="D76" t="s">
        <v>98</v>
      </c>
      <c r="E76">
        <v>2</v>
      </c>
      <c r="F76" t="s">
        <v>31</v>
      </c>
      <c r="G76" t="s">
        <v>273</v>
      </c>
      <c r="L76" t="s">
        <v>153</v>
      </c>
      <c r="AB76" t="s">
        <v>274</v>
      </c>
      <c r="AC76" s="2">
        <v>43546.718680555547</v>
      </c>
      <c r="AD76" t="s">
        <v>158</v>
      </c>
      <c r="AE76" s="2">
        <v>43546.718680555547</v>
      </c>
      <c r="AF76" t="s">
        <v>158</v>
      </c>
    </row>
    <row r="77" spans="1:32" x14ac:dyDescent="0.25">
      <c r="A77">
        <v>167</v>
      </c>
      <c r="B77" s="3">
        <v>43546</v>
      </c>
      <c r="C77" s="4">
        <f>AE77-(7/24)</f>
        <v>43546.430254629639</v>
      </c>
      <c r="D77" t="s">
        <v>98</v>
      </c>
      <c r="E77">
        <v>2</v>
      </c>
      <c r="F77" t="s">
        <v>31</v>
      </c>
      <c r="G77" t="s">
        <v>70</v>
      </c>
      <c r="L77" t="s">
        <v>153</v>
      </c>
      <c r="AB77" t="s">
        <v>279</v>
      </c>
      <c r="AC77" s="2">
        <v>43546.721921296303</v>
      </c>
      <c r="AD77" t="s">
        <v>158</v>
      </c>
      <c r="AE77" s="2">
        <v>43546.721921296303</v>
      </c>
      <c r="AF77" t="s">
        <v>158</v>
      </c>
    </row>
    <row r="78" spans="1:32" x14ac:dyDescent="0.25">
      <c r="A78">
        <v>21</v>
      </c>
      <c r="B78" s="3">
        <v>43546</v>
      </c>
      <c r="C78" s="4">
        <f>AE78-(7/24)</f>
        <v>43546.390011574076</v>
      </c>
      <c r="D78" t="s">
        <v>76</v>
      </c>
      <c r="E78">
        <v>3</v>
      </c>
      <c r="F78" t="s">
        <v>31</v>
      </c>
      <c r="G78" t="s">
        <v>52</v>
      </c>
      <c r="L78" t="s">
        <v>33</v>
      </c>
      <c r="AB78" t="s">
        <v>77</v>
      </c>
      <c r="AC78" s="2">
        <v>43546.68167824074</v>
      </c>
      <c r="AD78" t="s">
        <v>35</v>
      </c>
      <c r="AE78" s="2">
        <v>43546.68167824074</v>
      </c>
      <c r="AF78" t="s">
        <v>35</v>
      </c>
    </row>
    <row r="79" spans="1:32" x14ac:dyDescent="0.25">
      <c r="A79">
        <v>29</v>
      </c>
      <c r="B79" s="3">
        <v>43546</v>
      </c>
      <c r="C79" s="4">
        <f>AE79-(7/24)</f>
        <v>43546.393310185187</v>
      </c>
      <c r="D79" t="s">
        <v>76</v>
      </c>
      <c r="E79">
        <v>6</v>
      </c>
      <c r="F79" t="s">
        <v>31</v>
      </c>
      <c r="G79" t="s">
        <v>52</v>
      </c>
      <c r="L79" t="s">
        <v>33</v>
      </c>
      <c r="AB79" t="s">
        <v>90</v>
      </c>
      <c r="AC79" s="2">
        <v>43546.684976851851</v>
      </c>
      <c r="AD79" t="s">
        <v>35</v>
      </c>
      <c r="AE79" s="2">
        <v>43546.684976851851</v>
      </c>
      <c r="AF79" t="s">
        <v>35</v>
      </c>
    </row>
    <row r="80" spans="1:32" x14ac:dyDescent="0.25">
      <c r="A80">
        <v>6</v>
      </c>
      <c r="B80" s="3">
        <v>43546</v>
      </c>
      <c r="C80" s="4">
        <f>AE80-(7/24)</f>
        <v>43546.354942129634</v>
      </c>
      <c r="D80" t="s">
        <v>46</v>
      </c>
      <c r="E80">
        <v>1</v>
      </c>
      <c r="F80" t="s">
        <v>31</v>
      </c>
      <c r="G80" t="s">
        <v>47</v>
      </c>
      <c r="I80" t="s">
        <v>48</v>
      </c>
      <c r="J80" t="s">
        <v>49</v>
      </c>
      <c r="L80" t="s">
        <v>33</v>
      </c>
      <c r="AB80" t="s">
        <v>50</v>
      </c>
      <c r="AC80" s="2">
        <v>43546.646608796298</v>
      </c>
      <c r="AD80" t="s">
        <v>35</v>
      </c>
      <c r="AE80" s="2">
        <v>43546.646608796298</v>
      </c>
      <c r="AF80" t="s">
        <v>35</v>
      </c>
    </row>
    <row r="81" spans="1:32" x14ac:dyDescent="0.25">
      <c r="A81">
        <v>9</v>
      </c>
      <c r="B81" s="3">
        <v>43546</v>
      </c>
      <c r="C81" s="4">
        <f>AE81-(7/24)</f>
        <v>43546.364293981489</v>
      </c>
      <c r="D81" t="s">
        <v>46</v>
      </c>
      <c r="E81">
        <v>2</v>
      </c>
      <c r="F81" t="s">
        <v>31</v>
      </c>
      <c r="G81" t="s">
        <v>47</v>
      </c>
      <c r="L81" t="s">
        <v>33</v>
      </c>
      <c r="AB81" t="s">
        <v>55</v>
      </c>
      <c r="AC81" s="2">
        <v>43546.655960648153</v>
      </c>
      <c r="AD81" t="s">
        <v>35</v>
      </c>
      <c r="AE81" s="2">
        <v>43546.655960648153</v>
      </c>
      <c r="AF81" t="s">
        <v>35</v>
      </c>
    </row>
    <row r="82" spans="1:32" x14ac:dyDescent="0.25">
      <c r="A82">
        <v>11</v>
      </c>
      <c r="B82" s="3">
        <v>43546</v>
      </c>
      <c r="C82" s="4">
        <f>AE82-(7/24)</f>
        <v>43546.375069444446</v>
      </c>
      <c r="D82" t="s">
        <v>46</v>
      </c>
      <c r="E82">
        <v>3</v>
      </c>
      <c r="F82" t="s">
        <v>31</v>
      </c>
      <c r="G82" t="s">
        <v>47</v>
      </c>
      <c r="L82" t="s">
        <v>33</v>
      </c>
      <c r="AB82" t="s">
        <v>58</v>
      </c>
      <c r="AC82" s="2">
        <v>43546.66673611111</v>
      </c>
      <c r="AD82" t="s">
        <v>35</v>
      </c>
      <c r="AE82" s="2">
        <v>43546.66673611111</v>
      </c>
      <c r="AF82" t="s">
        <v>35</v>
      </c>
    </row>
    <row r="83" spans="1:32" x14ac:dyDescent="0.25">
      <c r="A83">
        <v>40</v>
      </c>
      <c r="B83" s="3">
        <v>43546</v>
      </c>
      <c r="C83" s="4">
        <f>AE83-(7/24)</f>
        <v>43546.405844907407</v>
      </c>
      <c r="D83" t="s">
        <v>46</v>
      </c>
      <c r="E83">
        <v>2</v>
      </c>
      <c r="F83" t="s">
        <v>31</v>
      </c>
      <c r="G83" t="s">
        <v>47</v>
      </c>
      <c r="L83" t="s">
        <v>33</v>
      </c>
      <c r="AB83" t="s">
        <v>105</v>
      </c>
      <c r="AC83" s="2">
        <v>43546.695439814823</v>
      </c>
      <c r="AD83" t="s">
        <v>35</v>
      </c>
      <c r="AE83" s="2">
        <v>43546.697511574072</v>
      </c>
      <c r="AF83" t="s">
        <v>35</v>
      </c>
    </row>
    <row r="84" spans="1:32" x14ac:dyDescent="0.25">
      <c r="A84">
        <v>78</v>
      </c>
      <c r="B84" s="3">
        <v>43546</v>
      </c>
      <c r="C84" s="4">
        <f>AE84-(7/24)</f>
        <v>43546.343136574076</v>
      </c>
      <c r="D84" t="s">
        <v>46</v>
      </c>
      <c r="E84">
        <v>3</v>
      </c>
      <c r="F84" t="s">
        <v>31</v>
      </c>
      <c r="G84" t="s">
        <v>152</v>
      </c>
      <c r="L84" t="s">
        <v>153</v>
      </c>
      <c r="AB84" t="s">
        <v>173</v>
      </c>
      <c r="AC84" s="2">
        <v>43546.63480324074</v>
      </c>
      <c r="AD84" t="s">
        <v>158</v>
      </c>
      <c r="AE84" s="2">
        <v>43546.63480324074</v>
      </c>
      <c r="AF84" t="s">
        <v>158</v>
      </c>
    </row>
    <row r="85" spans="1:32" x14ac:dyDescent="0.25">
      <c r="A85">
        <v>79</v>
      </c>
      <c r="B85" s="3">
        <v>43546</v>
      </c>
      <c r="C85" s="4">
        <f>AE85-(7/24)</f>
        <v>43546.344768518538</v>
      </c>
      <c r="D85" t="s">
        <v>46</v>
      </c>
      <c r="E85">
        <v>2</v>
      </c>
      <c r="F85" t="s">
        <v>31</v>
      </c>
      <c r="G85" t="s">
        <v>152</v>
      </c>
      <c r="L85" t="s">
        <v>153</v>
      </c>
      <c r="AB85" t="s">
        <v>174</v>
      </c>
      <c r="AC85" s="2">
        <v>43546.636435185203</v>
      </c>
      <c r="AD85" t="s">
        <v>158</v>
      </c>
      <c r="AE85" s="2">
        <v>43546.636435185203</v>
      </c>
      <c r="AF85" t="s">
        <v>158</v>
      </c>
    </row>
    <row r="86" spans="1:32" x14ac:dyDescent="0.25">
      <c r="A86">
        <v>106</v>
      </c>
      <c r="B86" s="3">
        <v>43546</v>
      </c>
      <c r="C86" s="4">
        <f>AE86-(7/24)</f>
        <v>43546.363703703704</v>
      </c>
      <c r="D86" t="s">
        <v>46</v>
      </c>
      <c r="E86">
        <v>4</v>
      </c>
      <c r="F86" t="s">
        <v>31</v>
      </c>
      <c r="G86" t="s">
        <v>47</v>
      </c>
      <c r="L86" t="s">
        <v>153</v>
      </c>
      <c r="AB86" t="s">
        <v>206</v>
      </c>
      <c r="AC86" s="2">
        <v>43546.655370370368</v>
      </c>
      <c r="AD86" t="s">
        <v>158</v>
      </c>
      <c r="AE86" s="2">
        <v>43546.655370370368</v>
      </c>
      <c r="AF86" t="s">
        <v>158</v>
      </c>
    </row>
    <row r="87" spans="1:32" x14ac:dyDescent="0.25">
      <c r="A87">
        <v>116</v>
      </c>
      <c r="B87" s="3">
        <v>43546</v>
      </c>
      <c r="C87" s="4">
        <f>AE87-(7/24)</f>
        <v>43546.372164351858</v>
      </c>
      <c r="D87" t="s">
        <v>46</v>
      </c>
      <c r="E87">
        <v>1</v>
      </c>
      <c r="F87" t="s">
        <v>31</v>
      </c>
      <c r="G87" t="s">
        <v>152</v>
      </c>
      <c r="L87" t="s">
        <v>153</v>
      </c>
      <c r="AB87" t="s">
        <v>216</v>
      </c>
      <c r="AC87" s="2">
        <v>43546.663831018523</v>
      </c>
      <c r="AD87" t="s">
        <v>158</v>
      </c>
      <c r="AE87" s="2">
        <v>43546.663831018523</v>
      </c>
      <c r="AF87" t="s">
        <v>158</v>
      </c>
    </row>
    <row r="88" spans="1:32" x14ac:dyDescent="0.25">
      <c r="A88">
        <v>143</v>
      </c>
      <c r="B88" s="3">
        <v>43546</v>
      </c>
      <c r="C88" s="4">
        <f>AE88-(7/24)</f>
        <v>43546.405972222223</v>
      </c>
      <c r="D88" t="s">
        <v>46</v>
      </c>
      <c r="E88">
        <v>1</v>
      </c>
      <c r="F88" t="s">
        <v>31</v>
      </c>
      <c r="G88" t="s">
        <v>47</v>
      </c>
      <c r="L88" t="s">
        <v>153</v>
      </c>
      <c r="AB88" t="s">
        <v>245</v>
      </c>
      <c r="AC88" s="2">
        <v>43546.697638888887</v>
      </c>
      <c r="AD88" t="s">
        <v>158</v>
      </c>
      <c r="AE88" s="2">
        <v>43546.697638888887</v>
      </c>
      <c r="AF88" t="s">
        <v>158</v>
      </c>
    </row>
    <row r="89" spans="1:32" x14ac:dyDescent="0.25">
      <c r="A89">
        <v>70</v>
      </c>
      <c r="B89" s="3">
        <v>43546</v>
      </c>
      <c r="C89" s="4">
        <f>AE89-(7/24)</f>
        <v>43546.333518518513</v>
      </c>
      <c r="D89" t="s">
        <v>159</v>
      </c>
      <c r="E89">
        <v>4</v>
      </c>
      <c r="F89" t="s">
        <v>31</v>
      </c>
      <c r="G89" t="s">
        <v>152</v>
      </c>
      <c r="L89" t="s">
        <v>153</v>
      </c>
      <c r="AB89" t="s">
        <v>160</v>
      </c>
      <c r="AC89" s="2">
        <v>43546.625185185178</v>
      </c>
      <c r="AD89" t="s">
        <v>158</v>
      </c>
      <c r="AE89" s="2">
        <v>43546.625185185178</v>
      </c>
      <c r="AF89" t="s">
        <v>158</v>
      </c>
    </row>
    <row r="90" spans="1:32" x14ac:dyDescent="0.25">
      <c r="A90">
        <v>71</v>
      </c>
      <c r="B90" s="3">
        <v>43546</v>
      </c>
      <c r="C90" s="4">
        <f>AE90-(7/24)</f>
        <v>43546.334201388883</v>
      </c>
      <c r="D90" t="s">
        <v>159</v>
      </c>
      <c r="E90">
        <v>4</v>
      </c>
      <c r="F90" t="s">
        <v>31</v>
      </c>
      <c r="G90" t="s">
        <v>152</v>
      </c>
      <c r="L90" t="s">
        <v>153</v>
      </c>
      <c r="AB90" t="s">
        <v>161</v>
      </c>
      <c r="AC90" s="2">
        <v>43546.625868055547</v>
      </c>
      <c r="AD90" t="s">
        <v>158</v>
      </c>
      <c r="AE90" s="2">
        <v>43546.625868055547</v>
      </c>
      <c r="AF90" t="s">
        <v>158</v>
      </c>
    </row>
    <row r="91" spans="1:32" x14ac:dyDescent="0.25">
      <c r="A91">
        <v>80</v>
      </c>
      <c r="B91" s="3">
        <v>43546</v>
      </c>
      <c r="C91" s="4">
        <f>AE91-(7/24)</f>
        <v>43546.345694444448</v>
      </c>
      <c r="D91" t="s">
        <v>159</v>
      </c>
      <c r="E91">
        <v>6</v>
      </c>
      <c r="F91" t="s">
        <v>31</v>
      </c>
      <c r="G91" t="s">
        <v>152</v>
      </c>
      <c r="L91" t="s">
        <v>153</v>
      </c>
      <c r="AB91" t="s">
        <v>175</v>
      </c>
      <c r="AC91" s="2">
        <v>43546.637361111112</v>
      </c>
      <c r="AD91" t="s">
        <v>158</v>
      </c>
      <c r="AE91" s="2">
        <v>43546.637361111112</v>
      </c>
      <c r="AF91" t="s">
        <v>158</v>
      </c>
    </row>
    <row r="92" spans="1:32" x14ac:dyDescent="0.25">
      <c r="A92">
        <v>85</v>
      </c>
      <c r="B92" s="3">
        <v>43546</v>
      </c>
      <c r="C92" s="4">
        <f>AE92-(7/24)</f>
        <v>43546.348750000005</v>
      </c>
      <c r="D92" t="s">
        <v>159</v>
      </c>
      <c r="E92">
        <v>2</v>
      </c>
      <c r="F92" t="s">
        <v>31</v>
      </c>
      <c r="G92" t="s">
        <v>152</v>
      </c>
      <c r="L92" t="s">
        <v>153</v>
      </c>
      <c r="AB92" t="s">
        <v>180</v>
      </c>
      <c r="AC92" s="2">
        <v>43546.640416666669</v>
      </c>
      <c r="AD92" t="s">
        <v>158</v>
      </c>
      <c r="AE92" s="2">
        <v>43546.640416666669</v>
      </c>
      <c r="AF92" t="s">
        <v>158</v>
      </c>
    </row>
    <row r="93" spans="1:32" x14ac:dyDescent="0.25">
      <c r="A93">
        <v>92</v>
      </c>
      <c r="B93" s="3">
        <v>43546</v>
      </c>
      <c r="C93" s="4">
        <f>AE93-(7/24)</f>
        <v>43546.357129629629</v>
      </c>
      <c r="D93" t="s">
        <v>159</v>
      </c>
      <c r="E93">
        <v>24</v>
      </c>
      <c r="F93" t="s">
        <v>31</v>
      </c>
      <c r="G93" t="s">
        <v>152</v>
      </c>
      <c r="L93" t="s">
        <v>153</v>
      </c>
      <c r="AB93" t="s">
        <v>188</v>
      </c>
      <c r="AC93" s="2">
        <v>43546.648796296293</v>
      </c>
      <c r="AD93" t="s">
        <v>158</v>
      </c>
      <c r="AE93" s="2">
        <v>43546.648796296293</v>
      </c>
      <c r="AF93" t="s">
        <v>158</v>
      </c>
    </row>
    <row r="94" spans="1:32" x14ac:dyDescent="0.25">
      <c r="A94">
        <v>44</v>
      </c>
      <c r="B94" s="3">
        <v>43546</v>
      </c>
      <c r="C94" s="4">
        <f>AE94-(7/24)</f>
        <v>43546.407847222225</v>
      </c>
      <c r="D94" t="s">
        <v>112</v>
      </c>
      <c r="E94">
        <v>2</v>
      </c>
      <c r="F94" t="s">
        <v>31</v>
      </c>
      <c r="G94" t="s">
        <v>40</v>
      </c>
      <c r="L94" t="s">
        <v>33</v>
      </c>
      <c r="AB94" t="s">
        <v>113</v>
      </c>
      <c r="AC94" s="2">
        <v>43546.699513888889</v>
      </c>
      <c r="AD94" t="s">
        <v>35</v>
      </c>
      <c r="AE94" s="2">
        <v>43546.699513888889</v>
      </c>
      <c r="AF94" t="s">
        <v>35</v>
      </c>
    </row>
    <row r="95" spans="1:32" x14ac:dyDescent="0.25">
      <c r="A95">
        <v>64</v>
      </c>
      <c r="B95" s="3">
        <v>43546</v>
      </c>
      <c r="C95" s="4">
        <f>AE95-(7/24)</f>
        <v>43546.427303240744</v>
      </c>
      <c r="D95" t="s">
        <v>142</v>
      </c>
      <c r="E95">
        <v>2</v>
      </c>
      <c r="F95" t="s">
        <v>31</v>
      </c>
      <c r="G95" t="s">
        <v>125</v>
      </c>
      <c r="L95" t="s">
        <v>33</v>
      </c>
      <c r="AB95" t="s">
        <v>143</v>
      </c>
      <c r="AC95" s="2">
        <v>43546.718969907408</v>
      </c>
      <c r="AD95" t="s">
        <v>35</v>
      </c>
      <c r="AE95" s="2">
        <v>43546.718969907408</v>
      </c>
      <c r="AF95" t="s">
        <v>35</v>
      </c>
    </row>
    <row r="96" spans="1:32" x14ac:dyDescent="0.25">
      <c r="A96">
        <v>95</v>
      </c>
      <c r="B96" s="3">
        <v>43546</v>
      </c>
      <c r="C96" s="4">
        <f>AE96-(7/24)</f>
        <v>43546.357928240745</v>
      </c>
      <c r="D96" t="s">
        <v>142</v>
      </c>
      <c r="E96">
        <v>1</v>
      </c>
      <c r="F96" t="s">
        <v>31</v>
      </c>
      <c r="G96" t="s">
        <v>125</v>
      </c>
      <c r="L96" t="s">
        <v>153</v>
      </c>
      <c r="AB96" t="s">
        <v>191</v>
      </c>
      <c r="AC96" s="2">
        <v>43546.649594907409</v>
      </c>
      <c r="AD96" t="s">
        <v>158</v>
      </c>
      <c r="AE96" s="2">
        <v>43546.649594907409</v>
      </c>
      <c r="AF96" t="s">
        <v>158</v>
      </c>
    </row>
    <row r="97" spans="1:32" x14ac:dyDescent="0.25">
      <c r="A97">
        <v>128</v>
      </c>
      <c r="B97" s="3">
        <v>43546</v>
      </c>
      <c r="C97" s="4">
        <f>AE97-(7/24)</f>
        <v>43546.383124999993</v>
      </c>
      <c r="D97" t="s">
        <v>142</v>
      </c>
      <c r="E97">
        <v>1</v>
      </c>
      <c r="F97" t="s">
        <v>31</v>
      </c>
      <c r="G97" t="s">
        <v>171</v>
      </c>
      <c r="L97" t="s">
        <v>153</v>
      </c>
      <c r="AB97" t="s">
        <v>229</v>
      </c>
      <c r="AC97" s="2">
        <v>43546.674791666657</v>
      </c>
      <c r="AD97" t="s">
        <v>158</v>
      </c>
      <c r="AE97" s="2">
        <v>43546.674791666657</v>
      </c>
      <c r="AF97" t="s">
        <v>158</v>
      </c>
    </row>
    <row r="98" spans="1:32" x14ac:dyDescent="0.25">
      <c r="A98">
        <v>67</v>
      </c>
      <c r="B98" s="3">
        <v>43546</v>
      </c>
      <c r="C98" s="4">
        <f>AE98-(7/24)</f>
        <v>43546.434733796297</v>
      </c>
      <c r="D98" t="s">
        <v>148</v>
      </c>
      <c r="E98">
        <v>1</v>
      </c>
      <c r="F98" t="s">
        <v>31</v>
      </c>
      <c r="G98" t="s">
        <v>52</v>
      </c>
      <c r="L98" t="s">
        <v>33</v>
      </c>
      <c r="AB98" t="s">
        <v>149</v>
      </c>
      <c r="AC98" s="2">
        <v>43546.726400462961</v>
      </c>
      <c r="AD98" t="s">
        <v>35</v>
      </c>
      <c r="AE98" s="2">
        <v>43546.726400462961</v>
      </c>
      <c r="AF98" t="s">
        <v>35</v>
      </c>
    </row>
    <row r="99" spans="1:32" x14ac:dyDescent="0.25">
      <c r="A99">
        <v>99</v>
      </c>
      <c r="B99" s="3">
        <v>43546</v>
      </c>
      <c r="C99" s="4">
        <f>AE99-(7/24)</f>
        <v>43546.358692129623</v>
      </c>
      <c r="D99" t="s">
        <v>198</v>
      </c>
      <c r="E99">
        <v>1</v>
      </c>
      <c r="F99" t="s">
        <v>31</v>
      </c>
      <c r="G99" t="s">
        <v>152</v>
      </c>
      <c r="L99" t="s">
        <v>153</v>
      </c>
      <c r="AB99" t="s">
        <v>199</v>
      </c>
      <c r="AC99" s="2">
        <v>43546.650358796287</v>
      </c>
      <c r="AD99" t="s">
        <v>158</v>
      </c>
      <c r="AE99" s="2">
        <v>43546.650358796287</v>
      </c>
      <c r="AF99" t="s">
        <v>158</v>
      </c>
    </row>
    <row r="100" spans="1:32" x14ac:dyDescent="0.25">
      <c r="A100">
        <v>58</v>
      </c>
      <c r="B100" s="3">
        <v>43546</v>
      </c>
      <c r="C100" s="4">
        <f>AE100-(7/24)</f>
        <v>43546.423831018517</v>
      </c>
      <c r="D100" t="s">
        <v>135</v>
      </c>
      <c r="E100">
        <v>2</v>
      </c>
      <c r="F100" t="s">
        <v>31</v>
      </c>
      <c r="G100" t="s">
        <v>70</v>
      </c>
      <c r="L100" t="s">
        <v>33</v>
      </c>
      <c r="AB100" t="s">
        <v>136</v>
      </c>
      <c r="AC100" s="2">
        <v>43546.715497685182</v>
      </c>
      <c r="AD100" t="s">
        <v>35</v>
      </c>
      <c r="AE100" s="2">
        <v>43546.715497685182</v>
      </c>
      <c r="AF100" t="s">
        <v>35</v>
      </c>
    </row>
    <row r="101" spans="1:32" x14ac:dyDescent="0.25">
      <c r="A101">
        <v>1</v>
      </c>
      <c r="B101" s="3">
        <v>43546</v>
      </c>
      <c r="C101" s="4">
        <f>AE101-(7/24)</f>
        <v>43546.341099537036</v>
      </c>
      <c r="D101" t="s">
        <v>30</v>
      </c>
      <c r="E101">
        <v>1</v>
      </c>
      <c r="F101" t="s">
        <v>31</v>
      </c>
      <c r="G101" t="s">
        <v>32</v>
      </c>
      <c r="L101" t="s">
        <v>33</v>
      </c>
      <c r="AB101" t="s">
        <v>34</v>
      </c>
      <c r="AC101" s="2">
        <v>43546.6327662037</v>
      </c>
      <c r="AD101" t="s">
        <v>35</v>
      </c>
      <c r="AE101" s="2">
        <v>43546.6327662037</v>
      </c>
      <c r="AF101" t="s">
        <v>35</v>
      </c>
    </row>
    <row r="102" spans="1:32" x14ac:dyDescent="0.25">
      <c r="A102">
        <v>8</v>
      </c>
      <c r="B102" s="3">
        <v>43546</v>
      </c>
      <c r="C102" s="4">
        <f>AE102-(7/24)</f>
        <v>43546.360185185185</v>
      </c>
      <c r="D102" t="s">
        <v>30</v>
      </c>
      <c r="E102">
        <v>4</v>
      </c>
      <c r="F102" t="s">
        <v>31</v>
      </c>
      <c r="G102" t="s">
        <v>32</v>
      </c>
      <c r="L102" t="s">
        <v>33</v>
      </c>
      <c r="AB102" t="s">
        <v>54</v>
      </c>
      <c r="AC102" s="2">
        <v>43546.65185185185</v>
      </c>
      <c r="AD102" t="s">
        <v>35</v>
      </c>
      <c r="AE102" s="2">
        <v>43546.65185185185</v>
      </c>
      <c r="AF102" t="s">
        <v>35</v>
      </c>
    </row>
    <row r="103" spans="1:32" x14ac:dyDescent="0.25">
      <c r="A103">
        <v>72</v>
      </c>
      <c r="B103" s="3">
        <v>43546</v>
      </c>
      <c r="C103" s="4">
        <f>AE103-(7/24)</f>
        <v>43546.335914351854</v>
      </c>
      <c r="D103" t="s">
        <v>30</v>
      </c>
      <c r="E103">
        <v>1</v>
      </c>
      <c r="F103" t="s">
        <v>31</v>
      </c>
      <c r="G103" t="s">
        <v>32</v>
      </c>
      <c r="L103" t="s">
        <v>153</v>
      </c>
      <c r="AB103" t="s">
        <v>162</v>
      </c>
      <c r="AC103" s="2">
        <v>43546.627581018518</v>
      </c>
      <c r="AD103" t="s">
        <v>158</v>
      </c>
      <c r="AE103" s="2">
        <v>43546.627581018518</v>
      </c>
      <c r="AF103" t="s">
        <v>158</v>
      </c>
    </row>
    <row r="104" spans="1:32" x14ac:dyDescent="0.25">
      <c r="A104">
        <v>90</v>
      </c>
      <c r="B104" s="3">
        <v>43546</v>
      </c>
      <c r="C104" s="4">
        <f>AE104-(7/24)</f>
        <v>43546.356446759259</v>
      </c>
      <c r="D104" t="s">
        <v>185</v>
      </c>
      <c r="E104">
        <v>7</v>
      </c>
      <c r="F104" t="s">
        <v>31</v>
      </c>
      <c r="G104" t="s">
        <v>125</v>
      </c>
      <c r="L104" t="s">
        <v>153</v>
      </c>
      <c r="AB104" t="s">
        <v>186</v>
      </c>
      <c r="AC104" s="2">
        <v>43546.648113425923</v>
      </c>
      <c r="AD104" t="s">
        <v>158</v>
      </c>
      <c r="AE104" s="2">
        <v>43546.648113425923</v>
      </c>
      <c r="AF104" t="s">
        <v>158</v>
      </c>
    </row>
    <row r="105" spans="1:32" x14ac:dyDescent="0.25">
      <c r="A105">
        <v>93</v>
      </c>
      <c r="B105" s="3">
        <v>43546</v>
      </c>
      <c r="C105" s="4">
        <f>AE105-(7/24)</f>
        <v>43546.357581018528</v>
      </c>
      <c r="D105" t="s">
        <v>185</v>
      </c>
      <c r="E105">
        <v>5</v>
      </c>
      <c r="F105" t="s">
        <v>31</v>
      </c>
      <c r="G105" t="s">
        <v>125</v>
      </c>
      <c r="L105" t="s">
        <v>153</v>
      </c>
      <c r="AB105" t="s">
        <v>189</v>
      </c>
      <c r="AC105" s="2">
        <v>43546.649247685193</v>
      </c>
      <c r="AD105" t="s">
        <v>158</v>
      </c>
      <c r="AE105" s="2">
        <v>43546.649247685193</v>
      </c>
      <c r="AF105" t="s">
        <v>158</v>
      </c>
    </row>
    <row r="106" spans="1:32" x14ac:dyDescent="0.25">
      <c r="A106">
        <v>103</v>
      </c>
      <c r="B106" s="3">
        <v>43546</v>
      </c>
      <c r="C106" s="4">
        <f>AE106-(7/24)</f>
        <v>43546.360428240732</v>
      </c>
      <c r="D106" t="s">
        <v>185</v>
      </c>
      <c r="E106">
        <v>2</v>
      </c>
      <c r="F106" t="s">
        <v>31</v>
      </c>
      <c r="G106" t="s">
        <v>171</v>
      </c>
      <c r="L106" t="s">
        <v>153</v>
      </c>
      <c r="AB106" t="s">
        <v>203</v>
      </c>
      <c r="AC106" s="2">
        <v>43546.652094907397</v>
      </c>
      <c r="AD106" t="s">
        <v>158</v>
      </c>
      <c r="AE106" s="2">
        <v>43546.652094907397</v>
      </c>
      <c r="AF106" t="s">
        <v>158</v>
      </c>
    </row>
    <row r="107" spans="1:32" x14ac:dyDescent="0.25">
      <c r="A107">
        <v>144</v>
      </c>
      <c r="B107" s="3">
        <v>43546</v>
      </c>
      <c r="C107" s="4">
        <f>AE107-(7/24)</f>
        <v>43546.408182870378</v>
      </c>
      <c r="D107" t="s">
        <v>246</v>
      </c>
      <c r="E107">
        <v>1</v>
      </c>
      <c r="F107" t="s">
        <v>31</v>
      </c>
      <c r="G107" t="s">
        <v>32</v>
      </c>
      <c r="L107" t="s">
        <v>153</v>
      </c>
      <c r="AB107" t="s">
        <v>247</v>
      </c>
      <c r="AC107" s="2">
        <v>43546.699849537043</v>
      </c>
      <c r="AD107" t="s">
        <v>158</v>
      </c>
      <c r="AE107" s="2">
        <v>43546.699849537043</v>
      </c>
      <c r="AF107" t="s">
        <v>158</v>
      </c>
    </row>
    <row r="108" spans="1:32" x14ac:dyDescent="0.25">
      <c r="A108">
        <v>46</v>
      </c>
      <c r="B108" s="3">
        <v>43546</v>
      </c>
      <c r="C108" s="4">
        <f>AE108-(7/24)</f>
        <v>43546.411099537043</v>
      </c>
      <c r="D108" t="s">
        <v>115</v>
      </c>
      <c r="E108">
        <v>1</v>
      </c>
      <c r="F108" t="s">
        <v>31</v>
      </c>
      <c r="G108" t="s">
        <v>40</v>
      </c>
      <c r="L108" t="s">
        <v>33</v>
      </c>
      <c r="AB108" t="s">
        <v>116</v>
      </c>
      <c r="AC108" s="2">
        <v>43546.702766203707</v>
      </c>
      <c r="AD108" t="s">
        <v>35</v>
      </c>
      <c r="AE108" s="2">
        <v>43546.702766203707</v>
      </c>
      <c r="AF108" t="s">
        <v>35</v>
      </c>
    </row>
    <row r="109" spans="1:32" x14ac:dyDescent="0.25">
      <c r="A109">
        <v>28</v>
      </c>
      <c r="B109" s="3">
        <v>43546</v>
      </c>
      <c r="C109" s="4">
        <f>AE109-(7/24)</f>
        <v>43546.392094907409</v>
      </c>
      <c r="D109" t="s">
        <v>88</v>
      </c>
      <c r="E109">
        <v>4</v>
      </c>
      <c r="F109" t="s">
        <v>31</v>
      </c>
      <c r="G109" t="s">
        <v>52</v>
      </c>
      <c r="L109" t="s">
        <v>33</v>
      </c>
      <c r="AB109" t="s">
        <v>89</v>
      </c>
      <c r="AC109" s="2">
        <v>43546.683761574073</v>
      </c>
      <c r="AD109" t="s">
        <v>35</v>
      </c>
      <c r="AE109" s="2">
        <v>43546.683761574073</v>
      </c>
      <c r="AF109" t="s">
        <v>35</v>
      </c>
    </row>
    <row r="110" spans="1:32" x14ac:dyDescent="0.25">
      <c r="A110">
        <v>31</v>
      </c>
      <c r="B110" s="3">
        <v>43546</v>
      </c>
      <c r="C110" s="4">
        <f>AE110-(7/24)</f>
        <v>43546.397291666668</v>
      </c>
      <c r="D110" t="s">
        <v>88</v>
      </c>
      <c r="E110">
        <v>5</v>
      </c>
      <c r="F110" t="s">
        <v>31</v>
      </c>
      <c r="G110" t="s">
        <v>52</v>
      </c>
      <c r="L110" t="s">
        <v>33</v>
      </c>
      <c r="AB110" t="s">
        <v>93</v>
      </c>
      <c r="AC110" s="2">
        <v>43546.688958333332</v>
      </c>
      <c r="AD110" t="s">
        <v>35</v>
      </c>
      <c r="AE110" s="2">
        <v>43546.688958333332</v>
      </c>
      <c r="AF110" t="s">
        <v>35</v>
      </c>
    </row>
    <row r="111" spans="1:32" x14ac:dyDescent="0.25">
      <c r="A111">
        <v>35</v>
      </c>
      <c r="B111" s="3">
        <v>43546</v>
      </c>
      <c r="C111" s="4">
        <f>AE111-(7/24)</f>
        <v>43546.400879629633</v>
      </c>
      <c r="D111" t="s">
        <v>88</v>
      </c>
      <c r="E111">
        <v>2</v>
      </c>
      <c r="F111" t="s">
        <v>31</v>
      </c>
      <c r="G111" t="s">
        <v>40</v>
      </c>
      <c r="L111" t="s">
        <v>33</v>
      </c>
      <c r="AB111" t="s">
        <v>97</v>
      </c>
      <c r="AC111" s="2">
        <v>43546.692546296297</v>
      </c>
      <c r="AD111" t="s">
        <v>35</v>
      </c>
      <c r="AE111" s="2">
        <v>43546.692546296297</v>
      </c>
      <c r="AF111" t="s">
        <v>35</v>
      </c>
    </row>
    <row r="112" spans="1:32" x14ac:dyDescent="0.25">
      <c r="A112">
        <v>37</v>
      </c>
      <c r="B112" s="3">
        <v>43546</v>
      </c>
      <c r="C112" s="4">
        <f>AE112-(7/24)</f>
        <v>43546.402268518519</v>
      </c>
      <c r="D112" t="s">
        <v>88</v>
      </c>
      <c r="E112">
        <v>3</v>
      </c>
      <c r="F112" t="s">
        <v>31</v>
      </c>
      <c r="G112" t="s">
        <v>52</v>
      </c>
      <c r="L112" t="s">
        <v>33</v>
      </c>
      <c r="AB112" t="s">
        <v>100</v>
      </c>
      <c r="AC112" s="2">
        <v>43546.693935185183</v>
      </c>
      <c r="AD112" t="s">
        <v>35</v>
      </c>
      <c r="AE112" s="2">
        <v>43546.693935185183</v>
      </c>
      <c r="AF112" t="s">
        <v>35</v>
      </c>
    </row>
    <row r="113" spans="1:32" x14ac:dyDescent="0.25">
      <c r="A113">
        <v>127</v>
      </c>
      <c r="B113" s="3">
        <v>43546</v>
      </c>
      <c r="C113" s="4">
        <f>AE113-(7/24)</f>
        <v>43546.381469907406</v>
      </c>
      <c r="D113" t="s">
        <v>88</v>
      </c>
      <c r="E113">
        <v>4</v>
      </c>
      <c r="F113" t="s">
        <v>31</v>
      </c>
      <c r="G113" t="s">
        <v>40</v>
      </c>
      <c r="L113" t="s">
        <v>153</v>
      </c>
      <c r="AB113" t="s">
        <v>228</v>
      </c>
      <c r="AC113" s="2">
        <v>43546.673136574071</v>
      </c>
      <c r="AD113" t="s">
        <v>158</v>
      </c>
      <c r="AE113" s="2">
        <v>43546.673136574071</v>
      </c>
      <c r="AF113" t="s">
        <v>158</v>
      </c>
    </row>
    <row r="114" spans="1:32" x14ac:dyDescent="0.25">
      <c r="A114">
        <v>97</v>
      </c>
      <c r="B114" s="3">
        <v>43546</v>
      </c>
      <c r="C114" s="4">
        <f>AE114-(7/24)</f>
        <v>43546.358379629623</v>
      </c>
      <c r="D114" t="s">
        <v>194</v>
      </c>
      <c r="E114">
        <v>1</v>
      </c>
      <c r="F114" t="s">
        <v>31</v>
      </c>
      <c r="G114" t="s">
        <v>152</v>
      </c>
      <c r="L114" t="s">
        <v>153</v>
      </c>
      <c r="AB114" t="s">
        <v>195</v>
      </c>
      <c r="AC114" s="2">
        <v>43546.650046296287</v>
      </c>
      <c r="AD114" t="s">
        <v>158</v>
      </c>
      <c r="AE114" s="2">
        <v>43546.650046296287</v>
      </c>
      <c r="AF114" t="s">
        <v>158</v>
      </c>
    </row>
    <row r="115" spans="1:32" x14ac:dyDescent="0.25">
      <c r="A115">
        <v>102</v>
      </c>
      <c r="B115" s="3">
        <v>43546</v>
      </c>
      <c r="C115" s="4">
        <f>AE115-(7/24)</f>
        <v>43546.360243055555</v>
      </c>
      <c r="D115" t="s">
        <v>194</v>
      </c>
      <c r="E115">
        <v>3</v>
      </c>
      <c r="F115" t="s">
        <v>31</v>
      </c>
      <c r="G115" t="s">
        <v>152</v>
      </c>
      <c r="L115" t="s">
        <v>153</v>
      </c>
      <c r="AB115" t="s">
        <v>202</v>
      </c>
      <c r="AC115" s="2">
        <v>43546.651909722219</v>
      </c>
      <c r="AD115" t="s">
        <v>158</v>
      </c>
      <c r="AE115" s="2">
        <v>43546.651909722219</v>
      </c>
      <c r="AF115" t="s">
        <v>158</v>
      </c>
    </row>
    <row r="116" spans="1:32" x14ac:dyDescent="0.25">
      <c r="A116">
        <v>105</v>
      </c>
      <c r="B116" s="3">
        <v>43546</v>
      </c>
      <c r="C116" s="4">
        <f>AE116-(7/24)</f>
        <v>43546.361215277779</v>
      </c>
      <c r="D116" t="s">
        <v>194</v>
      </c>
      <c r="E116">
        <v>2</v>
      </c>
      <c r="F116" t="s">
        <v>31</v>
      </c>
      <c r="G116" t="s">
        <v>152</v>
      </c>
      <c r="L116" t="s">
        <v>153</v>
      </c>
      <c r="AB116" t="s">
        <v>205</v>
      </c>
      <c r="AC116" s="2">
        <v>43546.652881944443</v>
      </c>
      <c r="AD116" t="s">
        <v>158</v>
      </c>
      <c r="AE116" s="2">
        <v>43546.652881944443</v>
      </c>
      <c r="AF116" t="s">
        <v>158</v>
      </c>
    </row>
    <row r="117" spans="1:32" x14ac:dyDescent="0.25">
      <c r="A117">
        <v>20</v>
      </c>
      <c r="B117" s="3">
        <v>43546</v>
      </c>
      <c r="C117" s="4">
        <f>AE117-(7/24)</f>
        <v>43546.389675925922</v>
      </c>
      <c r="D117" t="s">
        <v>74</v>
      </c>
      <c r="E117">
        <v>8</v>
      </c>
      <c r="F117" t="s">
        <v>31</v>
      </c>
      <c r="G117" t="s">
        <v>52</v>
      </c>
      <c r="L117" t="s">
        <v>33</v>
      </c>
      <c r="AB117" t="s">
        <v>75</v>
      </c>
      <c r="AC117" s="2">
        <v>43546.681342592587</v>
      </c>
      <c r="AD117" t="s">
        <v>35</v>
      </c>
      <c r="AE117" s="2">
        <v>43546.681342592587</v>
      </c>
      <c r="AF117" t="s">
        <v>35</v>
      </c>
    </row>
    <row r="118" spans="1:32" x14ac:dyDescent="0.25">
      <c r="A118">
        <v>161</v>
      </c>
      <c r="B118" s="3">
        <v>43546</v>
      </c>
      <c r="C118" s="4">
        <f>AE118-(7/24)</f>
        <v>43546.424502314818</v>
      </c>
      <c r="D118" t="s">
        <v>74</v>
      </c>
      <c r="E118">
        <v>1</v>
      </c>
      <c r="F118" t="s">
        <v>31</v>
      </c>
      <c r="G118" t="s">
        <v>32</v>
      </c>
      <c r="L118" t="s">
        <v>153</v>
      </c>
      <c r="AB118" t="s">
        <v>272</v>
      </c>
      <c r="AC118" s="2">
        <v>43546.716168981482</v>
      </c>
      <c r="AD118" t="s">
        <v>158</v>
      </c>
      <c r="AE118" s="2">
        <v>43546.716168981482</v>
      </c>
      <c r="AF118" t="s">
        <v>158</v>
      </c>
    </row>
    <row r="119" spans="1:32" x14ac:dyDescent="0.25">
      <c r="B119" s="3">
        <v>43546</v>
      </c>
      <c r="D119" t="s">
        <v>74</v>
      </c>
      <c r="E119">
        <v>4</v>
      </c>
      <c r="F119" t="s">
        <v>31</v>
      </c>
      <c r="J119" t="s">
        <v>295</v>
      </c>
      <c r="L119" t="s">
        <v>153</v>
      </c>
    </row>
    <row r="120" spans="1:32" x14ac:dyDescent="0.25">
      <c r="A120">
        <v>12</v>
      </c>
      <c r="B120" s="3">
        <v>43546</v>
      </c>
      <c r="C120" s="4">
        <f>AE120-(7/24)</f>
        <v>43546.377118055556</v>
      </c>
      <c r="D120" t="s">
        <v>59</v>
      </c>
      <c r="E120">
        <v>1</v>
      </c>
      <c r="F120" t="s">
        <v>31</v>
      </c>
      <c r="G120" t="s">
        <v>40</v>
      </c>
      <c r="L120" t="s">
        <v>33</v>
      </c>
      <c r="AB120" t="s">
        <v>60</v>
      </c>
      <c r="AC120" s="2">
        <v>43546.66878472222</v>
      </c>
      <c r="AD120" t="s">
        <v>35</v>
      </c>
      <c r="AE120" s="2">
        <v>43546.66878472222</v>
      </c>
      <c r="AF120" t="s">
        <v>35</v>
      </c>
    </row>
    <row r="121" spans="1:32" x14ac:dyDescent="0.25">
      <c r="A121">
        <v>76</v>
      </c>
      <c r="B121" s="3">
        <v>43546</v>
      </c>
      <c r="C121" s="4">
        <f>AE121-(7/24)</f>
        <v>43546.341481481482</v>
      </c>
      <c r="D121" t="s">
        <v>168</v>
      </c>
      <c r="E121">
        <v>1</v>
      </c>
      <c r="F121" t="s">
        <v>31</v>
      </c>
      <c r="G121" t="s">
        <v>125</v>
      </c>
      <c r="L121" t="s">
        <v>153</v>
      </c>
      <c r="AB121" t="s">
        <v>169</v>
      </c>
      <c r="AC121" s="2">
        <v>43546.633148148147</v>
      </c>
      <c r="AD121" t="s">
        <v>158</v>
      </c>
      <c r="AE121" s="2">
        <v>43546.633148148147</v>
      </c>
      <c r="AF121" t="s">
        <v>158</v>
      </c>
    </row>
    <row r="122" spans="1:32" x14ac:dyDescent="0.25">
      <c r="A122">
        <v>137</v>
      </c>
      <c r="B122" s="3">
        <v>43546</v>
      </c>
      <c r="C122" s="4">
        <f>AE122-(7/24)</f>
        <v>43546.396469907413</v>
      </c>
      <c r="D122" t="s">
        <v>238</v>
      </c>
      <c r="E122">
        <v>5</v>
      </c>
      <c r="F122" t="s">
        <v>31</v>
      </c>
      <c r="G122" t="s">
        <v>52</v>
      </c>
      <c r="L122" t="s">
        <v>153</v>
      </c>
      <c r="AB122" t="s">
        <v>239</v>
      </c>
      <c r="AC122" s="2">
        <v>43546.688136574077</v>
      </c>
      <c r="AD122" t="s">
        <v>158</v>
      </c>
      <c r="AE122" s="2">
        <v>43546.688136574077</v>
      </c>
      <c r="AF122" t="s">
        <v>158</v>
      </c>
    </row>
    <row r="123" spans="1:32" x14ac:dyDescent="0.25">
      <c r="A123">
        <v>57</v>
      </c>
      <c r="B123" s="3">
        <v>43546</v>
      </c>
      <c r="C123" s="4">
        <f>AE123-(7/24)</f>
        <v>43546.422928240732</v>
      </c>
      <c r="D123" t="s">
        <v>133</v>
      </c>
      <c r="E123">
        <v>2</v>
      </c>
      <c r="F123" t="s">
        <v>31</v>
      </c>
      <c r="G123" t="s">
        <v>37</v>
      </c>
      <c r="L123" t="s">
        <v>33</v>
      </c>
      <c r="AB123" t="s">
        <v>134</v>
      </c>
      <c r="AC123" s="2">
        <v>43546.714594907397</v>
      </c>
      <c r="AD123" t="s">
        <v>35</v>
      </c>
      <c r="AE123" s="2">
        <v>43546.714594907397</v>
      </c>
      <c r="AF123" t="s">
        <v>35</v>
      </c>
    </row>
    <row r="124" spans="1:32" x14ac:dyDescent="0.25">
      <c r="A124">
        <v>22</v>
      </c>
      <c r="B124" s="3">
        <v>43546</v>
      </c>
      <c r="C124" s="4">
        <f>AE124-(7/24)</f>
        <v>43546.390219907407</v>
      </c>
      <c r="D124" t="s">
        <v>78</v>
      </c>
      <c r="E124">
        <v>5</v>
      </c>
      <c r="F124" t="s">
        <v>31</v>
      </c>
      <c r="G124" t="s">
        <v>52</v>
      </c>
      <c r="L124" t="s">
        <v>33</v>
      </c>
      <c r="AB124" t="s">
        <v>79</v>
      </c>
      <c r="AC124" s="2">
        <v>43546.681886574072</v>
      </c>
      <c r="AD124" t="s">
        <v>35</v>
      </c>
      <c r="AE124" s="2">
        <v>43546.681886574072</v>
      </c>
      <c r="AF124" t="s">
        <v>35</v>
      </c>
    </row>
    <row r="125" spans="1:32" x14ac:dyDescent="0.25">
      <c r="A125">
        <v>19</v>
      </c>
      <c r="B125" s="3">
        <v>43546</v>
      </c>
      <c r="C125" s="4">
        <f>AE125-(7/24)</f>
        <v>43546.388449074075</v>
      </c>
      <c r="D125" t="s">
        <v>72</v>
      </c>
      <c r="E125">
        <v>1</v>
      </c>
      <c r="F125" t="s">
        <v>31</v>
      </c>
      <c r="G125" t="s">
        <v>40</v>
      </c>
      <c r="L125" t="s">
        <v>33</v>
      </c>
      <c r="AB125" t="s">
        <v>73</v>
      </c>
      <c r="AC125" s="2">
        <v>43546.680115740739</v>
      </c>
      <c r="AD125" t="s">
        <v>35</v>
      </c>
      <c r="AE125" s="2">
        <v>43546.680115740739</v>
      </c>
      <c r="AF125" t="s">
        <v>35</v>
      </c>
    </row>
    <row r="126" spans="1:32" x14ac:dyDescent="0.25">
      <c r="A126">
        <v>101</v>
      </c>
      <c r="B126" s="3">
        <v>43546</v>
      </c>
      <c r="C126" s="4">
        <f>AE126-(7/24)</f>
        <v>43546.359826388893</v>
      </c>
      <c r="D126" t="s">
        <v>72</v>
      </c>
      <c r="E126">
        <v>1</v>
      </c>
      <c r="F126" t="s">
        <v>31</v>
      </c>
      <c r="G126" t="s">
        <v>171</v>
      </c>
      <c r="L126" t="s">
        <v>153</v>
      </c>
      <c r="AB126" t="s">
        <v>201</v>
      </c>
      <c r="AC126" s="2">
        <v>43546.651493055557</v>
      </c>
      <c r="AD126" t="s">
        <v>158</v>
      </c>
      <c r="AE126" s="2">
        <v>43546.651493055557</v>
      </c>
      <c r="AF126" t="s">
        <v>158</v>
      </c>
    </row>
    <row r="127" spans="1:32" x14ac:dyDescent="0.25">
      <c r="A127">
        <v>117</v>
      </c>
      <c r="B127" s="3">
        <v>43546</v>
      </c>
      <c r="C127" s="4">
        <f>AE127-(7/24)</f>
        <v>43546.375914351855</v>
      </c>
      <c r="D127" t="s">
        <v>72</v>
      </c>
      <c r="E127">
        <v>1</v>
      </c>
      <c r="F127" t="s">
        <v>56</v>
      </c>
      <c r="G127" t="s">
        <v>171</v>
      </c>
      <c r="L127" t="s">
        <v>153</v>
      </c>
      <c r="AB127" t="s">
        <v>217</v>
      </c>
      <c r="AC127" s="2">
        <v>43546.667581018519</v>
      </c>
      <c r="AD127" t="s">
        <v>158</v>
      </c>
      <c r="AE127" s="2">
        <v>43546.667581018519</v>
      </c>
      <c r="AF127" t="s">
        <v>158</v>
      </c>
    </row>
    <row r="128" spans="1:32" x14ac:dyDescent="0.25">
      <c r="A128">
        <v>16</v>
      </c>
      <c r="B128" s="3">
        <v>43546</v>
      </c>
      <c r="C128" s="4">
        <f>AE128-(7/24)</f>
        <v>43546.381539351853</v>
      </c>
      <c r="D128" t="s">
        <v>66</v>
      </c>
      <c r="E128">
        <v>2</v>
      </c>
      <c r="F128" t="s">
        <v>31</v>
      </c>
      <c r="L128" t="s">
        <v>33</v>
      </c>
      <c r="AB128" t="s">
        <v>67</v>
      </c>
      <c r="AC128" s="2">
        <v>43546.673206018517</v>
      </c>
      <c r="AD128" t="s">
        <v>35</v>
      </c>
      <c r="AE128" s="2">
        <v>43546.673206018517</v>
      </c>
      <c r="AF128" t="s">
        <v>35</v>
      </c>
    </row>
    <row r="129" spans="1:32" x14ac:dyDescent="0.25">
      <c r="A129">
        <v>18</v>
      </c>
      <c r="B129" s="3">
        <v>43546</v>
      </c>
      <c r="C129" s="4">
        <f>AE129-(7/24)</f>
        <v>43546.384884259263</v>
      </c>
      <c r="D129" t="s">
        <v>66</v>
      </c>
      <c r="E129">
        <v>3</v>
      </c>
      <c r="F129" t="s">
        <v>31</v>
      </c>
      <c r="G129" t="s">
        <v>70</v>
      </c>
      <c r="L129" t="s">
        <v>33</v>
      </c>
      <c r="AB129" t="s">
        <v>71</v>
      </c>
      <c r="AC129" s="2">
        <v>43546.676550925928</v>
      </c>
      <c r="AD129" t="s">
        <v>35</v>
      </c>
      <c r="AE129" s="2">
        <v>43546.676550925928</v>
      </c>
      <c r="AF129" t="s">
        <v>35</v>
      </c>
    </row>
    <row r="130" spans="1:32" x14ac:dyDescent="0.25">
      <c r="A130">
        <v>24</v>
      </c>
      <c r="B130" s="3">
        <v>43546</v>
      </c>
      <c r="C130" s="4">
        <f>AE130-(7/24)</f>
        <v>43546.390995370362</v>
      </c>
      <c r="D130" t="s">
        <v>66</v>
      </c>
      <c r="E130">
        <v>1</v>
      </c>
      <c r="F130" t="s">
        <v>31</v>
      </c>
      <c r="G130" t="s">
        <v>52</v>
      </c>
      <c r="L130" t="s">
        <v>33</v>
      </c>
      <c r="AB130" t="s">
        <v>82</v>
      </c>
      <c r="AC130" s="2">
        <v>43546.682662037027</v>
      </c>
      <c r="AD130" t="s">
        <v>35</v>
      </c>
      <c r="AE130" s="2">
        <v>43546.682662037027</v>
      </c>
      <c r="AF130" t="s">
        <v>35</v>
      </c>
    </row>
    <row r="131" spans="1:32" x14ac:dyDescent="0.25">
      <c r="A131">
        <v>27</v>
      </c>
      <c r="B131" s="3">
        <v>43546</v>
      </c>
      <c r="C131" s="4">
        <f>AE131-(7/24)</f>
        <v>43546.391875000008</v>
      </c>
      <c r="D131" t="s">
        <v>66</v>
      </c>
      <c r="E131">
        <v>2</v>
      </c>
      <c r="F131" t="s">
        <v>31</v>
      </c>
      <c r="G131" t="s">
        <v>52</v>
      </c>
      <c r="L131" t="s">
        <v>33</v>
      </c>
      <c r="AB131" t="s">
        <v>87</v>
      </c>
      <c r="AC131" s="2">
        <v>43546.683541666673</v>
      </c>
      <c r="AD131" t="s">
        <v>35</v>
      </c>
      <c r="AE131" s="2">
        <v>43546.683541666673</v>
      </c>
      <c r="AF131" t="s">
        <v>35</v>
      </c>
    </row>
    <row r="132" spans="1:32" x14ac:dyDescent="0.25">
      <c r="A132">
        <v>34</v>
      </c>
      <c r="B132" s="3">
        <v>43546</v>
      </c>
      <c r="C132" s="4">
        <f>AE132-(7/24)</f>
        <v>43546.399733796308</v>
      </c>
      <c r="D132" t="s">
        <v>66</v>
      </c>
      <c r="E132">
        <v>1</v>
      </c>
      <c r="F132" t="s">
        <v>31</v>
      </c>
      <c r="G132" t="s">
        <v>52</v>
      </c>
      <c r="L132" t="s">
        <v>33</v>
      </c>
      <c r="AB132" t="s">
        <v>96</v>
      </c>
      <c r="AC132" s="2">
        <v>43546.691400462973</v>
      </c>
      <c r="AD132" t="s">
        <v>35</v>
      </c>
      <c r="AE132" s="2">
        <v>43546.691400462973</v>
      </c>
      <c r="AF132" t="s">
        <v>35</v>
      </c>
    </row>
    <row r="133" spans="1:32" x14ac:dyDescent="0.25">
      <c r="A133">
        <v>61</v>
      </c>
      <c r="B133" s="3">
        <v>43546</v>
      </c>
      <c r="C133" s="4">
        <f>AE133-(7/24)</f>
        <v>43546.424305555556</v>
      </c>
      <c r="D133" t="s">
        <v>66</v>
      </c>
      <c r="E133">
        <v>1</v>
      </c>
      <c r="F133" t="s">
        <v>31</v>
      </c>
      <c r="G133" t="s">
        <v>70</v>
      </c>
      <c r="L133" t="s">
        <v>33</v>
      </c>
      <c r="AB133" t="s">
        <v>139</v>
      </c>
      <c r="AC133" s="2">
        <v>43546.71597222222</v>
      </c>
      <c r="AD133" t="s">
        <v>35</v>
      </c>
      <c r="AE133" s="2">
        <v>43546.71597222222</v>
      </c>
      <c r="AF133" t="s">
        <v>35</v>
      </c>
    </row>
    <row r="134" spans="1:32" x14ac:dyDescent="0.25">
      <c r="A134">
        <v>81</v>
      </c>
      <c r="B134" s="3">
        <v>43546</v>
      </c>
      <c r="C134" s="4">
        <f>AE134-(7/24)</f>
        <v>43546.346053240733</v>
      </c>
      <c r="D134" t="s">
        <v>66</v>
      </c>
      <c r="E134">
        <v>1</v>
      </c>
      <c r="F134" t="s">
        <v>31</v>
      </c>
      <c r="G134" t="s">
        <v>70</v>
      </c>
      <c r="L134" t="s">
        <v>153</v>
      </c>
      <c r="AB134" t="s">
        <v>176</v>
      </c>
      <c r="AC134" s="2">
        <v>43546.637719907398</v>
      </c>
      <c r="AD134" t="s">
        <v>158</v>
      </c>
      <c r="AE134" s="2">
        <v>43546.637719907398</v>
      </c>
      <c r="AF134" t="s">
        <v>158</v>
      </c>
    </row>
    <row r="135" spans="1:32" x14ac:dyDescent="0.25">
      <c r="A135">
        <v>100</v>
      </c>
      <c r="B135" s="3">
        <v>43546</v>
      </c>
      <c r="C135" s="4">
        <f>AE135-(7/24)</f>
        <v>43546.359525462969</v>
      </c>
      <c r="D135" t="s">
        <v>66</v>
      </c>
      <c r="E135">
        <v>1</v>
      </c>
      <c r="F135" t="s">
        <v>31</v>
      </c>
      <c r="G135" t="s">
        <v>152</v>
      </c>
      <c r="L135" t="s">
        <v>153</v>
      </c>
      <c r="AB135" t="s">
        <v>200</v>
      </c>
      <c r="AC135" s="2">
        <v>43546.651192129633</v>
      </c>
      <c r="AD135" t="s">
        <v>158</v>
      </c>
      <c r="AE135" s="2">
        <v>43546.651192129633</v>
      </c>
      <c r="AF135" t="s">
        <v>158</v>
      </c>
    </row>
    <row r="136" spans="1:32" x14ac:dyDescent="0.25">
      <c r="A136">
        <v>112</v>
      </c>
      <c r="B136" s="3">
        <v>43546</v>
      </c>
      <c r="C136" s="4">
        <f>AE136-(7/24)</f>
        <v>43546.369456018518</v>
      </c>
      <c r="D136" t="s">
        <v>66</v>
      </c>
      <c r="E136">
        <v>1</v>
      </c>
      <c r="F136" t="s">
        <v>31</v>
      </c>
      <c r="G136" t="s">
        <v>70</v>
      </c>
      <c r="L136" t="s">
        <v>153</v>
      </c>
      <c r="AB136" t="s">
        <v>212</v>
      </c>
      <c r="AC136" s="2">
        <v>43546.661122685182</v>
      </c>
      <c r="AD136" t="s">
        <v>158</v>
      </c>
      <c r="AE136" s="2">
        <v>43546.661122685182</v>
      </c>
      <c r="AF136" t="s">
        <v>158</v>
      </c>
    </row>
    <row r="137" spans="1:32" x14ac:dyDescent="0.25">
      <c r="A137">
        <v>121</v>
      </c>
      <c r="B137" s="3">
        <v>43546</v>
      </c>
      <c r="C137" s="4">
        <f>AE137-(7/24)</f>
        <v>43546.377685185187</v>
      </c>
      <c r="D137" t="s">
        <v>66</v>
      </c>
      <c r="E137">
        <v>1</v>
      </c>
      <c r="F137" t="s">
        <v>31</v>
      </c>
      <c r="G137" t="s">
        <v>70</v>
      </c>
      <c r="L137" t="s">
        <v>153</v>
      </c>
      <c r="AB137" t="s">
        <v>221</v>
      </c>
      <c r="AC137" s="2">
        <v>43546.669351851851</v>
      </c>
      <c r="AD137" t="s">
        <v>158</v>
      </c>
      <c r="AE137" s="2">
        <v>43546.669351851851</v>
      </c>
      <c r="AF137" t="s">
        <v>158</v>
      </c>
    </row>
    <row r="138" spans="1:32" x14ac:dyDescent="0.25">
      <c r="A138">
        <v>129</v>
      </c>
      <c r="B138" s="3">
        <v>43546</v>
      </c>
      <c r="C138" s="4">
        <f>AE138-(7/24)</f>
        <v>43546.384155092594</v>
      </c>
      <c r="D138" t="s">
        <v>66</v>
      </c>
      <c r="E138">
        <v>1</v>
      </c>
      <c r="F138" t="s">
        <v>31</v>
      </c>
      <c r="G138" t="s">
        <v>70</v>
      </c>
      <c r="L138" t="s">
        <v>153</v>
      </c>
      <c r="AB138" t="s">
        <v>230</v>
      </c>
      <c r="AC138" s="2">
        <v>43546.675821759258</v>
      </c>
      <c r="AD138" t="s">
        <v>158</v>
      </c>
      <c r="AE138" s="2">
        <v>43546.675821759258</v>
      </c>
      <c r="AF138" t="s">
        <v>158</v>
      </c>
    </row>
    <row r="139" spans="1:32" x14ac:dyDescent="0.25">
      <c r="A139">
        <v>132</v>
      </c>
      <c r="B139" s="3">
        <v>43546</v>
      </c>
      <c r="C139" s="4">
        <f>AE139-(7/24)</f>
        <v>43546.389016203706</v>
      </c>
      <c r="D139" t="s">
        <v>66</v>
      </c>
      <c r="E139">
        <v>1</v>
      </c>
      <c r="F139" t="s">
        <v>31</v>
      </c>
      <c r="G139" t="s">
        <v>70</v>
      </c>
      <c r="L139" t="s">
        <v>153</v>
      </c>
      <c r="AB139" t="s">
        <v>233</v>
      </c>
      <c r="AC139" s="2">
        <v>43546.68068287037</v>
      </c>
      <c r="AD139" t="s">
        <v>158</v>
      </c>
      <c r="AE139" s="2">
        <v>43546.68068287037</v>
      </c>
      <c r="AF139" t="s">
        <v>158</v>
      </c>
    </row>
    <row r="140" spans="1:32" x14ac:dyDescent="0.25">
      <c r="A140">
        <v>138</v>
      </c>
      <c r="B140" s="3">
        <v>43546</v>
      </c>
      <c r="C140" s="4">
        <f>AE140-(7/24)</f>
        <v>43546.399664351855</v>
      </c>
      <c r="D140" t="s">
        <v>66</v>
      </c>
      <c r="E140">
        <v>2</v>
      </c>
      <c r="F140" t="s">
        <v>31</v>
      </c>
      <c r="G140" t="s">
        <v>152</v>
      </c>
      <c r="L140" t="s">
        <v>153</v>
      </c>
      <c r="AB140" t="s">
        <v>240</v>
      </c>
      <c r="AC140" s="2">
        <v>43546.691331018519</v>
      </c>
      <c r="AD140" t="s">
        <v>158</v>
      </c>
      <c r="AE140" s="2">
        <v>43546.691331018519</v>
      </c>
      <c r="AF140" t="s">
        <v>158</v>
      </c>
    </row>
    <row r="141" spans="1:32" x14ac:dyDescent="0.25">
      <c r="A141">
        <v>142</v>
      </c>
      <c r="B141" s="3">
        <v>43546</v>
      </c>
      <c r="C141" s="4">
        <f>AE141-(7/24)</f>
        <v>43546.401655092595</v>
      </c>
      <c r="D141" t="s">
        <v>66</v>
      </c>
      <c r="E141">
        <v>1</v>
      </c>
      <c r="F141" t="s">
        <v>31</v>
      </c>
      <c r="G141" t="s">
        <v>52</v>
      </c>
      <c r="L141" t="s">
        <v>153</v>
      </c>
      <c r="AB141" t="s">
        <v>244</v>
      </c>
      <c r="AC141" s="2">
        <v>43546.69332175926</v>
      </c>
      <c r="AD141" t="s">
        <v>158</v>
      </c>
      <c r="AE141" s="2">
        <v>43546.69332175926</v>
      </c>
      <c r="AF141" t="s">
        <v>158</v>
      </c>
    </row>
    <row r="142" spans="1:32" x14ac:dyDescent="0.25">
      <c r="A142">
        <v>148</v>
      </c>
      <c r="B142" s="3">
        <v>43546</v>
      </c>
      <c r="C142" s="4">
        <f>AE142-(7/24)</f>
        <v>43546.410775462966</v>
      </c>
      <c r="D142" t="s">
        <v>66</v>
      </c>
      <c r="E142">
        <v>2</v>
      </c>
      <c r="F142" t="s">
        <v>31</v>
      </c>
      <c r="G142" t="s">
        <v>70</v>
      </c>
      <c r="L142" t="s">
        <v>153</v>
      </c>
      <c r="AB142" t="s">
        <v>252</v>
      </c>
      <c r="AC142" s="2">
        <v>43546.70244212963</v>
      </c>
      <c r="AD142" t="s">
        <v>158</v>
      </c>
      <c r="AE142" s="2">
        <v>43546.70244212963</v>
      </c>
      <c r="AF142" t="s">
        <v>158</v>
      </c>
    </row>
    <row r="143" spans="1:32" x14ac:dyDescent="0.25">
      <c r="A143">
        <v>153</v>
      </c>
      <c r="B143" s="3">
        <v>43546</v>
      </c>
      <c r="C143" s="4">
        <f>AE143-(7/24)</f>
        <v>43546.415462962963</v>
      </c>
      <c r="D143" t="s">
        <v>66</v>
      </c>
      <c r="E143">
        <v>1</v>
      </c>
      <c r="F143" t="s">
        <v>31</v>
      </c>
      <c r="G143" t="s">
        <v>47</v>
      </c>
      <c r="L143" t="s">
        <v>153</v>
      </c>
      <c r="AB143" t="s">
        <v>258</v>
      </c>
      <c r="AC143" s="2">
        <v>43546.707129629627</v>
      </c>
      <c r="AD143" t="s">
        <v>158</v>
      </c>
      <c r="AE143" s="2">
        <v>43546.707129629627</v>
      </c>
      <c r="AF143" t="s">
        <v>158</v>
      </c>
    </row>
    <row r="144" spans="1:32" x14ac:dyDescent="0.25">
      <c r="A144">
        <v>157</v>
      </c>
      <c r="B144" s="3">
        <v>43546</v>
      </c>
      <c r="C144" s="4">
        <f>AE144-(7/24)</f>
        <v>43546.418495370373</v>
      </c>
      <c r="D144" t="s">
        <v>66</v>
      </c>
      <c r="E144">
        <v>1</v>
      </c>
      <c r="F144" t="s">
        <v>31</v>
      </c>
      <c r="G144" t="s">
        <v>70</v>
      </c>
      <c r="L144" t="s">
        <v>153</v>
      </c>
      <c r="AB144" t="s">
        <v>264</v>
      </c>
      <c r="AC144" s="2">
        <v>43546.710162037038</v>
      </c>
      <c r="AD144" t="s">
        <v>158</v>
      </c>
      <c r="AE144" s="2">
        <v>43546.710162037038</v>
      </c>
      <c r="AF144" t="s">
        <v>158</v>
      </c>
    </row>
    <row r="145" spans="1:32" x14ac:dyDescent="0.25">
      <c r="A145">
        <v>166</v>
      </c>
      <c r="B145" s="3">
        <v>43546</v>
      </c>
      <c r="C145" s="4">
        <f>AE145-(7/24)</f>
        <v>43546.429907407408</v>
      </c>
      <c r="D145" t="s">
        <v>66</v>
      </c>
      <c r="E145">
        <v>2</v>
      </c>
      <c r="F145" t="s">
        <v>31</v>
      </c>
      <c r="G145" t="s">
        <v>70</v>
      </c>
      <c r="L145" t="s">
        <v>153</v>
      </c>
      <c r="AB145" t="s">
        <v>278</v>
      </c>
      <c r="AC145" s="2">
        <v>43546.721574074072</v>
      </c>
      <c r="AD145" t="s">
        <v>158</v>
      </c>
      <c r="AE145" s="2">
        <v>43546.721574074072</v>
      </c>
      <c r="AF145" t="s">
        <v>158</v>
      </c>
    </row>
    <row r="146" spans="1:32" x14ac:dyDescent="0.25">
      <c r="A146">
        <v>25</v>
      </c>
      <c r="B146" s="3">
        <v>43546</v>
      </c>
      <c r="C146" s="4">
        <f>AE146-(7/24)</f>
        <v>43546.392268518539</v>
      </c>
      <c r="D146" t="s">
        <v>83</v>
      </c>
      <c r="E146">
        <v>1</v>
      </c>
      <c r="F146" t="s">
        <v>31</v>
      </c>
      <c r="G146" t="s">
        <v>52</v>
      </c>
      <c r="L146" t="s">
        <v>33</v>
      </c>
      <c r="AB146" t="s">
        <v>84</v>
      </c>
      <c r="AC146" s="2">
        <v>43546.682824074072</v>
      </c>
      <c r="AD146" t="s">
        <v>35</v>
      </c>
      <c r="AE146" s="2">
        <v>43546.683935185203</v>
      </c>
      <c r="AF146" t="s">
        <v>35</v>
      </c>
    </row>
    <row r="147" spans="1:32" x14ac:dyDescent="0.25">
      <c r="A147">
        <v>50</v>
      </c>
      <c r="B147" s="3">
        <v>43546</v>
      </c>
      <c r="C147" s="4">
        <f>AE147-(7/24)</f>
        <v>43546.416041666678</v>
      </c>
      <c r="D147" t="s">
        <v>83</v>
      </c>
      <c r="E147">
        <v>1</v>
      </c>
      <c r="F147" t="s">
        <v>31</v>
      </c>
      <c r="G147" t="s">
        <v>52</v>
      </c>
      <c r="L147" t="s">
        <v>33</v>
      </c>
      <c r="AB147" t="s">
        <v>121</v>
      </c>
      <c r="AC147" s="2">
        <v>43546.707708333342</v>
      </c>
      <c r="AD147" t="s">
        <v>35</v>
      </c>
      <c r="AE147" s="2">
        <v>43546.707708333342</v>
      </c>
      <c r="AF147" t="s">
        <v>35</v>
      </c>
    </row>
    <row r="148" spans="1:32" x14ac:dyDescent="0.25">
      <c r="A148">
        <v>122</v>
      </c>
      <c r="B148" s="3">
        <v>43546</v>
      </c>
      <c r="C148" s="4">
        <f>AE148-(7/24)</f>
        <v>43546.377835648149</v>
      </c>
      <c r="D148" t="s">
        <v>83</v>
      </c>
      <c r="E148">
        <v>1</v>
      </c>
      <c r="F148" t="s">
        <v>31</v>
      </c>
      <c r="G148" t="s">
        <v>171</v>
      </c>
      <c r="L148" t="s">
        <v>153</v>
      </c>
      <c r="AB148" t="s">
        <v>222</v>
      </c>
      <c r="AC148" s="2">
        <v>43546.669502314813</v>
      </c>
      <c r="AD148" t="s">
        <v>158</v>
      </c>
      <c r="AE148" s="2">
        <v>43546.669502314813</v>
      </c>
      <c r="AF148" t="s">
        <v>158</v>
      </c>
    </row>
    <row r="149" spans="1:32" x14ac:dyDescent="0.25">
      <c r="A149">
        <v>134</v>
      </c>
      <c r="B149" s="3">
        <v>43546</v>
      </c>
      <c r="C149" s="4">
        <f>AE149-(7/24)</f>
        <v>43546.390752314815</v>
      </c>
      <c r="D149" t="s">
        <v>83</v>
      </c>
      <c r="E149">
        <v>1</v>
      </c>
      <c r="F149" t="s">
        <v>31</v>
      </c>
      <c r="G149" t="s">
        <v>171</v>
      </c>
      <c r="L149" t="s">
        <v>153</v>
      </c>
      <c r="AB149" t="s">
        <v>235</v>
      </c>
      <c r="AC149" s="2">
        <v>43546.68241898148</v>
      </c>
      <c r="AD149" t="s">
        <v>158</v>
      </c>
      <c r="AE149" s="2">
        <v>43546.68241898148</v>
      </c>
      <c r="AF149" t="s">
        <v>158</v>
      </c>
    </row>
    <row r="150" spans="1:32" x14ac:dyDescent="0.25">
      <c r="A150">
        <v>136</v>
      </c>
      <c r="B150" s="3">
        <v>43546</v>
      </c>
      <c r="C150" s="4">
        <f>AE150-(7/24)</f>
        <v>43546.391932870363</v>
      </c>
      <c r="D150" t="s">
        <v>83</v>
      </c>
      <c r="E150">
        <v>1</v>
      </c>
      <c r="F150" t="s">
        <v>31</v>
      </c>
      <c r="G150" t="s">
        <v>171</v>
      </c>
      <c r="L150" t="s">
        <v>153</v>
      </c>
      <c r="AB150" t="s">
        <v>237</v>
      </c>
      <c r="AC150" s="2">
        <v>43546.683599537027</v>
      </c>
      <c r="AD150" t="s">
        <v>158</v>
      </c>
      <c r="AE150" s="2">
        <v>43546.683599537027</v>
      </c>
      <c r="AF150" t="s">
        <v>158</v>
      </c>
    </row>
    <row r="151" spans="1:32" x14ac:dyDescent="0.25">
      <c r="A151">
        <v>55</v>
      </c>
      <c r="B151" s="3">
        <v>43546</v>
      </c>
      <c r="C151" s="4">
        <f>AE151-(7/24)</f>
        <v>43546.422013888892</v>
      </c>
      <c r="D151" t="s">
        <v>130</v>
      </c>
      <c r="E151">
        <v>1</v>
      </c>
      <c r="F151" t="s">
        <v>31</v>
      </c>
      <c r="G151" t="s">
        <v>32</v>
      </c>
      <c r="L151" t="s">
        <v>33</v>
      </c>
      <c r="AB151" t="s">
        <v>131</v>
      </c>
      <c r="AC151" s="2">
        <v>43546.713680555556</v>
      </c>
      <c r="AD151" t="s">
        <v>35</v>
      </c>
      <c r="AE151" s="2">
        <v>43546.713680555556</v>
      </c>
      <c r="AF151" t="s">
        <v>35</v>
      </c>
    </row>
    <row r="152" spans="1:32" x14ac:dyDescent="0.25">
      <c r="A152">
        <v>150</v>
      </c>
      <c r="B152" s="3">
        <v>43546</v>
      </c>
      <c r="C152" s="4">
        <f>AE152-(7/24)</f>
        <v>43546.411817129629</v>
      </c>
      <c r="D152" t="s">
        <v>254</v>
      </c>
      <c r="E152">
        <v>2</v>
      </c>
      <c r="F152" t="s">
        <v>31</v>
      </c>
      <c r="G152" t="s">
        <v>40</v>
      </c>
      <c r="L152" t="s">
        <v>153</v>
      </c>
      <c r="AB152" t="s">
        <v>255</v>
      </c>
      <c r="AC152" s="2">
        <v>43546.703483796293</v>
      </c>
      <c r="AD152" t="s">
        <v>158</v>
      </c>
      <c r="AE152" s="2">
        <v>43546.703483796293</v>
      </c>
      <c r="AF152" t="s">
        <v>158</v>
      </c>
    </row>
    <row r="153" spans="1:32" x14ac:dyDescent="0.25">
      <c r="B153" s="3">
        <v>43546</v>
      </c>
      <c r="D153" t="s">
        <v>254</v>
      </c>
      <c r="E153">
        <v>2</v>
      </c>
      <c r="F153" t="s">
        <v>31</v>
      </c>
      <c r="J153" t="s">
        <v>294</v>
      </c>
      <c r="L153" t="s">
        <v>153</v>
      </c>
    </row>
    <row r="154" spans="1:32" x14ac:dyDescent="0.25">
      <c r="A154">
        <v>96</v>
      </c>
      <c r="B154" s="3">
        <v>43546</v>
      </c>
      <c r="C154" s="4">
        <f>AE154-(7/24)</f>
        <v>43546.358148148152</v>
      </c>
      <c r="D154" t="s">
        <v>192</v>
      </c>
      <c r="E154">
        <v>16</v>
      </c>
      <c r="F154" t="s">
        <v>31</v>
      </c>
      <c r="G154" t="s">
        <v>152</v>
      </c>
      <c r="L154" t="s">
        <v>153</v>
      </c>
      <c r="AB154" t="s">
        <v>193</v>
      </c>
      <c r="AC154" s="2">
        <v>43546.649814814817</v>
      </c>
      <c r="AD154" t="s">
        <v>158</v>
      </c>
      <c r="AE154" s="2">
        <v>43546.649814814817</v>
      </c>
      <c r="AF154" t="s">
        <v>158</v>
      </c>
    </row>
    <row r="155" spans="1:32" x14ac:dyDescent="0.25">
      <c r="A155">
        <v>104</v>
      </c>
      <c r="B155" s="3">
        <v>43546</v>
      </c>
      <c r="C155" s="4">
        <f>AE155-(7/24)</f>
        <v>43546.361041666663</v>
      </c>
      <c r="D155" t="s">
        <v>192</v>
      </c>
      <c r="E155">
        <v>1</v>
      </c>
      <c r="F155" t="s">
        <v>31</v>
      </c>
      <c r="G155" t="s">
        <v>152</v>
      </c>
      <c r="L155" t="s">
        <v>153</v>
      </c>
      <c r="AB155" t="s">
        <v>204</v>
      </c>
      <c r="AC155" s="2">
        <v>43546.652708333328</v>
      </c>
      <c r="AD155" t="s">
        <v>158</v>
      </c>
      <c r="AE155" s="2">
        <v>43546.652708333328</v>
      </c>
      <c r="AF155" t="s">
        <v>158</v>
      </c>
    </row>
    <row r="156" spans="1:32" x14ac:dyDescent="0.25">
      <c r="A156">
        <v>42</v>
      </c>
      <c r="B156" s="3">
        <v>43546</v>
      </c>
      <c r="C156" s="4">
        <f>AE156-(7/24)</f>
        <v>43546.405752314815</v>
      </c>
      <c r="D156" t="s">
        <v>108</v>
      </c>
      <c r="E156">
        <v>2</v>
      </c>
      <c r="F156" t="s">
        <v>31</v>
      </c>
      <c r="G156" t="s">
        <v>52</v>
      </c>
      <c r="L156" t="s">
        <v>33</v>
      </c>
      <c r="AB156" t="s">
        <v>109</v>
      </c>
      <c r="AC156" s="2">
        <v>43546.697418981479</v>
      </c>
      <c r="AD156" t="s">
        <v>35</v>
      </c>
      <c r="AE156" s="2">
        <v>43546.697418981479</v>
      </c>
      <c r="AF156" t="s">
        <v>35</v>
      </c>
    </row>
    <row r="157" spans="1:32" x14ac:dyDescent="0.25">
      <c r="A157">
        <v>54</v>
      </c>
      <c r="B157" s="3">
        <v>43546</v>
      </c>
      <c r="C157" s="4">
        <f>AE157-(7/24)</f>
        <v>43546.421284722222</v>
      </c>
      <c r="D157" t="s">
        <v>128</v>
      </c>
      <c r="E157">
        <v>5</v>
      </c>
      <c r="F157" t="s">
        <v>31</v>
      </c>
      <c r="L157" t="s">
        <v>33</v>
      </c>
      <c r="AB157" t="s">
        <v>129</v>
      </c>
      <c r="AC157" s="2">
        <v>43546.712951388887</v>
      </c>
      <c r="AD157" t="s">
        <v>35</v>
      </c>
      <c r="AE157" s="2">
        <v>43546.712951388887</v>
      </c>
      <c r="AF157" t="s">
        <v>35</v>
      </c>
    </row>
    <row r="158" spans="1:32" x14ac:dyDescent="0.25">
      <c r="A158">
        <v>84</v>
      </c>
      <c r="B158" s="3">
        <v>43546</v>
      </c>
      <c r="C158" s="4">
        <f>AE158-(7/24)</f>
        <v>43546.348564814813</v>
      </c>
      <c r="D158" t="s">
        <v>128</v>
      </c>
      <c r="E158">
        <v>8</v>
      </c>
      <c r="F158" t="s">
        <v>31</v>
      </c>
      <c r="G158" t="s">
        <v>152</v>
      </c>
      <c r="L158" t="s">
        <v>153</v>
      </c>
      <c r="AB158" t="s">
        <v>179</v>
      </c>
      <c r="AC158" s="2">
        <v>43546.640231481477</v>
      </c>
      <c r="AD158" t="s">
        <v>158</v>
      </c>
      <c r="AE158" s="2">
        <v>43546.640231481477</v>
      </c>
      <c r="AF158" t="s">
        <v>158</v>
      </c>
    </row>
    <row r="159" spans="1:32" x14ac:dyDescent="0.25">
      <c r="A159">
        <v>91</v>
      </c>
      <c r="B159" s="3">
        <v>43546</v>
      </c>
      <c r="C159" s="4">
        <f>AE159-(7/24)</f>
        <v>43546.356863425928</v>
      </c>
      <c r="D159" t="s">
        <v>128</v>
      </c>
      <c r="E159">
        <v>5</v>
      </c>
      <c r="F159" t="s">
        <v>31</v>
      </c>
      <c r="G159" t="s">
        <v>152</v>
      </c>
      <c r="L159" t="s">
        <v>153</v>
      </c>
      <c r="AB159" t="s">
        <v>187</v>
      </c>
      <c r="AC159" s="2">
        <v>43546.648530092592</v>
      </c>
      <c r="AD159" t="s">
        <v>158</v>
      </c>
      <c r="AE159" s="2">
        <v>43546.648530092592</v>
      </c>
      <c r="AF159" t="s">
        <v>158</v>
      </c>
    </row>
    <row r="160" spans="1:32" x14ac:dyDescent="0.25">
      <c r="A160">
        <v>26</v>
      </c>
      <c r="B160" s="3">
        <v>43546</v>
      </c>
      <c r="C160" s="4">
        <f>AE160-(7/24)</f>
        <v>43546.392766203717</v>
      </c>
      <c r="D160" t="s">
        <v>85</v>
      </c>
      <c r="E160">
        <v>9</v>
      </c>
      <c r="F160" t="s">
        <v>31</v>
      </c>
      <c r="G160" t="s">
        <v>52</v>
      </c>
      <c r="L160" t="s">
        <v>33</v>
      </c>
      <c r="AB160" t="s">
        <v>86</v>
      </c>
      <c r="AC160" s="2">
        <v>43546.68341435185</v>
      </c>
      <c r="AD160" t="s">
        <v>35</v>
      </c>
      <c r="AE160" s="2">
        <v>43546.684432870381</v>
      </c>
      <c r="AF160" t="s">
        <v>35</v>
      </c>
    </row>
    <row r="161" spans="1:32" x14ac:dyDescent="0.25">
      <c r="A161">
        <v>65</v>
      </c>
      <c r="B161" s="3">
        <v>43546</v>
      </c>
      <c r="C161" s="4">
        <f>AE161-(7/24)</f>
        <v>43546.429050925923</v>
      </c>
      <c r="D161" t="s">
        <v>85</v>
      </c>
      <c r="E161">
        <v>4</v>
      </c>
      <c r="F161" t="s">
        <v>31</v>
      </c>
      <c r="G161" t="s">
        <v>52</v>
      </c>
      <c r="L161" t="s">
        <v>33</v>
      </c>
      <c r="AB161" t="s">
        <v>144</v>
      </c>
      <c r="AC161" s="2">
        <v>43546.720717592587</v>
      </c>
      <c r="AD161" t="s">
        <v>35</v>
      </c>
      <c r="AE161" s="2">
        <v>43546.720717592587</v>
      </c>
      <c r="AF161" t="s">
        <v>35</v>
      </c>
    </row>
    <row r="162" spans="1:32" x14ac:dyDescent="0.25">
      <c r="A162">
        <v>87</v>
      </c>
      <c r="B162" s="3">
        <v>43546</v>
      </c>
      <c r="C162" s="4">
        <f>AE162-(7/24)</f>
        <v>43546.354247685187</v>
      </c>
      <c r="D162" t="s">
        <v>85</v>
      </c>
      <c r="E162">
        <v>2</v>
      </c>
      <c r="F162" t="s">
        <v>31</v>
      </c>
      <c r="G162" t="s">
        <v>40</v>
      </c>
      <c r="L162" t="s">
        <v>153</v>
      </c>
      <c r="AB162" t="s">
        <v>182</v>
      </c>
      <c r="AC162" s="2">
        <v>43546.645914351851</v>
      </c>
      <c r="AD162" t="s">
        <v>158</v>
      </c>
      <c r="AE162" s="2">
        <v>43546.645914351851</v>
      </c>
      <c r="AF162" t="s">
        <v>158</v>
      </c>
    </row>
    <row r="163" spans="1:32" x14ac:dyDescent="0.25">
      <c r="A163">
        <v>146</v>
      </c>
      <c r="B163" s="3">
        <v>43546</v>
      </c>
      <c r="C163" s="4">
        <f>AE163-(7/24)</f>
        <v>43546.410196759272</v>
      </c>
      <c r="D163" t="s">
        <v>85</v>
      </c>
      <c r="E163">
        <v>1</v>
      </c>
      <c r="F163" t="s">
        <v>31</v>
      </c>
      <c r="G163" t="s">
        <v>70</v>
      </c>
      <c r="L163" t="s">
        <v>153</v>
      </c>
      <c r="AB163" t="s">
        <v>249</v>
      </c>
      <c r="AC163" s="2">
        <v>43546.701863425937</v>
      </c>
      <c r="AD163" t="s">
        <v>158</v>
      </c>
      <c r="AE163" s="2">
        <v>43546.701863425937</v>
      </c>
      <c r="AF163" t="s">
        <v>158</v>
      </c>
    </row>
    <row r="164" spans="1:32" x14ac:dyDescent="0.25">
      <c r="A164">
        <v>149</v>
      </c>
      <c r="B164" s="3">
        <v>43546</v>
      </c>
      <c r="C164" s="4">
        <f>AE164-(7/24)</f>
        <v>43546.411620370374</v>
      </c>
      <c r="D164" t="s">
        <v>85</v>
      </c>
      <c r="E164">
        <v>3</v>
      </c>
      <c r="F164" t="s">
        <v>31</v>
      </c>
      <c r="G164" t="s">
        <v>70</v>
      </c>
      <c r="L164" t="s">
        <v>153</v>
      </c>
      <c r="AB164" t="s">
        <v>253</v>
      </c>
      <c r="AC164" s="2">
        <v>43546.703287037039</v>
      </c>
      <c r="AD164" t="s">
        <v>158</v>
      </c>
      <c r="AE164" s="2">
        <v>43546.703287037039</v>
      </c>
      <c r="AF164" t="s">
        <v>158</v>
      </c>
    </row>
    <row r="165" spans="1:32" x14ac:dyDescent="0.25">
      <c r="A165">
        <v>152</v>
      </c>
      <c r="B165" s="3">
        <v>43546</v>
      </c>
      <c r="C165" s="4">
        <f>AE165-(7/24)</f>
        <v>43546.414756944447</v>
      </c>
      <c r="D165" t="s">
        <v>85</v>
      </c>
      <c r="E165">
        <v>3</v>
      </c>
      <c r="F165" t="s">
        <v>31</v>
      </c>
      <c r="G165" t="s">
        <v>47</v>
      </c>
      <c r="L165" t="s">
        <v>153</v>
      </c>
      <c r="AB165" t="s">
        <v>257</v>
      </c>
      <c r="AC165" s="2">
        <v>43546.706423611111</v>
      </c>
      <c r="AD165" t="s">
        <v>158</v>
      </c>
      <c r="AE165" s="2">
        <v>43546.706423611111</v>
      </c>
      <c r="AF165" t="s">
        <v>158</v>
      </c>
    </row>
    <row r="166" spans="1:32" x14ac:dyDescent="0.25">
      <c r="A166">
        <v>154</v>
      </c>
      <c r="B166" s="3">
        <v>43546</v>
      </c>
      <c r="C166" s="4">
        <f>AE166-(7/24)</f>
        <v>43546.415682870378</v>
      </c>
      <c r="D166" t="s">
        <v>85</v>
      </c>
      <c r="E166">
        <v>5</v>
      </c>
      <c r="F166" t="s">
        <v>31</v>
      </c>
      <c r="G166" t="s">
        <v>47</v>
      </c>
      <c r="L166" t="s">
        <v>153</v>
      </c>
      <c r="AB166" t="s">
        <v>259</v>
      </c>
      <c r="AC166" s="2">
        <v>43546.707349537042</v>
      </c>
      <c r="AD166" t="s">
        <v>158</v>
      </c>
      <c r="AE166" s="2">
        <v>43546.707349537042</v>
      </c>
      <c r="AF166" t="s">
        <v>158</v>
      </c>
    </row>
    <row r="167" spans="1:32" x14ac:dyDescent="0.25">
      <c r="A167">
        <v>13</v>
      </c>
      <c r="B167" s="3">
        <v>43546</v>
      </c>
      <c r="C167" s="4">
        <f>AE167-(7/24)</f>
        <v>43546.377881944449</v>
      </c>
      <c r="D167" t="s">
        <v>61</v>
      </c>
      <c r="E167">
        <v>5</v>
      </c>
      <c r="F167" t="s">
        <v>31</v>
      </c>
      <c r="G167" t="s">
        <v>40</v>
      </c>
      <c r="L167" t="s">
        <v>33</v>
      </c>
      <c r="AB167" t="s">
        <v>62</v>
      </c>
      <c r="AC167" s="2">
        <v>43546.668923611112</v>
      </c>
      <c r="AD167" t="s">
        <v>35</v>
      </c>
      <c r="AE167" s="2">
        <v>43546.669548611113</v>
      </c>
      <c r="AF167" t="s">
        <v>35</v>
      </c>
    </row>
    <row r="168" spans="1:32" x14ac:dyDescent="0.25">
      <c r="A168">
        <v>47</v>
      </c>
      <c r="B168" s="3">
        <v>43546</v>
      </c>
      <c r="C168" s="4">
        <f>AE168-(7/24)</f>
        <v>43546.414039351854</v>
      </c>
      <c r="D168" t="s">
        <v>61</v>
      </c>
      <c r="E168">
        <v>5</v>
      </c>
      <c r="F168" t="s">
        <v>31</v>
      </c>
      <c r="G168" t="s">
        <v>40</v>
      </c>
      <c r="L168" t="s">
        <v>33</v>
      </c>
      <c r="AB168" t="s">
        <v>117</v>
      </c>
      <c r="AC168" s="2">
        <v>43546.705706018518</v>
      </c>
      <c r="AD168" t="s">
        <v>35</v>
      </c>
      <c r="AE168" s="2">
        <v>43546.705706018518</v>
      </c>
      <c r="AF168" t="s">
        <v>35</v>
      </c>
    </row>
    <row r="169" spans="1:32" x14ac:dyDescent="0.25">
      <c r="A169">
        <v>111</v>
      </c>
      <c r="B169" s="3">
        <v>43546</v>
      </c>
      <c r="C169" s="4">
        <f>AE169-(7/24)</f>
        <v>43546.367303240753</v>
      </c>
      <c r="D169" t="s">
        <v>61</v>
      </c>
      <c r="E169">
        <v>2</v>
      </c>
      <c r="F169" t="s">
        <v>31</v>
      </c>
      <c r="G169" t="s">
        <v>40</v>
      </c>
      <c r="L169" t="s">
        <v>153</v>
      </c>
      <c r="AB169" t="s">
        <v>211</v>
      </c>
      <c r="AC169" s="2">
        <v>43546.658969907417</v>
      </c>
      <c r="AD169" t="s">
        <v>158</v>
      </c>
      <c r="AE169" s="2">
        <v>43546.658969907417</v>
      </c>
      <c r="AF169" t="s">
        <v>158</v>
      </c>
    </row>
    <row r="170" spans="1:32" x14ac:dyDescent="0.25">
      <c r="A170">
        <v>113</v>
      </c>
      <c r="B170" s="3">
        <v>43546</v>
      </c>
      <c r="C170" s="4">
        <f>AE170-(7/24)</f>
        <v>43546.369664351856</v>
      </c>
      <c r="D170" t="s">
        <v>61</v>
      </c>
      <c r="E170">
        <v>2</v>
      </c>
      <c r="F170" t="s">
        <v>31</v>
      </c>
      <c r="G170" t="s">
        <v>70</v>
      </c>
      <c r="L170" t="s">
        <v>153</v>
      </c>
      <c r="AB170" t="s">
        <v>213</v>
      </c>
      <c r="AC170" s="2">
        <v>43546.66133101852</v>
      </c>
      <c r="AD170" t="s">
        <v>158</v>
      </c>
      <c r="AE170" s="2">
        <v>43546.66133101852</v>
      </c>
      <c r="AF170" t="s">
        <v>158</v>
      </c>
    </row>
    <row r="171" spans="1:32" x14ac:dyDescent="0.25">
      <c r="A171">
        <v>130</v>
      </c>
      <c r="B171" s="3">
        <v>43546</v>
      </c>
      <c r="C171" s="4">
        <f>AE171-(7/24)</f>
        <v>43546.385381944448</v>
      </c>
      <c r="D171" t="s">
        <v>61</v>
      </c>
      <c r="E171">
        <v>1</v>
      </c>
      <c r="F171" t="s">
        <v>31</v>
      </c>
      <c r="G171" t="s">
        <v>40</v>
      </c>
      <c r="L171" t="s">
        <v>153</v>
      </c>
      <c r="AB171" t="s">
        <v>231</v>
      </c>
      <c r="AC171" s="2">
        <v>43546.677048611113</v>
      </c>
      <c r="AD171" t="s">
        <v>158</v>
      </c>
      <c r="AE171" s="2">
        <v>43546.677048611113</v>
      </c>
      <c r="AF171" t="s">
        <v>158</v>
      </c>
    </row>
    <row r="172" spans="1:32" x14ac:dyDescent="0.25">
      <c r="A172">
        <v>133</v>
      </c>
      <c r="B172" s="3">
        <v>43546</v>
      </c>
      <c r="C172" s="4">
        <f>AE172-(7/24)</f>
        <v>43546.389340277783</v>
      </c>
      <c r="D172" t="s">
        <v>61</v>
      </c>
      <c r="E172">
        <v>1</v>
      </c>
      <c r="F172" t="s">
        <v>31</v>
      </c>
      <c r="G172" t="s">
        <v>40</v>
      </c>
      <c r="L172" t="s">
        <v>153</v>
      </c>
      <c r="AB172" t="s">
        <v>234</v>
      </c>
      <c r="AC172" s="2">
        <v>43546.681006944447</v>
      </c>
      <c r="AD172" t="s">
        <v>158</v>
      </c>
      <c r="AE172" s="2">
        <v>43546.681006944447</v>
      </c>
      <c r="AF172" t="s">
        <v>158</v>
      </c>
    </row>
    <row r="173" spans="1:32" x14ac:dyDescent="0.25">
      <c r="A173">
        <v>135</v>
      </c>
      <c r="B173" s="3">
        <v>43546</v>
      </c>
      <c r="C173" s="4">
        <f>AE173-(7/24)</f>
        <v>43546.391006944446</v>
      </c>
      <c r="D173" t="s">
        <v>61</v>
      </c>
      <c r="E173">
        <v>1</v>
      </c>
      <c r="F173" t="s">
        <v>31</v>
      </c>
      <c r="G173" t="s">
        <v>70</v>
      </c>
      <c r="L173" t="s">
        <v>153</v>
      </c>
      <c r="AB173" t="s">
        <v>236</v>
      </c>
      <c r="AC173" s="2">
        <v>43546.682673611111</v>
      </c>
      <c r="AD173" t="s">
        <v>158</v>
      </c>
      <c r="AE173" s="2">
        <v>43546.682673611111</v>
      </c>
      <c r="AF173" t="s">
        <v>158</v>
      </c>
    </row>
  </sheetData>
  <autoFilter ref="A1:AF173" xr:uid="{00000000-0009-0000-0000-000001000000}"/>
  <sortState xmlns:xlrd2="http://schemas.microsoft.com/office/spreadsheetml/2017/richdata2" ref="A2:AF173">
    <sortCondition ref="D2:D1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topLeftCell="A46" workbookViewId="0">
      <selection activeCell="D6" sqref="D6:D59"/>
    </sheetView>
  </sheetViews>
  <sheetFormatPr defaultRowHeight="15" x14ac:dyDescent="0.25"/>
  <cols>
    <col min="1" max="1" width="31" bestFit="1" customWidth="1"/>
    <col min="2" max="2" width="20.140625" style="10" bestFit="1" customWidth="1"/>
    <col min="3" max="3" width="12.28515625" style="10" bestFit="1" customWidth="1"/>
    <col min="4" max="4" width="8.42578125" style="10" bestFit="1" customWidth="1"/>
    <col min="5" max="5" width="20.140625" style="10" bestFit="1" customWidth="1"/>
    <col min="6" max="6" width="12.28515625" style="10" bestFit="1" customWidth="1"/>
    <col min="7" max="7" width="9" style="10" bestFit="1" customWidth="1"/>
    <col min="8" max="8" width="11.28515625" hidden="1" customWidth="1"/>
  </cols>
  <sheetData>
    <row r="1" spans="1:8" x14ac:dyDescent="0.25">
      <c r="D1" s="25" t="s">
        <v>292</v>
      </c>
    </row>
    <row r="2" spans="1:8" x14ac:dyDescent="0.25">
      <c r="D2" s="25"/>
      <c r="E2" s="24" t="s">
        <v>291</v>
      </c>
      <c r="F2" s="24"/>
      <c r="G2" s="24"/>
    </row>
    <row r="3" spans="1:8" x14ac:dyDescent="0.25">
      <c r="A3" s="6" t="s">
        <v>287</v>
      </c>
      <c r="B3" s="9" t="s">
        <v>288</v>
      </c>
      <c r="D3" s="13"/>
      <c r="E3" s="11"/>
      <c r="F3" s="11"/>
      <c r="G3" s="11"/>
      <c r="H3" s="10"/>
    </row>
    <row r="4" spans="1:8" x14ac:dyDescent="0.25">
      <c r="B4" s="10" t="s">
        <v>31</v>
      </c>
      <c r="D4" s="13" t="s">
        <v>289</v>
      </c>
      <c r="E4" s="11" t="s">
        <v>56</v>
      </c>
      <c r="F4" s="11"/>
      <c r="G4" s="11" t="s">
        <v>290</v>
      </c>
      <c r="H4" t="s">
        <v>286</v>
      </c>
    </row>
    <row r="5" spans="1:8" x14ac:dyDescent="0.25">
      <c r="A5" s="6" t="s">
        <v>285</v>
      </c>
      <c r="B5" s="10" t="s">
        <v>33</v>
      </c>
      <c r="C5" s="10" t="s">
        <v>153</v>
      </c>
      <c r="D5" s="13"/>
      <c r="E5" s="11" t="s">
        <v>33</v>
      </c>
      <c r="F5" s="11" t="s">
        <v>153</v>
      </c>
      <c r="G5" s="11"/>
    </row>
    <row r="6" spans="1:8" x14ac:dyDescent="0.25">
      <c r="A6" s="21" t="s">
        <v>124</v>
      </c>
      <c r="B6" s="8">
        <v>40</v>
      </c>
      <c r="C6" s="8">
        <v>17</v>
      </c>
      <c r="D6" s="15">
        <v>57</v>
      </c>
      <c r="E6" s="8"/>
      <c r="F6" s="8"/>
      <c r="G6" s="18"/>
      <c r="H6" s="8">
        <v>57</v>
      </c>
    </row>
    <row r="7" spans="1:8" x14ac:dyDescent="0.25">
      <c r="A7" s="22" t="s">
        <v>42</v>
      </c>
      <c r="B7" s="8">
        <v>4</v>
      </c>
      <c r="C7" s="8">
        <v>11</v>
      </c>
      <c r="D7" s="16">
        <v>15</v>
      </c>
      <c r="E7" s="8"/>
      <c r="F7" s="8"/>
      <c r="G7" s="19"/>
      <c r="H7" s="8">
        <v>15</v>
      </c>
    </row>
    <row r="8" spans="1:8" x14ac:dyDescent="0.25">
      <c r="A8" s="22" t="s">
        <v>51</v>
      </c>
      <c r="B8" s="8">
        <v>31</v>
      </c>
      <c r="C8" s="8"/>
      <c r="D8" s="16">
        <v>31</v>
      </c>
      <c r="E8" s="8"/>
      <c r="F8" s="8"/>
      <c r="G8" s="19"/>
      <c r="H8" s="8">
        <v>31</v>
      </c>
    </row>
    <row r="9" spans="1:8" x14ac:dyDescent="0.25">
      <c r="A9" s="22" t="s">
        <v>39</v>
      </c>
      <c r="B9" s="8">
        <v>4</v>
      </c>
      <c r="C9" s="8">
        <v>4</v>
      </c>
      <c r="D9" s="16">
        <v>8</v>
      </c>
      <c r="E9" s="8"/>
      <c r="F9" s="8"/>
      <c r="G9" s="19"/>
      <c r="H9" s="8">
        <v>8</v>
      </c>
    </row>
    <row r="10" spans="1:8" x14ac:dyDescent="0.25">
      <c r="A10" s="22" t="s">
        <v>68</v>
      </c>
      <c r="B10" s="8">
        <v>2</v>
      </c>
      <c r="C10" s="8"/>
      <c r="D10" s="16">
        <v>2</v>
      </c>
      <c r="E10" s="8"/>
      <c r="F10" s="8"/>
      <c r="G10" s="19"/>
      <c r="H10" s="8">
        <v>2</v>
      </c>
    </row>
    <row r="11" spans="1:8" x14ac:dyDescent="0.25">
      <c r="A11" s="22" t="s">
        <v>44</v>
      </c>
      <c r="B11" s="8">
        <v>2</v>
      </c>
      <c r="C11" s="8">
        <v>1</v>
      </c>
      <c r="D11" s="16">
        <v>3</v>
      </c>
      <c r="E11" s="8"/>
      <c r="F11" s="8"/>
      <c r="G11" s="19"/>
      <c r="H11" s="8">
        <v>3</v>
      </c>
    </row>
    <row r="12" spans="1:8" x14ac:dyDescent="0.25">
      <c r="A12" s="22" t="s">
        <v>110</v>
      </c>
      <c r="B12" s="8">
        <v>2</v>
      </c>
      <c r="C12" s="8">
        <v>6</v>
      </c>
      <c r="D12" s="16">
        <v>8</v>
      </c>
      <c r="E12" s="8"/>
      <c r="F12" s="8"/>
      <c r="G12" s="19"/>
      <c r="H12" s="8">
        <v>8</v>
      </c>
    </row>
    <row r="13" spans="1:8" x14ac:dyDescent="0.25">
      <c r="A13" s="22" t="s">
        <v>151</v>
      </c>
      <c r="B13" s="8"/>
      <c r="C13" s="8">
        <v>4</v>
      </c>
      <c r="D13" s="16">
        <v>4</v>
      </c>
      <c r="E13" s="8"/>
      <c r="F13" s="8"/>
      <c r="G13" s="19"/>
      <c r="H13" s="8">
        <v>4</v>
      </c>
    </row>
    <row r="14" spans="1:8" x14ac:dyDescent="0.25">
      <c r="A14" s="22" t="s">
        <v>119</v>
      </c>
      <c r="B14" s="8">
        <v>2</v>
      </c>
      <c r="C14" s="8">
        <v>1</v>
      </c>
      <c r="D14" s="16">
        <v>3</v>
      </c>
      <c r="E14" s="8"/>
      <c r="F14" s="8"/>
      <c r="G14" s="19"/>
      <c r="H14" s="8">
        <v>3</v>
      </c>
    </row>
    <row r="15" spans="1:8" x14ac:dyDescent="0.25">
      <c r="A15" s="22" t="s">
        <v>196</v>
      </c>
      <c r="B15" s="8"/>
      <c r="C15" s="8">
        <v>1</v>
      </c>
      <c r="D15" s="16">
        <v>1</v>
      </c>
      <c r="E15" s="8"/>
      <c r="F15" s="8"/>
      <c r="G15" s="19"/>
      <c r="H15" s="8">
        <v>1</v>
      </c>
    </row>
    <row r="16" spans="1:8" x14ac:dyDescent="0.25">
      <c r="A16" s="22" t="s">
        <v>64</v>
      </c>
      <c r="B16" s="8">
        <v>3</v>
      </c>
      <c r="C16" s="8">
        <v>2</v>
      </c>
      <c r="D16" s="16">
        <v>5</v>
      </c>
      <c r="E16" s="8"/>
      <c r="F16" s="8"/>
      <c r="G16" s="19"/>
      <c r="H16" s="8">
        <v>5</v>
      </c>
    </row>
    <row r="17" spans="1:8" x14ac:dyDescent="0.25">
      <c r="A17" s="22" t="s">
        <v>170</v>
      </c>
      <c r="B17" s="8"/>
      <c r="C17" s="8">
        <v>8</v>
      </c>
      <c r="D17" s="16">
        <v>8</v>
      </c>
      <c r="E17" s="8"/>
      <c r="F17" s="8"/>
      <c r="G17" s="19"/>
      <c r="H17" s="8">
        <v>8</v>
      </c>
    </row>
    <row r="18" spans="1:8" x14ac:dyDescent="0.25">
      <c r="A18" s="22" t="s">
        <v>145</v>
      </c>
      <c r="B18" s="8">
        <v>25</v>
      </c>
      <c r="C18" s="8"/>
      <c r="D18" s="16">
        <v>25</v>
      </c>
      <c r="E18" s="8"/>
      <c r="F18" s="8"/>
      <c r="G18" s="19"/>
      <c r="H18" s="8">
        <v>25</v>
      </c>
    </row>
    <row r="19" spans="1:8" x14ac:dyDescent="0.25">
      <c r="A19" s="22" t="s">
        <v>80</v>
      </c>
      <c r="B19" s="8">
        <v>4</v>
      </c>
      <c r="C19" s="8"/>
      <c r="D19" s="16">
        <v>4</v>
      </c>
      <c r="E19" s="8"/>
      <c r="F19" s="8"/>
      <c r="G19" s="19"/>
      <c r="H19" s="8">
        <v>4</v>
      </c>
    </row>
    <row r="20" spans="1:8" x14ac:dyDescent="0.25">
      <c r="A20" s="22" t="s">
        <v>36</v>
      </c>
      <c r="B20" s="8">
        <v>1</v>
      </c>
      <c r="C20" s="8"/>
      <c r="D20" s="16">
        <v>1</v>
      </c>
      <c r="E20" s="8">
        <v>1</v>
      </c>
      <c r="F20" s="8">
        <v>1</v>
      </c>
      <c r="G20" s="19">
        <v>2</v>
      </c>
      <c r="H20" s="8">
        <v>3</v>
      </c>
    </row>
    <row r="21" spans="1:8" x14ac:dyDescent="0.25">
      <c r="A21" s="22" t="s">
        <v>166</v>
      </c>
      <c r="B21" s="8"/>
      <c r="C21" s="8">
        <v>2</v>
      </c>
      <c r="D21" s="16">
        <v>2</v>
      </c>
      <c r="E21" s="8"/>
      <c r="F21" s="8"/>
      <c r="G21" s="19"/>
      <c r="H21" s="8">
        <v>2</v>
      </c>
    </row>
    <row r="22" spans="1:8" x14ac:dyDescent="0.25">
      <c r="A22" s="22" t="s">
        <v>106</v>
      </c>
      <c r="B22" s="8">
        <v>5</v>
      </c>
      <c r="C22" s="8"/>
      <c r="D22" s="16">
        <v>5</v>
      </c>
      <c r="E22" s="8"/>
      <c r="F22" s="8"/>
      <c r="G22" s="19"/>
      <c r="H22" s="8">
        <v>5</v>
      </c>
    </row>
    <row r="23" spans="1:8" x14ac:dyDescent="0.25">
      <c r="A23" s="22" t="s">
        <v>164</v>
      </c>
      <c r="B23" s="8"/>
      <c r="C23" s="8">
        <v>4</v>
      </c>
      <c r="D23" s="16">
        <v>4</v>
      </c>
      <c r="E23" s="8"/>
      <c r="F23" s="8"/>
      <c r="G23" s="19"/>
      <c r="H23" s="8">
        <v>4</v>
      </c>
    </row>
    <row r="24" spans="1:8" x14ac:dyDescent="0.25">
      <c r="A24" s="22" t="s">
        <v>101</v>
      </c>
      <c r="B24" s="8">
        <v>2</v>
      </c>
      <c r="C24" s="8"/>
      <c r="D24" s="16">
        <v>2</v>
      </c>
      <c r="E24" s="8"/>
      <c r="F24" s="8"/>
      <c r="G24" s="19"/>
      <c r="H24" s="8">
        <v>2</v>
      </c>
    </row>
    <row r="25" spans="1:8" x14ac:dyDescent="0.25">
      <c r="A25" s="22" t="s">
        <v>103</v>
      </c>
      <c r="B25" s="8">
        <v>1</v>
      </c>
      <c r="C25" s="8"/>
      <c r="D25" s="16">
        <v>1</v>
      </c>
      <c r="E25" s="8"/>
      <c r="F25" s="8"/>
      <c r="G25" s="19"/>
      <c r="H25" s="8">
        <v>1</v>
      </c>
    </row>
    <row r="26" spans="1:8" x14ac:dyDescent="0.25">
      <c r="A26" s="22" t="s">
        <v>250</v>
      </c>
      <c r="B26" s="8"/>
      <c r="C26" s="8">
        <v>2</v>
      </c>
      <c r="D26" s="16">
        <v>2</v>
      </c>
      <c r="E26" s="8"/>
      <c r="F26" s="8">
        <v>1</v>
      </c>
      <c r="G26" s="19">
        <v>1</v>
      </c>
      <c r="H26" s="8">
        <v>3</v>
      </c>
    </row>
    <row r="27" spans="1:8" x14ac:dyDescent="0.25">
      <c r="A27" s="22" t="s">
        <v>225</v>
      </c>
      <c r="B27" s="8"/>
      <c r="C27" s="8">
        <v>1</v>
      </c>
      <c r="D27" s="16">
        <v>1</v>
      </c>
      <c r="E27" s="8"/>
      <c r="F27" s="8"/>
      <c r="G27" s="19"/>
      <c r="H27" s="8">
        <v>1</v>
      </c>
    </row>
    <row r="28" spans="1:8" x14ac:dyDescent="0.25">
      <c r="A28" s="22" t="s">
        <v>122</v>
      </c>
      <c r="B28" s="8">
        <v>1</v>
      </c>
      <c r="C28" s="8"/>
      <c r="D28" s="16">
        <v>1</v>
      </c>
      <c r="E28" s="8"/>
      <c r="F28" s="8"/>
      <c r="G28" s="19"/>
      <c r="H28" s="8">
        <v>1</v>
      </c>
    </row>
    <row r="29" spans="1:8" x14ac:dyDescent="0.25">
      <c r="A29" s="22" t="s">
        <v>98</v>
      </c>
      <c r="B29" s="8">
        <v>10</v>
      </c>
      <c r="C29" s="8">
        <v>6</v>
      </c>
      <c r="D29" s="16">
        <v>16</v>
      </c>
      <c r="E29" s="8"/>
      <c r="F29" s="8"/>
      <c r="G29" s="19"/>
      <c r="H29" s="8">
        <v>16</v>
      </c>
    </row>
    <row r="30" spans="1:8" x14ac:dyDescent="0.25">
      <c r="A30" s="22" t="s">
        <v>76</v>
      </c>
      <c r="B30" s="8">
        <v>9</v>
      </c>
      <c r="C30" s="8"/>
      <c r="D30" s="16">
        <v>9</v>
      </c>
      <c r="E30" s="8"/>
      <c r="F30" s="8"/>
      <c r="G30" s="19"/>
      <c r="H30" s="8">
        <v>9</v>
      </c>
    </row>
    <row r="31" spans="1:8" x14ac:dyDescent="0.25">
      <c r="A31" s="22" t="s">
        <v>46</v>
      </c>
      <c r="B31" s="8">
        <v>8</v>
      </c>
      <c r="C31" s="8">
        <v>11</v>
      </c>
      <c r="D31" s="16">
        <v>19</v>
      </c>
      <c r="E31" s="8"/>
      <c r="F31" s="8"/>
      <c r="G31" s="19"/>
      <c r="H31" s="8">
        <v>19</v>
      </c>
    </row>
    <row r="32" spans="1:8" x14ac:dyDescent="0.25">
      <c r="A32" s="22" t="s">
        <v>159</v>
      </c>
      <c r="B32" s="8"/>
      <c r="C32" s="8">
        <v>40</v>
      </c>
      <c r="D32" s="16">
        <v>40</v>
      </c>
      <c r="E32" s="8"/>
      <c r="F32" s="8"/>
      <c r="G32" s="19"/>
      <c r="H32" s="8">
        <v>40</v>
      </c>
    </row>
    <row r="33" spans="1:8" x14ac:dyDescent="0.25">
      <c r="A33" s="22" t="s">
        <v>112</v>
      </c>
      <c r="B33" s="8">
        <v>2</v>
      </c>
      <c r="C33" s="8"/>
      <c r="D33" s="16">
        <v>2</v>
      </c>
      <c r="E33" s="8"/>
      <c r="F33" s="8"/>
      <c r="G33" s="19"/>
      <c r="H33" s="8">
        <v>2</v>
      </c>
    </row>
    <row r="34" spans="1:8" x14ac:dyDescent="0.25">
      <c r="A34" s="22" t="s">
        <v>142</v>
      </c>
      <c r="B34" s="8">
        <v>2</v>
      </c>
      <c r="C34" s="8">
        <v>2</v>
      </c>
      <c r="D34" s="16">
        <v>4</v>
      </c>
      <c r="E34" s="8"/>
      <c r="F34" s="8"/>
      <c r="G34" s="19"/>
      <c r="H34" s="8">
        <v>4</v>
      </c>
    </row>
    <row r="35" spans="1:8" x14ac:dyDescent="0.25">
      <c r="A35" s="22" t="s">
        <v>148</v>
      </c>
      <c r="B35" s="8">
        <v>1</v>
      </c>
      <c r="C35" s="8"/>
      <c r="D35" s="16">
        <v>1</v>
      </c>
      <c r="E35" s="8"/>
      <c r="F35" s="8"/>
      <c r="G35" s="19"/>
      <c r="H35" s="8">
        <v>1</v>
      </c>
    </row>
    <row r="36" spans="1:8" x14ac:dyDescent="0.25">
      <c r="A36" s="22" t="s">
        <v>198</v>
      </c>
      <c r="B36" s="8"/>
      <c r="C36" s="8">
        <v>1</v>
      </c>
      <c r="D36" s="16">
        <v>1</v>
      </c>
      <c r="E36" s="8"/>
      <c r="F36" s="8"/>
      <c r="G36" s="19"/>
      <c r="H36" s="8">
        <v>1</v>
      </c>
    </row>
    <row r="37" spans="1:8" x14ac:dyDescent="0.25">
      <c r="A37" s="22" t="s">
        <v>135</v>
      </c>
      <c r="B37" s="8">
        <v>2</v>
      </c>
      <c r="C37" s="8"/>
      <c r="D37" s="16">
        <v>2</v>
      </c>
      <c r="E37" s="8"/>
      <c r="F37" s="8"/>
      <c r="G37" s="19"/>
      <c r="H37" s="8">
        <v>2</v>
      </c>
    </row>
    <row r="38" spans="1:8" x14ac:dyDescent="0.25">
      <c r="A38" s="22" t="s">
        <v>30</v>
      </c>
      <c r="B38" s="8">
        <v>5</v>
      </c>
      <c r="C38" s="8">
        <v>1</v>
      </c>
      <c r="D38" s="16">
        <v>6</v>
      </c>
      <c r="E38" s="8"/>
      <c r="F38" s="8"/>
      <c r="G38" s="19"/>
      <c r="H38" s="8">
        <v>6</v>
      </c>
    </row>
    <row r="39" spans="1:8" x14ac:dyDescent="0.25">
      <c r="A39" s="22" t="s">
        <v>185</v>
      </c>
      <c r="B39" s="8"/>
      <c r="C39" s="8">
        <v>14</v>
      </c>
      <c r="D39" s="16">
        <v>14</v>
      </c>
      <c r="E39" s="8"/>
      <c r="F39" s="8"/>
      <c r="G39" s="19"/>
      <c r="H39" s="8">
        <v>14</v>
      </c>
    </row>
    <row r="40" spans="1:8" x14ac:dyDescent="0.25">
      <c r="A40" s="22" t="s">
        <v>246</v>
      </c>
      <c r="B40" s="8"/>
      <c r="C40" s="8">
        <v>1</v>
      </c>
      <c r="D40" s="16">
        <v>1</v>
      </c>
      <c r="E40" s="8"/>
      <c r="F40" s="8"/>
      <c r="G40" s="19"/>
      <c r="H40" s="8">
        <v>1</v>
      </c>
    </row>
    <row r="41" spans="1:8" x14ac:dyDescent="0.25">
      <c r="A41" s="22" t="s">
        <v>115</v>
      </c>
      <c r="B41" s="8">
        <v>1</v>
      </c>
      <c r="C41" s="8"/>
      <c r="D41" s="16">
        <v>1</v>
      </c>
      <c r="E41" s="8"/>
      <c r="F41" s="8"/>
      <c r="G41" s="19"/>
      <c r="H41" s="8">
        <v>1</v>
      </c>
    </row>
    <row r="42" spans="1:8" x14ac:dyDescent="0.25">
      <c r="A42" s="22" t="s">
        <v>88</v>
      </c>
      <c r="B42" s="8">
        <v>14</v>
      </c>
      <c r="C42" s="8">
        <v>4</v>
      </c>
      <c r="D42" s="16">
        <v>18</v>
      </c>
      <c r="E42" s="8"/>
      <c r="F42" s="8"/>
      <c r="G42" s="19"/>
      <c r="H42" s="8">
        <v>18</v>
      </c>
    </row>
    <row r="43" spans="1:8" x14ac:dyDescent="0.25">
      <c r="A43" s="22" t="s">
        <v>194</v>
      </c>
      <c r="B43" s="8"/>
      <c r="C43" s="8">
        <v>6</v>
      </c>
      <c r="D43" s="16">
        <v>6</v>
      </c>
      <c r="E43" s="8"/>
      <c r="F43" s="8"/>
      <c r="G43" s="19"/>
      <c r="H43" s="8">
        <v>6</v>
      </c>
    </row>
    <row r="44" spans="1:8" x14ac:dyDescent="0.25">
      <c r="A44" s="22" t="s">
        <v>74</v>
      </c>
      <c r="B44" s="8">
        <v>8</v>
      </c>
      <c r="C44" s="8">
        <v>5</v>
      </c>
      <c r="D44" s="16">
        <v>13</v>
      </c>
      <c r="E44" s="8"/>
      <c r="F44" s="8"/>
      <c r="G44" s="19"/>
      <c r="H44" s="8">
        <v>13</v>
      </c>
    </row>
    <row r="45" spans="1:8" x14ac:dyDescent="0.25">
      <c r="A45" s="22" t="s">
        <v>59</v>
      </c>
      <c r="B45" s="8">
        <v>1</v>
      </c>
      <c r="C45" s="8"/>
      <c r="D45" s="16">
        <v>1</v>
      </c>
      <c r="E45" s="8"/>
      <c r="F45" s="8"/>
      <c r="G45" s="19"/>
      <c r="H45" s="8">
        <v>1</v>
      </c>
    </row>
    <row r="46" spans="1:8" x14ac:dyDescent="0.25">
      <c r="A46" s="22" t="s">
        <v>168</v>
      </c>
      <c r="B46" s="8"/>
      <c r="C46" s="8">
        <v>1</v>
      </c>
      <c r="D46" s="16">
        <v>1</v>
      </c>
      <c r="E46" s="8"/>
      <c r="F46" s="8"/>
      <c r="G46" s="19"/>
      <c r="H46" s="8">
        <v>1</v>
      </c>
    </row>
    <row r="47" spans="1:8" x14ac:dyDescent="0.25">
      <c r="A47" s="22" t="s">
        <v>238</v>
      </c>
      <c r="B47" s="8"/>
      <c r="C47" s="8">
        <v>5</v>
      </c>
      <c r="D47" s="16">
        <v>5</v>
      </c>
      <c r="E47" s="8"/>
      <c r="F47" s="8"/>
      <c r="G47" s="19"/>
      <c r="H47" s="8">
        <v>5</v>
      </c>
    </row>
    <row r="48" spans="1:8" x14ac:dyDescent="0.25">
      <c r="A48" s="22" t="s">
        <v>133</v>
      </c>
      <c r="B48" s="8">
        <v>2</v>
      </c>
      <c r="C48" s="8"/>
      <c r="D48" s="16">
        <v>2</v>
      </c>
      <c r="E48" s="8"/>
      <c r="F48" s="8"/>
      <c r="G48" s="19"/>
      <c r="H48" s="8">
        <v>2</v>
      </c>
    </row>
    <row r="49" spans="1:8" x14ac:dyDescent="0.25">
      <c r="A49" s="22" t="s">
        <v>78</v>
      </c>
      <c r="B49" s="8">
        <v>5</v>
      </c>
      <c r="C49" s="8"/>
      <c r="D49" s="16">
        <v>5</v>
      </c>
      <c r="E49" s="8"/>
      <c r="F49" s="8"/>
      <c r="G49" s="19"/>
      <c r="H49" s="8">
        <v>5</v>
      </c>
    </row>
    <row r="50" spans="1:8" x14ac:dyDescent="0.25">
      <c r="A50" s="22" t="s">
        <v>72</v>
      </c>
      <c r="B50" s="8">
        <v>1</v>
      </c>
      <c r="C50" s="8">
        <v>1</v>
      </c>
      <c r="D50" s="16">
        <v>2</v>
      </c>
      <c r="E50" s="8"/>
      <c r="F50" s="8">
        <v>1</v>
      </c>
      <c r="G50" s="19">
        <v>1</v>
      </c>
      <c r="H50" s="8">
        <v>3</v>
      </c>
    </row>
    <row r="51" spans="1:8" x14ac:dyDescent="0.25">
      <c r="A51" s="22" t="s">
        <v>66</v>
      </c>
      <c r="B51" s="8">
        <v>10</v>
      </c>
      <c r="C51" s="8">
        <v>15</v>
      </c>
      <c r="D51" s="16">
        <v>25</v>
      </c>
      <c r="E51" s="8"/>
      <c r="F51" s="8"/>
      <c r="G51" s="19"/>
      <c r="H51" s="8">
        <v>25</v>
      </c>
    </row>
    <row r="52" spans="1:8" x14ac:dyDescent="0.25">
      <c r="A52" s="22" t="s">
        <v>83</v>
      </c>
      <c r="B52" s="8">
        <v>2</v>
      </c>
      <c r="C52" s="8">
        <v>3</v>
      </c>
      <c r="D52" s="16">
        <v>5</v>
      </c>
      <c r="E52" s="8"/>
      <c r="F52" s="8"/>
      <c r="G52" s="19"/>
      <c r="H52" s="8">
        <v>5</v>
      </c>
    </row>
    <row r="53" spans="1:8" x14ac:dyDescent="0.25">
      <c r="A53" s="22" t="s">
        <v>130</v>
      </c>
      <c r="B53" s="8">
        <v>1</v>
      </c>
      <c r="C53" s="8"/>
      <c r="D53" s="16">
        <v>1</v>
      </c>
      <c r="E53" s="8"/>
      <c r="F53" s="8"/>
      <c r="G53" s="19"/>
      <c r="H53" s="8">
        <v>1</v>
      </c>
    </row>
    <row r="54" spans="1:8" x14ac:dyDescent="0.25">
      <c r="A54" s="22" t="s">
        <v>254</v>
      </c>
      <c r="B54" s="8"/>
      <c r="C54" s="8">
        <v>4</v>
      </c>
      <c r="D54" s="16">
        <v>4</v>
      </c>
      <c r="E54" s="8"/>
      <c r="F54" s="8"/>
      <c r="G54" s="19"/>
      <c r="H54" s="8">
        <v>4</v>
      </c>
    </row>
    <row r="55" spans="1:8" x14ac:dyDescent="0.25">
      <c r="A55" s="23" t="s">
        <v>192</v>
      </c>
      <c r="B55" s="8"/>
      <c r="C55" s="8">
        <v>17</v>
      </c>
      <c r="D55" s="16">
        <v>17</v>
      </c>
      <c r="E55" s="8"/>
      <c r="F55" s="8"/>
      <c r="G55" s="19"/>
      <c r="H55" s="8">
        <v>17</v>
      </c>
    </row>
    <row r="56" spans="1:8" x14ac:dyDescent="0.25">
      <c r="A56" s="21" t="s">
        <v>108</v>
      </c>
      <c r="B56" s="8">
        <v>2</v>
      </c>
      <c r="C56" s="8"/>
      <c r="D56" s="16">
        <v>2</v>
      </c>
      <c r="E56" s="8"/>
      <c r="F56" s="8"/>
      <c r="G56" s="19"/>
      <c r="H56" s="8">
        <v>2</v>
      </c>
    </row>
    <row r="57" spans="1:8" x14ac:dyDescent="0.25">
      <c r="A57" s="22" t="s">
        <v>128</v>
      </c>
      <c r="B57" s="8">
        <v>5</v>
      </c>
      <c r="C57" s="8">
        <v>13</v>
      </c>
      <c r="D57" s="16">
        <v>18</v>
      </c>
      <c r="E57" s="8"/>
      <c r="F57" s="8"/>
      <c r="G57" s="19"/>
      <c r="H57" s="8">
        <v>18</v>
      </c>
    </row>
    <row r="58" spans="1:8" x14ac:dyDescent="0.25">
      <c r="A58" s="22" t="s">
        <v>85</v>
      </c>
      <c r="B58" s="8">
        <v>13</v>
      </c>
      <c r="C58" s="8">
        <v>14</v>
      </c>
      <c r="D58" s="16">
        <v>27</v>
      </c>
      <c r="E58" s="8"/>
      <c r="F58" s="8"/>
      <c r="G58" s="19"/>
      <c r="H58" s="8">
        <v>27</v>
      </c>
    </row>
    <row r="59" spans="1:8" x14ac:dyDescent="0.25">
      <c r="A59" s="23" t="s">
        <v>61</v>
      </c>
      <c r="B59" s="8">
        <v>10</v>
      </c>
      <c r="C59" s="8">
        <v>7</v>
      </c>
      <c r="D59" s="17">
        <v>17</v>
      </c>
      <c r="E59" s="8"/>
      <c r="F59" s="8"/>
      <c r="G59" s="20"/>
      <c r="H59" s="8">
        <v>17</v>
      </c>
    </row>
    <row r="60" spans="1:8" x14ac:dyDescent="0.25">
      <c r="A60" s="7" t="s">
        <v>286</v>
      </c>
      <c r="B60" s="8">
        <v>243</v>
      </c>
      <c r="C60" s="8">
        <v>235</v>
      </c>
      <c r="D60" s="14">
        <v>478</v>
      </c>
      <c r="E60" s="8">
        <v>1</v>
      </c>
      <c r="F60" s="8">
        <v>3</v>
      </c>
      <c r="G60" s="12">
        <v>4</v>
      </c>
      <c r="H60" s="8">
        <v>482</v>
      </c>
    </row>
  </sheetData>
  <mergeCells count="2">
    <mergeCell ref="E2:G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55"/>
  <sheetViews>
    <sheetView workbookViewId="0">
      <selection activeCell="C6" sqref="C6"/>
    </sheetView>
  </sheetViews>
  <sheetFormatPr defaultRowHeight="15" x14ac:dyDescent="0.25"/>
  <cols>
    <col min="1" max="1" width="31" bestFit="1" customWidth="1"/>
  </cols>
  <sheetData>
    <row r="2" spans="1:2" x14ac:dyDescent="0.25">
      <c r="A2" t="s">
        <v>124</v>
      </c>
      <c r="B2">
        <v>57</v>
      </c>
    </row>
    <row r="3" spans="1:2" x14ac:dyDescent="0.25">
      <c r="A3" t="s">
        <v>42</v>
      </c>
      <c r="B3">
        <v>15</v>
      </c>
    </row>
    <row r="4" spans="1:2" x14ac:dyDescent="0.25">
      <c r="A4" t="s">
        <v>51</v>
      </c>
      <c r="B4">
        <v>31</v>
      </c>
    </row>
    <row r="5" spans="1:2" x14ac:dyDescent="0.25">
      <c r="A5" t="s">
        <v>39</v>
      </c>
      <c r="B5">
        <v>8</v>
      </c>
    </row>
    <row r="6" spans="1:2" x14ac:dyDescent="0.25">
      <c r="A6" t="s">
        <v>68</v>
      </c>
      <c r="B6">
        <v>2</v>
      </c>
    </row>
    <row r="7" spans="1:2" x14ac:dyDescent="0.25">
      <c r="A7" t="s">
        <v>44</v>
      </c>
      <c r="B7">
        <v>3</v>
      </c>
    </row>
    <row r="8" spans="1:2" x14ac:dyDescent="0.25">
      <c r="A8" t="s">
        <v>110</v>
      </c>
      <c r="B8">
        <v>8</v>
      </c>
    </row>
    <row r="9" spans="1:2" x14ac:dyDescent="0.25">
      <c r="A9" t="s">
        <v>151</v>
      </c>
      <c r="B9">
        <v>4</v>
      </c>
    </row>
    <row r="10" spans="1:2" x14ac:dyDescent="0.25">
      <c r="A10" t="s">
        <v>119</v>
      </c>
      <c r="B10">
        <v>3</v>
      </c>
    </row>
    <row r="11" spans="1:2" x14ac:dyDescent="0.25">
      <c r="A11" t="s">
        <v>196</v>
      </c>
      <c r="B11">
        <v>1</v>
      </c>
    </row>
    <row r="12" spans="1:2" x14ac:dyDescent="0.25">
      <c r="A12" t="s">
        <v>64</v>
      </c>
      <c r="B12">
        <v>5</v>
      </c>
    </row>
    <row r="13" spans="1:2" x14ac:dyDescent="0.25">
      <c r="A13" t="s">
        <v>170</v>
      </c>
      <c r="B13">
        <v>8</v>
      </c>
    </row>
    <row r="14" spans="1:2" x14ac:dyDescent="0.25">
      <c r="A14" t="s">
        <v>145</v>
      </c>
      <c r="B14">
        <v>25</v>
      </c>
    </row>
    <row r="15" spans="1:2" x14ac:dyDescent="0.25">
      <c r="A15" t="s">
        <v>80</v>
      </c>
      <c r="B15">
        <v>4</v>
      </c>
    </row>
    <row r="16" spans="1:2" x14ac:dyDescent="0.25">
      <c r="A16" t="s">
        <v>36</v>
      </c>
      <c r="B16">
        <v>1</v>
      </c>
    </row>
    <row r="17" spans="1:2" x14ac:dyDescent="0.25">
      <c r="A17" t="s">
        <v>166</v>
      </c>
      <c r="B17">
        <v>2</v>
      </c>
    </row>
    <row r="18" spans="1:2" x14ac:dyDescent="0.25">
      <c r="A18" t="s">
        <v>106</v>
      </c>
      <c r="B18">
        <v>5</v>
      </c>
    </row>
    <row r="19" spans="1:2" x14ac:dyDescent="0.25">
      <c r="A19" t="s">
        <v>164</v>
      </c>
      <c r="B19">
        <v>4</v>
      </c>
    </row>
    <row r="20" spans="1:2" x14ac:dyDescent="0.25">
      <c r="A20" t="s">
        <v>101</v>
      </c>
      <c r="B20">
        <v>2</v>
      </c>
    </row>
    <row r="21" spans="1:2" x14ac:dyDescent="0.25">
      <c r="A21" t="s">
        <v>103</v>
      </c>
      <c r="B21">
        <v>1</v>
      </c>
    </row>
    <row r="22" spans="1:2" x14ac:dyDescent="0.25">
      <c r="A22" t="s">
        <v>250</v>
      </c>
      <c r="B22">
        <v>2</v>
      </c>
    </row>
    <row r="23" spans="1:2" x14ac:dyDescent="0.25">
      <c r="A23" t="s">
        <v>225</v>
      </c>
      <c r="B23">
        <v>1</v>
      </c>
    </row>
    <row r="24" spans="1:2" x14ac:dyDescent="0.25">
      <c r="A24" t="s">
        <v>122</v>
      </c>
      <c r="B24">
        <v>1</v>
      </c>
    </row>
    <row r="25" spans="1:2" x14ac:dyDescent="0.25">
      <c r="A25" t="s">
        <v>98</v>
      </c>
      <c r="B25">
        <v>16</v>
      </c>
    </row>
    <row r="26" spans="1:2" x14ac:dyDescent="0.25">
      <c r="A26" t="s">
        <v>76</v>
      </c>
      <c r="B26">
        <v>9</v>
      </c>
    </row>
    <row r="27" spans="1:2" x14ac:dyDescent="0.25">
      <c r="A27" t="s">
        <v>46</v>
      </c>
      <c r="B27">
        <v>19</v>
      </c>
    </row>
    <row r="28" spans="1:2" x14ac:dyDescent="0.25">
      <c r="A28" t="s">
        <v>159</v>
      </c>
      <c r="B28">
        <v>40</v>
      </c>
    </row>
    <row r="29" spans="1:2" x14ac:dyDescent="0.25">
      <c r="A29" t="s">
        <v>112</v>
      </c>
      <c r="B29">
        <v>2</v>
      </c>
    </row>
    <row r="30" spans="1:2" x14ac:dyDescent="0.25">
      <c r="A30" t="s">
        <v>142</v>
      </c>
      <c r="B30">
        <v>4</v>
      </c>
    </row>
    <row r="31" spans="1:2" x14ac:dyDescent="0.25">
      <c r="A31" t="s">
        <v>148</v>
      </c>
      <c r="B31">
        <v>1</v>
      </c>
    </row>
    <row r="32" spans="1:2" x14ac:dyDescent="0.25">
      <c r="A32" t="s">
        <v>198</v>
      </c>
      <c r="B32">
        <v>1</v>
      </c>
    </row>
    <row r="33" spans="1:2" x14ac:dyDescent="0.25">
      <c r="A33" t="s">
        <v>135</v>
      </c>
      <c r="B33">
        <v>2</v>
      </c>
    </row>
    <row r="34" spans="1:2" x14ac:dyDescent="0.25">
      <c r="A34" t="s">
        <v>30</v>
      </c>
      <c r="B34">
        <v>6</v>
      </c>
    </row>
    <row r="35" spans="1:2" x14ac:dyDescent="0.25">
      <c r="A35" t="s">
        <v>185</v>
      </c>
      <c r="B35">
        <v>14</v>
      </c>
    </row>
    <row r="36" spans="1:2" x14ac:dyDescent="0.25">
      <c r="A36" t="s">
        <v>246</v>
      </c>
      <c r="B36">
        <v>1</v>
      </c>
    </row>
    <row r="37" spans="1:2" x14ac:dyDescent="0.25">
      <c r="A37" t="s">
        <v>115</v>
      </c>
      <c r="B37">
        <v>1</v>
      </c>
    </row>
    <row r="38" spans="1:2" x14ac:dyDescent="0.25">
      <c r="A38" t="s">
        <v>88</v>
      </c>
      <c r="B38">
        <v>18</v>
      </c>
    </row>
    <row r="39" spans="1:2" x14ac:dyDescent="0.25">
      <c r="A39" t="s">
        <v>194</v>
      </c>
      <c r="B39">
        <v>6</v>
      </c>
    </row>
    <row r="40" spans="1:2" x14ac:dyDescent="0.25">
      <c r="A40" t="s">
        <v>74</v>
      </c>
      <c r="B40">
        <v>13</v>
      </c>
    </row>
    <row r="41" spans="1:2" x14ac:dyDescent="0.25">
      <c r="A41" t="s">
        <v>59</v>
      </c>
      <c r="B41">
        <v>1</v>
      </c>
    </row>
    <row r="42" spans="1:2" x14ac:dyDescent="0.25">
      <c r="A42" t="s">
        <v>168</v>
      </c>
      <c r="B42">
        <v>1</v>
      </c>
    </row>
    <row r="43" spans="1:2" x14ac:dyDescent="0.25">
      <c r="A43" t="s">
        <v>238</v>
      </c>
      <c r="B43">
        <v>5</v>
      </c>
    </row>
    <row r="44" spans="1:2" x14ac:dyDescent="0.25">
      <c r="A44" t="s">
        <v>133</v>
      </c>
      <c r="B44">
        <v>2</v>
      </c>
    </row>
    <row r="45" spans="1:2" x14ac:dyDescent="0.25">
      <c r="A45" t="s">
        <v>78</v>
      </c>
      <c r="B45">
        <v>5</v>
      </c>
    </row>
    <row r="46" spans="1:2" x14ac:dyDescent="0.25">
      <c r="A46" t="s">
        <v>72</v>
      </c>
      <c r="B46">
        <v>2</v>
      </c>
    </row>
    <row r="47" spans="1:2" x14ac:dyDescent="0.25">
      <c r="A47" t="s">
        <v>66</v>
      </c>
      <c r="B47">
        <v>25</v>
      </c>
    </row>
    <row r="48" spans="1:2" x14ac:dyDescent="0.25">
      <c r="A48" t="s">
        <v>83</v>
      </c>
      <c r="B48">
        <v>5</v>
      </c>
    </row>
    <row r="49" spans="1:2" x14ac:dyDescent="0.25">
      <c r="A49" t="s">
        <v>130</v>
      </c>
      <c r="B49">
        <v>1</v>
      </c>
    </row>
    <row r="50" spans="1:2" x14ac:dyDescent="0.25">
      <c r="A50" t="s">
        <v>254</v>
      </c>
      <c r="B50">
        <v>4</v>
      </c>
    </row>
    <row r="51" spans="1:2" x14ac:dyDescent="0.25">
      <c r="A51" t="s">
        <v>192</v>
      </c>
      <c r="B51">
        <v>17</v>
      </c>
    </row>
    <row r="52" spans="1:2" x14ac:dyDescent="0.25">
      <c r="A52" t="s">
        <v>108</v>
      </c>
      <c r="B52">
        <v>2</v>
      </c>
    </row>
    <row r="53" spans="1:2" x14ac:dyDescent="0.25">
      <c r="A53" t="s">
        <v>128</v>
      </c>
      <c r="B53">
        <v>18</v>
      </c>
    </row>
    <row r="54" spans="1:2" x14ac:dyDescent="0.25">
      <c r="A54" t="s">
        <v>85</v>
      </c>
      <c r="B54">
        <v>27</v>
      </c>
    </row>
    <row r="55" spans="1:2" x14ac:dyDescent="0.25">
      <c r="A55" t="s">
        <v>61</v>
      </c>
      <c r="B5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NCOS_Bird_Observations_20190322</vt:lpstr>
      <vt:lpstr>PTable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2019-03-22T12:01:43Z</dcterms:created>
  <dcterms:modified xsi:type="dcterms:W3CDTF">2021-03-18T17:26:14Z</dcterms:modified>
</cp:coreProperties>
</file>