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1DA2A34B-D5E4-4DD8-B2E0-0230B588EA34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Bird_Observations_Raw" sheetId="1" r:id="rId1"/>
    <sheet name="Pivot Table 1" sheetId="2" r:id="rId2"/>
    <sheet name="Total_Count" sheetId="3" r:id="rId3"/>
    <sheet name="Survey_Metadata" sheetId="4" r:id="rId4"/>
  </sheets>
  <definedNames>
    <definedName name="_xlnm._FilterDatabase" localSheetId="0" hidden="1">Bird_Observations_Raw!$A$1:$AG$999</definedName>
  </definedNames>
  <calcPr calcId="191029"/>
  <pivotCaches>
    <pivotCache cacheId="2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09" i="1" l="1"/>
  <c r="AF109" i="1"/>
</calcChain>
</file>

<file path=xl/sharedStrings.xml><?xml version="1.0" encoding="utf-8"?>
<sst xmlns="http://schemas.openxmlformats.org/spreadsheetml/2006/main" count="696" uniqueCount="208">
  <si>
    <t>Species</t>
  </si>
  <si>
    <t>Count</t>
  </si>
  <si>
    <t>Aleutian Cackling Goose</t>
  </si>
  <si>
    <t>American Coot</t>
  </si>
  <si>
    <t>American Crow</t>
  </si>
  <si>
    <t>American Kestrel</t>
  </si>
  <si>
    <t>American Pipit</t>
  </si>
  <si>
    <t>Anna's Hummingbird</t>
  </si>
  <si>
    <t>Black Phoebe</t>
  </si>
  <si>
    <t>Blue-gray Gnatcatcher</t>
  </si>
  <si>
    <t>Bufflehead</t>
  </si>
  <si>
    <t>Cackling Goose</t>
  </si>
  <si>
    <t>California Towhee</t>
  </si>
  <si>
    <t>Canada Goose</t>
  </si>
  <si>
    <t>Common Yellowthroat</t>
  </si>
  <si>
    <t>Greater Yellowlegs</t>
  </si>
  <si>
    <t>House Finch</t>
  </si>
  <si>
    <t>Killdeer</t>
  </si>
  <si>
    <t>Least Sandpiper</t>
  </si>
  <si>
    <t>Mallard</t>
  </si>
  <si>
    <t>Mourning Dove</t>
  </si>
  <si>
    <t>Northern Mockingbird</t>
  </si>
  <si>
    <t>Northern Pintail</t>
  </si>
  <si>
    <t>Red-shouldered Hawk</t>
  </si>
  <si>
    <t>Red-tailed Hawk</t>
  </si>
  <si>
    <t>Rock Dove</t>
  </si>
  <si>
    <t>Ruby-crowned Kinglet</t>
  </si>
  <si>
    <t>Say's Phoebe</t>
  </si>
  <si>
    <t>Scaly-breasted Munia</t>
  </si>
  <si>
    <t>Song Sparrow</t>
  </si>
  <si>
    <t>Western Bluebird</t>
  </si>
  <si>
    <t>Western Meadowlark</t>
  </si>
  <si>
    <t>Western Sandpiper</t>
  </si>
  <si>
    <t>White-crowned Sparrow</t>
  </si>
  <si>
    <t>Wilson's Snipe</t>
  </si>
  <si>
    <t>Yellow-rumped Warbler</t>
  </si>
  <si>
    <t>OBJECTID</t>
  </si>
  <si>
    <t>Substrate</t>
  </si>
  <si>
    <t>Breeding Activity</t>
  </si>
  <si>
    <t>Observation Notes</t>
  </si>
  <si>
    <t>Repeat Observation</t>
  </si>
  <si>
    <t>Start Temp F</t>
  </si>
  <si>
    <t>Start Cloud Cover %</t>
  </si>
  <si>
    <t>Start Cloud Height</t>
  </si>
  <si>
    <t>Start Wind Speed</t>
  </si>
  <si>
    <t>Start Wind Direction</t>
  </si>
  <si>
    <t>Rain</t>
  </si>
  <si>
    <t>Observers</t>
  </si>
  <si>
    <t>Date</t>
  </si>
  <si>
    <t>Start Time</t>
  </si>
  <si>
    <t>End Time</t>
  </si>
  <si>
    <t>Water Level</t>
  </si>
  <si>
    <t xml:space="preserve">End (F) Temp </t>
  </si>
  <si>
    <t>End Cloud Cover %</t>
  </si>
  <si>
    <t>End Cloud Height</t>
  </si>
  <si>
    <t>End Wind Speed</t>
  </si>
  <si>
    <t>End Wind Direction</t>
  </si>
  <si>
    <t>End Rain</t>
  </si>
  <si>
    <t>Weather Note</t>
  </si>
  <si>
    <t>Sex</t>
  </si>
  <si>
    <t>GlobalID</t>
  </si>
  <si>
    <t>x</t>
  </si>
  <si>
    <t>y</t>
  </si>
  <si>
    <t>Other</t>
  </si>
  <si>
    <t>No</t>
  </si>
  <si>
    <t>Sandy seep area</t>
  </si>
  <si>
    <t>SO CB RD DR</t>
  </si>
  <si>
    <t>51da7525-e96e-445b-9029-b19b12f6202b</t>
  </si>
  <si>
    <t>Mud</t>
  </si>
  <si>
    <t>4564e8c4-394c-45d3-ba15-584afaf7d2eb</t>
  </si>
  <si>
    <t>Water - Wading</t>
  </si>
  <si>
    <t>beau find all, lisa, ian</t>
  </si>
  <si>
    <t>6294efcf-cacd-4127-b535-4e2edd660126</t>
  </si>
  <si>
    <t>Vegetation - Tree</t>
  </si>
  <si>
    <t>b95686d3-1e64-4776-97c5-dc24cd1afda2</t>
  </si>
  <si>
    <t>Fence</t>
  </si>
  <si>
    <t>crow made passes at snipe</t>
  </si>
  <si>
    <t>ecbeab28-17ab-45ac-984d-cf91755b4898</t>
  </si>
  <si>
    <t>b756093c-cfb7-4c6f-a868-67ea00582752</t>
  </si>
  <si>
    <t>Yes</t>
  </si>
  <si>
    <t>ae1ed59b-e71d-4e78-994a-17a39ed9f098</t>
  </si>
  <si>
    <t>Bare ground</t>
  </si>
  <si>
    <t>609065cb-7376-4373-9ce7-750af0c96dd4</t>
  </si>
  <si>
    <t>Vegetation - Herbaceous</t>
  </si>
  <si>
    <t>c087f8f8-07bb-4779-ab6e-4da8f0f13d08</t>
  </si>
  <si>
    <t>0d1abbb3-3337-4c9d-8566-1ee844cbd1d3</t>
  </si>
  <si>
    <t>2222964b-1645-4294-a38c-2f720c16038b</t>
  </si>
  <si>
    <t>8c313650-cb5c-4bb1-959d-12fe2dbf2ed0</t>
  </si>
  <si>
    <t>fdefc880-fd6a-4f74-abb5-ffad68b67a58</t>
  </si>
  <si>
    <t>b7e3b16a-08d5-4ca8-8137-4aae87e7937f</t>
  </si>
  <si>
    <t>c277a7df-2326-4764-9d6b-f673bed1ffb2</t>
  </si>
  <si>
    <t>f2759f3c-8a29-4439-acec-89abb3e30689</t>
  </si>
  <si>
    <t>aa70061d-94a7-4d94-8ebc-db9dc5028af5</t>
  </si>
  <si>
    <t>203fe503-39cf-4c77-8ae2-7ea19ca7216f</t>
  </si>
  <si>
    <t>129e76be-d13f-4b1d-8648-805aaa1732e8</t>
  </si>
  <si>
    <t>Vegetation - Shrub</t>
  </si>
  <si>
    <t>d3884965-0ed0-4a9c-b619-7ad01dcde6b1</t>
  </si>
  <si>
    <t>1b868c4f-ca2c-492b-9823-28fb76ff2617</t>
  </si>
  <si>
    <t>85d37642-c8b8-43df-b8e3-ee4fbd8acaee</t>
  </si>
  <si>
    <t>7de5455a-166d-4c43-aab4-9e478e976661</t>
  </si>
  <si>
    <t>10ff7309-a4e2-4b44-a35a-165075019fb7</t>
  </si>
  <si>
    <t>1b0f6c83-8f97-41e8-acbb-9c95e364b64b</t>
  </si>
  <si>
    <t>on rocks</t>
  </si>
  <si>
    <t>2edf1568-9181-4d8c-a7fa-7bd1ca8b2575</t>
  </si>
  <si>
    <t>c22421bf-167b-4a11-948d-f43d8778523b</t>
  </si>
  <si>
    <t>F</t>
  </si>
  <si>
    <t>d2893b45-a567-4d79-91f0-65e7512a702a</t>
  </si>
  <si>
    <t>4be5ce9f-6d22-43cd-8258-243165b0ce3b</t>
  </si>
  <si>
    <t>5ebbea55-daa6-4e04-bf16-bf63d4c41c7b</t>
  </si>
  <si>
    <t>c12a2d59-29cb-42cd-8bad-94b9f8564b15</t>
  </si>
  <si>
    <t>a0c131b8-1ee8-41e1-a0d3-d8cf34a81978</t>
  </si>
  <si>
    <t>ef2a5f33-2f09-46a5-a324-68a7f15cd498</t>
  </si>
  <si>
    <t>7efb32b9-1bf9-4bfb-a74f-a6f20474eaba</t>
  </si>
  <si>
    <t>843b957e-fb21-4d71-9fff-9afaf5e34e21</t>
  </si>
  <si>
    <t>88ab10c8-4a39-45b4-9120-37622924b398</t>
  </si>
  <si>
    <t>f6fb58e8-1da9-458d-a355-e62c1e39bdcc</t>
  </si>
  <si>
    <t>tule</t>
  </si>
  <si>
    <t>9adf262a-7133-4140-8907-1d95a01a1bed</t>
  </si>
  <si>
    <t>14992f04-35a2-456f-9c60-29be583bbfc6</t>
  </si>
  <si>
    <t>2df5e37b-25f9-4a2f-a757-820de07171e1</t>
  </si>
  <si>
    <t>None</t>
  </si>
  <si>
    <t>76208d8d-3a30-4eb5-931e-528658f87d47</t>
  </si>
  <si>
    <t>a7950d22-1811-4a8d-b382-666a21059737</t>
  </si>
  <si>
    <t>d737429f-4d0c-407e-a70a-e2e00cf7bb02</t>
  </si>
  <si>
    <t>ab2bda3e-a41b-405c-b134-7485d84fb0f9</t>
  </si>
  <si>
    <t>5560c939-e2a8-47ef-bd95-a6728e921953</t>
  </si>
  <si>
    <t>989eb617-067c-45ee-9e67-214a2097e7d1</t>
  </si>
  <si>
    <t>7e4bcf98-9158-418c-ae32-4b7b30ad28e9</t>
  </si>
  <si>
    <t>df6924ce-9320-44e1-b774-efcc29ba2e90</t>
  </si>
  <si>
    <t>19139721-532f-471d-8417-f770f31a430c</t>
  </si>
  <si>
    <t>9a961210-0206-4c32-859c-fe1d4befa78d</t>
  </si>
  <si>
    <t>488d2b8e-2e36-4f50-a980-a0bdab122587</t>
  </si>
  <si>
    <t>69e22b15-ff6d-4ed1-91ce-d03d5c31cf51</t>
  </si>
  <si>
    <t>3df2d1eb-2b91-415d-803e-a95802ae2dc3</t>
  </si>
  <si>
    <t>1c340f6d-527e-4c94-9c0d-47559cff9114</t>
  </si>
  <si>
    <t>a600153b-b016-4418-ac78-9a64a1677a71</t>
  </si>
  <si>
    <t>7ead49de-315d-4905-bd4f-e868128b558e</t>
  </si>
  <si>
    <t>Water - Floating</t>
  </si>
  <si>
    <t>04a75b67-6d27-4728-a01f-e002a7b6ec6f</t>
  </si>
  <si>
    <t>8620c3ec-7e25-4eda-8623-b36b5c2fca95</t>
  </si>
  <si>
    <t>5ae5b05e-3400-4fe4-a969-f698fc0bb2b5</t>
  </si>
  <si>
    <t>f5095b43-a833-46db-99f2-0de69598ac22</t>
  </si>
  <si>
    <t>ce814d21-08a8-412f-874c-a517111ac464</t>
  </si>
  <si>
    <t>hunting</t>
  </si>
  <si>
    <t>Clear</t>
  </si>
  <si>
    <t>8917a7c9-bbc1-4b02-a0e3-5e8592ffaf15</t>
  </si>
  <si>
    <t>Carrying Nest Material</t>
  </si>
  <si>
    <t>57d85052-80e8-4346-a9b9-38c5e2b93124</t>
  </si>
  <si>
    <t>a4f93f95-680d-4a42-a0e1-5ec112b8a3eb</t>
  </si>
  <si>
    <t>13665a9e-a2de-47d5-a3c4-f1ee6f3aae00</t>
  </si>
  <si>
    <t>ba2fcc6b-58f9-4f18-9e5e-4cb567f9aa00</t>
  </si>
  <si>
    <t>5b3a4e3c-eb2f-4773-9c54-e42ada31b9e9</t>
  </si>
  <si>
    <t>95bdff15-6307-4bbc-8cc8-0970d59e4c57</t>
  </si>
  <si>
    <t>wattle stake</t>
  </si>
  <si>
    <t>4720cc22-9407-45c6-bbc0-f38fc2cbc384</t>
  </si>
  <si>
    <t>Habitat Feature - Log</t>
  </si>
  <si>
    <t>7525c874-26d6-4f13-916d-daf167a37023</t>
  </si>
  <si>
    <t>Light</t>
  </si>
  <si>
    <t>68a1093d-2438-41ba-b2b7-237967ec8049</t>
  </si>
  <si>
    <t>East</t>
  </si>
  <si>
    <t>234d0742-b07f-4555-9fa2-65ee68d28ab6</t>
  </si>
  <si>
    <t>735d5743-c34e-4149-a588-1122b23df6ea</t>
  </si>
  <si>
    <t>stake</t>
  </si>
  <si>
    <t>e91fb98a-e0f7-4b6b-a07a-5be3a9bfa67d</t>
  </si>
  <si>
    <t>31e6c434-50b5-49c2-922a-b050960f186f</t>
  </si>
  <si>
    <t>abd3c654-3670-41c9-be17-ec6731307227</t>
  </si>
  <si>
    <t xml:space="preserve">wetland vegetation </t>
  </si>
  <si>
    <t>Uncertain</t>
  </si>
  <si>
    <t>fc1bfc2f-f3ac-427d-87a8-94b564b75d97</t>
  </si>
  <si>
    <t>e3a8e712-2801-4fb5-ad8e-e28e5ac3b45b</t>
  </si>
  <si>
    <t>72ccbd1f-b002-49e6-87d4-21cbfd3eea0b</t>
  </si>
  <si>
    <t>tules</t>
  </si>
  <si>
    <t>61a996a7-aab8-41ef-be08-bcd83e277b46</t>
  </si>
  <si>
    <t>0982fa02-5167-4e8b-be94-d8534cdba617</t>
  </si>
  <si>
    <t xml:space="preserve">tules </t>
  </si>
  <si>
    <t>d0424963-a202-44b6-a1c6-720ba16e2dbe</t>
  </si>
  <si>
    <t>123c46ce-895c-40ed-99a9-b2b02fad71cd</t>
  </si>
  <si>
    <t>59417dd7-f375-40ac-b39c-6414be2fe4b6</t>
  </si>
  <si>
    <t>92bb6e9e-1cc7-4fb7-be06-0017dad17128</t>
  </si>
  <si>
    <t>3e31b22a-8279-42b6-aee8-1f91c8f5fcba</t>
  </si>
  <si>
    <t>fb7e9095-b37e-4655-bc4d-d3b31d0a5f00</t>
  </si>
  <si>
    <t>d4ef6b4a-4a98-4d57-b4fd-1ee02a04dd57</t>
  </si>
  <si>
    <t>bde55e98-7296-4295-a9c2-a9f22baf0d92</t>
  </si>
  <si>
    <t>1e8bdfe7-c71c-4d64-a2bf-bc3a066a316e</t>
  </si>
  <si>
    <t>3e842b8d-8155-4d73-94b1-88ab67f1ab17</t>
  </si>
  <si>
    <t>f28f4559-4a11-4698-b18a-662d644c4bc2</t>
  </si>
  <si>
    <t>6d9e2597-5d22-4477-a011-28450c690c9e</t>
  </si>
  <si>
    <t>3c4a1385-86a9-4133-bd40-4f5104a517f6</t>
  </si>
  <si>
    <t>3f749a11-adbe-4fd3-b765-9a32d3ee4380</t>
  </si>
  <si>
    <t>4cac70aa-8be7-443a-ae46-b269169e9bdc</t>
  </si>
  <si>
    <t>cfbbdb5a-b18f-4e39-9d8d-6a986ddc7464</t>
  </si>
  <si>
    <t>11d427f7-f174-410c-a07d-eb2e21a57861</t>
  </si>
  <si>
    <t>eb7715fa-951e-4bc0-a278-b25b6a8eb7fe</t>
  </si>
  <si>
    <t>f5df42ec-d678-4fee-8847-2e6444699915</t>
  </si>
  <si>
    <t>d6fd9a0c-8594-418b-bbad-cf5f5052b4e0</t>
  </si>
  <si>
    <t>d70a5c7a-1737-4c57-bc5c-be9c193d4bf2</t>
  </si>
  <si>
    <t>685503ef-1223-4a46-a0dd-40a66f72b9b1</t>
  </si>
  <si>
    <t>f0cd18d2-a03d-41d2-8cdc-eda325680ca1</t>
  </si>
  <si>
    <t>c9e0594b-71b1-4fef-b5a0-ed09a9c370e5</t>
  </si>
  <si>
    <t>0e8dbb7d-8cfa-47d3-b3aa-1ea6509b5d37</t>
  </si>
  <si>
    <t>No Total</t>
  </si>
  <si>
    <t>Yes Total</t>
  </si>
  <si>
    <t>Grand Total</t>
  </si>
  <si>
    <t>SUM of Count</t>
  </si>
  <si>
    <t>Column Labels</t>
  </si>
  <si>
    <t>Row Labels</t>
  </si>
  <si>
    <t>Beau, lisa, ian</t>
  </si>
  <si>
    <t>Steven O, Carina B, Rachel D, Darwin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</si>
</sst>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22" fontId="0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22" fontId="0" fillId="0" borderId="0" xfId="0" applyNumberFormat="1" applyFont="1" applyAlignment="1">
      <alignment horizontal="right"/>
    </xf>
    <xf numFmtId="0" fontId="0" fillId="0" borderId="3" xfId="0" pivotButton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3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3" xfId="0" applyNumberFormat="1" applyFont="1" applyBorder="1" applyAlignment="1"/>
    <xf numFmtId="0" fontId="0" fillId="0" borderId="8" xfId="0" applyNumberFormat="1" applyFont="1" applyBorder="1" applyAlignment="1"/>
    <xf numFmtId="0" fontId="0" fillId="0" borderId="7" xfId="0" applyNumberFormat="1" applyFont="1" applyBorder="1" applyAlignment="1"/>
    <xf numFmtId="0" fontId="0" fillId="0" borderId="10" xfId="0" applyFont="1" applyBorder="1" applyAlignment="1"/>
    <xf numFmtId="0" fontId="0" fillId="0" borderId="10" xfId="0" applyNumberFormat="1" applyFont="1" applyBorder="1" applyAlignment="1"/>
    <xf numFmtId="0" fontId="0" fillId="0" borderId="0" xfId="0" applyNumberFormat="1" applyFont="1" applyAlignment="1"/>
    <xf numFmtId="0" fontId="0" fillId="0" borderId="11" xfId="0" applyNumberFormat="1" applyFont="1" applyBorder="1" applyAlignment="1"/>
    <xf numFmtId="0" fontId="0" fillId="0" borderId="12" xfId="0" applyFont="1" applyBorder="1" applyAlignment="1"/>
    <xf numFmtId="0" fontId="0" fillId="0" borderId="12" xfId="0" applyNumberFormat="1" applyFont="1" applyBorder="1" applyAlignment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0" fontId="4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yan Clark" refreshedDate="44278.690029976853" refreshedVersion="6" recordCount="106" xr:uid="{00000000-000A-0000-FFFF-FFFF00000000}">
  <cacheSource type="worksheet">
    <worksheetSource ref="A1:AG107" sheet="Bird_Observations_Raw"/>
  </cacheSource>
  <cacheFields count="29">
    <cacheField name="OBJECTID" numFmtId="0">
      <sharedItems containsSemiMixedTypes="0" containsString="0" containsNumber="1" containsInteger="1" minValue="3" maxValue="109"/>
    </cacheField>
    <cacheField name="Species" numFmtId="0">
      <sharedItems containsBlank="1" count="35">
        <s v="Aleutian Cackling Goose"/>
        <s v="American Coot"/>
        <s v="American Crow"/>
        <s v="American Kestrel"/>
        <s v="American Pipit"/>
        <s v="Anna's Hummingbird"/>
        <s v="Black Phoebe"/>
        <s v="Blue-gray Gnatcatcher"/>
        <s v="Bufflehead"/>
        <s v="Cackling Goose"/>
        <s v="California Towhee"/>
        <s v="Canada Goose"/>
        <s v="Common Yellowthroat"/>
        <s v="Greater Yellowlegs"/>
        <s v="House Finch"/>
        <s v="Killdeer"/>
        <s v="Least Sandpiper"/>
        <s v="Mallard"/>
        <s v="Mourning Dove"/>
        <s v="Northern Mockingbird"/>
        <s v="Northern Pintail"/>
        <s v="Red-shouldered Hawk"/>
        <s v="Red-tailed Hawk"/>
        <s v="Rock Dove"/>
        <s v="Ruby-crowned Kinglet"/>
        <s v="Say's Phoebe"/>
        <s v="Scaly-breasted Munia"/>
        <s v="Song Sparrow"/>
        <s v="Western Bluebird"/>
        <s v="Western Meadowlark"/>
        <s v="Western Sandpiper"/>
        <s v="White-crowned Sparrow"/>
        <s v="Wilson's Snipe"/>
        <s v="Yellow-rumped Warbler"/>
        <m/>
      </sharedItems>
    </cacheField>
    <cacheField name="Substrate" numFmtId="0">
      <sharedItems containsBlank="1"/>
    </cacheField>
    <cacheField name="Breeding Activity" numFmtId="0">
      <sharedItems/>
    </cacheField>
    <cacheField name="Count" numFmtId="0">
      <sharedItems containsString="0" containsBlank="1" containsNumber="1" containsInteger="1" minValue="1" maxValue="62"/>
    </cacheField>
    <cacheField name="Observation Notes" numFmtId="0">
      <sharedItems containsBlank="1"/>
    </cacheField>
    <cacheField name="Repeat Observation" numFmtId="0">
      <sharedItems count="2">
        <s v="No"/>
        <s v="Yes"/>
      </sharedItems>
    </cacheField>
    <cacheField name="Start Temp F" numFmtId="0">
      <sharedItems containsString="0" containsBlank="1" containsNumber="1" containsInteger="1" minValue="45" maxValue="50"/>
    </cacheField>
    <cacheField name="Start Cloud Cover %" numFmtId="0">
      <sharedItems containsString="0" containsBlank="1" containsNumber="1" containsInteger="1" minValue="0" maxValue="0"/>
    </cacheField>
    <cacheField name="Start Cloud Height" numFmtId="0">
      <sharedItems containsBlank="1"/>
    </cacheField>
    <cacheField name="Start Wind Speed" numFmtId="0">
      <sharedItems containsBlank="1"/>
    </cacheField>
    <cacheField name="Start Wind Direction" numFmtId="0">
      <sharedItems containsNonDate="0" containsString="0" containsBlank="1"/>
    </cacheField>
    <cacheField name="Rain" numFmtId="0">
      <sharedItems containsBlank="1"/>
    </cacheField>
    <cacheField name="Observers" numFmtId="0">
      <sharedItems count="2">
        <s v="SO CB RD DR"/>
        <s v="beau find all, lisa, ian"/>
      </sharedItems>
    </cacheField>
    <cacheField name="Date" numFmtId="0">
      <sharedItems containsNonDate="0" containsDate="1" containsString="0" containsBlank="1" minDate="2017-12-19T15:40:57" maxDate="2017-12-19T15:42:03"/>
    </cacheField>
    <cacheField name="Start Time" numFmtId="0">
      <sharedItems containsString="0" containsBlank="1" containsNumber="1" containsInteger="1" minValue="730" maxValue="730"/>
    </cacheField>
    <cacheField name="End Time" numFmtId="0">
      <sharedItems containsString="0" containsBlank="1" containsNumber="1" containsInteger="1" minValue="940" maxValue="940"/>
    </cacheField>
    <cacheField name="Water Level" numFmtId="0">
      <sharedItems containsString="0" containsBlank="1" containsNumber="1" containsInteger="1" minValue="5" maxValue="5"/>
    </cacheField>
    <cacheField name="End (F) Temp " numFmtId="0">
      <sharedItems containsString="0" containsBlank="1" containsNumber="1" containsInteger="1" minValue="60" maxValue="60"/>
    </cacheField>
    <cacheField name="End Cloud Cover %" numFmtId="0">
      <sharedItems containsString="0" containsBlank="1" containsNumber="1" containsInteger="1" minValue="0" maxValue="0"/>
    </cacheField>
    <cacheField name="End Cloud Height" numFmtId="0">
      <sharedItems containsBlank="1"/>
    </cacheField>
    <cacheField name="End Wind Speed" numFmtId="0">
      <sharedItems containsBlank="1"/>
    </cacheField>
    <cacheField name="End Wind Direction" numFmtId="0">
      <sharedItems containsBlank="1"/>
    </cacheField>
    <cacheField name="End Rain" numFmtId="0">
      <sharedItems containsBlank="1"/>
    </cacheField>
    <cacheField name="Weather Note" numFmtId="0">
      <sharedItems containsNonDate="0" containsString="0" containsBlank="1"/>
    </cacheField>
    <cacheField name="Sex" numFmtId="0">
      <sharedItems containsBlank="1"/>
    </cacheField>
    <cacheField name="GlobalID" numFmtId="0">
      <sharedItems/>
    </cacheField>
    <cacheField name="x" numFmtId="0">
      <sharedItems containsSemiMixedTypes="0" containsString="0" containsNumber="1" minValue="-119.883970417033" maxValue="-119.870681941767"/>
    </cacheField>
    <cacheField name="y" numFmtId="0">
      <sharedItems containsSemiMixedTypes="0" containsString="0" containsNumber="1" minValue="34.417524316929303" maxValue="34.422522032513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7"/>
    <x v="0"/>
    <s v="Other"/>
    <s v="No"/>
    <n v="1"/>
    <s v="Sandy seep area"/>
    <x v="0"/>
    <m/>
    <m/>
    <m/>
    <m/>
    <m/>
    <m/>
    <x v="0"/>
    <m/>
    <m/>
    <m/>
    <m/>
    <m/>
    <m/>
    <m/>
    <m/>
    <m/>
    <m/>
    <m/>
    <m/>
    <s v="51da7525-e96e-445b-9029-b19b12f6202b"/>
    <n v="-119.87530915211801"/>
    <n v="34.418542081114303"/>
  </r>
  <r>
    <n v="4"/>
    <x v="1"/>
    <s v="Mud"/>
    <s v="No"/>
    <n v="1"/>
    <m/>
    <x v="0"/>
    <m/>
    <m/>
    <m/>
    <m/>
    <m/>
    <m/>
    <x v="0"/>
    <m/>
    <m/>
    <m/>
    <m/>
    <m/>
    <m/>
    <m/>
    <m/>
    <m/>
    <m/>
    <m/>
    <m/>
    <s v="4564e8c4-394c-45d3-ba15-584afaf7d2eb"/>
    <n v="-119.874477109145"/>
    <n v="34.4180348145821"/>
  </r>
  <r>
    <n v="109"/>
    <x v="1"/>
    <s v="Water - Wading"/>
    <s v="No"/>
    <n v="2"/>
    <m/>
    <x v="0"/>
    <m/>
    <m/>
    <m/>
    <m/>
    <m/>
    <m/>
    <x v="1"/>
    <m/>
    <m/>
    <m/>
    <m/>
    <m/>
    <m/>
    <m/>
    <m/>
    <m/>
    <m/>
    <m/>
    <m/>
    <s v="6294efcf-cacd-4127-b535-4e2edd660126"/>
    <n v="-119.874159510675"/>
    <n v="34.417857150073502"/>
  </r>
  <r>
    <n v="73"/>
    <x v="2"/>
    <s v="Vegetation - Tree"/>
    <s v="No"/>
    <n v="1"/>
    <m/>
    <x v="0"/>
    <m/>
    <m/>
    <m/>
    <m/>
    <m/>
    <m/>
    <x v="1"/>
    <m/>
    <m/>
    <m/>
    <m/>
    <m/>
    <m/>
    <m/>
    <m/>
    <m/>
    <m/>
    <m/>
    <m/>
    <s v="b95686d3-1e64-4776-97c5-dc24cd1afda2"/>
    <n v="-119.871696446947"/>
    <n v="34.421957353136399"/>
  </r>
  <r>
    <n v="79"/>
    <x v="2"/>
    <s v="Fence"/>
    <s v="No"/>
    <n v="2"/>
    <s v="crow made passes at snipe"/>
    <x v="0"/>
    <m/>
    <m/>
    <m/>
    <m/>
    <m/>
    <m/>
    <x v="1"/>
    <m/>
    <m/>
    <m/>
    <m/>
    <m/>
    <m/>
    <m/>
    <m/>
    <m/>
    <m/>
    <m/>
    <m/>
    <s v="ecbeab28-17ab-45ac-984d-cf91755b4898"/>
    <n v="-119.87360121581099"/>
    <n v="34.421846087800098"/>
  </r>
  <r>
    <n v="21"/>
    <x v="3"/>
    <s v="Vegetation - Tree"/>
    <s v="No"/>
    <n v="1"/>
    <m/>
    <x v="0"/>
    <m/>
    <m/>
    <m/>
    <m/>
    <m/>
    <m/>
    <x v="0"/>
    <m/>
    <m/>
    <m/>
    <m/>
    <m/>
    <m/>
    <m/>
    <m/>
    <m/>
    <m/>
    <m/>
    <m/>
    <s v="b756093c-cfb7-4c6f-a868-67ea00582752"/>
    <n v="-119.882055011218"/>
    <n v="34.420348284807197"/>
  </r>
  <r>
    <n v="38"/>
    <x v="3"/>
    <s v="Vegetation - Tree"/>
    <s v="No"/>
    <n v="1"/>
    <m/>
    <x v="1"/>
    <m/>
    <m/>
    <m/>
    <m/>
    <m/>
    <m/>
    <x v="0"/>
    <m/>
    <m/>
    <m/>
    <m/>
    <m/>
    <m/>
    <m/>
    <m/>
    <m/>
    <m/>
    <m/>
    <m/>
    <s v="ae1ed59b-e71d-4e78-994a-17a39ed9f098"/>
    <n v="-119.883441148532"/>
    <n v="34.421691020642399"/>
  </r>
  <r>
    <n v="31"/>
    <x v="4"/>
    <s v="Bare ground"/>
    <s v="No"/>
    <n v="1"/>
    <m/>
    <x v="0"/>
    <m/>
    <m/>
    <m/>
    <m/>
    <m/>
    <m/>
    <x v="0"/>
    <m/>
    <m/>
    <m/>
    <m/>
    <m/>
    <m/>
    <m/>
    <m/>
    <m/>
    <m/>
    <m/>
    <m/>
    <s v="609065cb-7376-4373-9ce7-750af0c96dd4"/>
    <n v="-119.87835853635001"/>
    <n v="34.4199238244329"/>
  </r>
  <r>
    <n v="59"/>
    <x v="4"/>
    <s v="Vegetation - Herbaceous"/>
    <s v="No"/>
    <n v="1"/>
    <m/>
    <x v="0"/>
    <m/>
    <m/>
    <m/>
    <m/>
    <m/>
    <m/>
    <x v="1"/>
    <m/>
    <m/>
    <m/>
    <m/>
    <m/>
    <m/>
    <m/>
    <m/>
    <m/>
    <m/>
    <m/>
    <m/>
    <s v="c087f8f8-07bb-4779-ab6e-4da8f0f13d08"/>
    <n v="-119.87283217258801"/>
    <n v="34.420454993315097"/>
  </r>
  <r>
    <n v="89"/>
    <x v="4"/>
    <s v="Bare ground"/>
    <s v="No"/>
    <n v="1"/>
    <m/>
    <x v="0"/>
    <m/>
    <m/>
    <m/>
    <m/>
    <m/>
    <m/>
    <x v="1"/>
    <m/>
    <m/>
    <m/>
    <m/>
    <m/>
    <m/>
    <m/>
    <m/>
    <m/>
    <m/>
    <m/>
    <m/>
    <s v="0d1abbb3-3337-4c9d-8566-1ee844cbd1d3"/>
    <n v="-119.876019859645"/>
    <n v="34.420712340329402"/>
  </r>
  <r>
    <n v="10"/>
    <x v="5"/>
    <m/>
    <s v="No"/>
    <n v="1"/>
    <m/>
    <x v="0"/>
    <m/>
    <m/>
    <m/>
    <m/>
    <m/>
    <m/>
    <x v="0"/>
    <m/>
    <m/>
    <m/>
    <m/>
    <m/>
    <m/>
    <m/>
    <m/>
    <m/>
    <m/>
    <m/>
    <m/>
    <s v="2222964b-1645-4294-a38c-2f720c16038b"/>
    <n v="-119.876316247095"/>
    <n v="34.417774908617297"/>
  </r>
  <r>
    <n v="23"/>
    <x v="5"/>
    <s v="Vegetation - Tree"/>
    <s v="No"/>
    <n v="2"/>
    <m/>
    <x v="0"/>
    <m/>
    <m/>
    <m/>
    <m/>
    <m/>
    <m/>
    <x v="0"/>
    <m/>
    <m/>
    <m/>
    <m/>
    <m/>
    <m/>
    <m/>
    <m/>
    <m/>
    <m/>
    <m/>
    <m/>
    <s v="8c313650-cb5c-4bb1-959d-12fe2dbf2ed0"/>
    <n v="-119.88212076879501"/>
    <n v="34.420928692968403"/>
  </r>
  <r>
    <n v="30"/>
    <x v="5"/>
    <s v="Vegetation - Tree"/>
    <s v="No"/>
    <n v="2"/>
    <m/>
    <x v="0"/>
    <m/>
    <m/>
    <m/>
    <m/>
    <m/>
    <m/>
    <x v="0"/>
    <m/>
    <m/>
    <m/>
    <m/>
    <m/>
    <m/>
    <m/>
    <m/>
    <m/>
    <m/>
    <m/>
    <m/>
    <s v="fdefc880-fd6a-4f74-abb5-ffad68b67a58"/>
    <n v="-119.87771740424"/>
    <n v="34.419371888226202"/>
  </r>
  <r>
    <n v="66"/>
    <x v="5"/>
    <s v="Vegetation - Tree"/>
    <s v="No"/>
    <n v="1"/>
    <m/>
    <x v="0"/>
    <m/>
    <m/>
    <m/>
    <m/>
    <m/>
    <m/>
    <x v="1"/>
    <m/>
    <m/>
    <m/>
    <m/>
    <m/>
    <m/>
    <m/>
    <m/>
    <m/>
    <m/>
    <m/>
    <m/>
    <s v="b7e3b16a-08d5-4ca8-8137-4aae87e7937f"/>
    <n v="-119.871467389126"/>
    <n v="34.421550612819097"/>
  </r>
  <r>
    <n v="68"/>
    <x v="5"/>
    <s v="Vegetation - Tree"/>
    <s v="No"/>
    <n v="2"/>
    <m/>
    <x v="0"/>
    <m/>
    <m/>
    <m/>
    <m/>
    <m/>
    <m/>
    <x v="1"/>
    <m/>
    <m/>
    <m/>
    <m/>
    <m/>
    <m/>
    <m/>
    <m/>
    <m/>
    <m/>
    <m/>
    <m/>
    <s v="c277a7df-2326-4764-9d6b-f673bed1ffb2"/>
    <n v="-119.87170506538401"/>
    <n v="34.421918339295999"/>
  </r>
  <r>
    <n v="86"/>
    <x v="5"/>
    <s v="Vegetation - Tree"/>
    <s v="No"/>
    <n v="2"/>
    <m/>
    <x v="0"/>
    <m/>
    <m/>
    <m/>
    <m/>
    <m/>
    <m/>
    <x v="1"/>
    <m/>
    <m/>
    <m/>
    <m/>
    <m/>
    <m/>
    <m/>
    <m/>
    <m/>
    <m/>
    <m/>
    <m/>
    <s v="f2759f3c-8a29-4439-acec-89abb3e30689"/>
    <n v="-119.875123332906"/>
    <n v="34.421408730125599"/>
  </r>
  <r>
    <n v="90"/>
    <x v="5"/>
    <s v="Vegetation - Tree"/>
    <s v="No"/>
    <n v="1"/>
    <m/>
    <x v="0"/>
    <m/>
    <m/>
    <m/>
    <m/>
    <m/>
    <m/>
    <x v="1"/>
    <m/>
    <m/>
    <m/>
    <m/>
    <m/>
    <m/>
    <m/>
    <m/>
    <m/>
    <m/>
    <m/>
    <m/>
    <s v="aa70061d-94a7-4d94-8ebc-db9dc5028af5"/>
    <n v="-119.875728334775"/>
    <n v="34.421153477908298"/>
  </r>
  <r>
    <n v="92"/>
    <x v="5"/>
    <s v="Vegetation - Tree"/>
    <s v="No"/>
    <n v="1"/>
    <m/>
    <x v="0"/>
    <m/>
    <m/>
    <m/>
    <m/>
    <m/>
    <m/>
    <x v="1"/>
    <m/>
    <m/>
    <m/>
    <m/>
    <m/>
    <m/>
    <m/>
    <m/>
    <m/>
    <m/>
    <m/>
    <m/>
    <s v="203fe503-39cf-4c77-8ae2-7ea19ca7216f"/>
    <n v="-119.876405902553"/>
    <n v="34.420682933347202"/>
  </r>
  <r>
    <n v="99"/>
    <x v="5"/>
    <s v="Vegetation - Tree"/>
    <s v="No"/>
    <n v="2"/>
    <m/>
    <x v="0"/>
    <m/>
    <m/>
    <m/>
    <m/>
    <m/>
    <m/>
    <x v="1"/>
    <m/>
    <m/>
    <m/>
    <m/>
    <m/>
    <m/>
    <m/>
    <m/>
    <m/>
    <m/>
    <m/>
    <m/>
    <s v="129e76be-d13f-4b1d-8648-805aaa1732e8"/>
    <n v="-119.877473222383"/>
    <n v="34.421355999697496"/>
  </r>
  <r>
    <n v="104"/>
    <x v="5"/>
    <s v="Vegetation - Shrub"/>
    <s v="No"/>
    <n v="1"/>
    <m/>
    <x v="0"/>
    <m/>
    <m/>
    <m/>
    <m/>
    <m/>
    <m/>
    <x v="1"/>
    <m/>
    <m/>
    <m/>
    <m/>
    <m/>
    <m/>
    <m/>
    <m/>
    <m/>
    <m/>
    <m/>
    <m/>
    <s v="d3884965-0ed0-4a9c-b619-7ad01dcde6b1"/>
    <n v="-119.880264401159"/>
    <n v="34.421798273567603"/>
  </r>
  <r>
    <n v="105"/>
    <x v="5"/>
    <s v="Vegetation - Tree"/>
    <s v="No"/>
    <n v="2"/>
    <m/>
    <x v="0"/>
    <m/>
    <m/>
    <m/>
    <m/>
    <m/>
    <m/>
    <x v="1"/>
    <m/>
    <m/>
    <m/>
    <m/>
    <m/>
    <m/>
    <m/>
    <m/>
    <m/>
    <m/>
    <m/>
    <m/>
    <s v="1b868c4f-ca2c-492b-9823-28fb76ff2617"/>
    <n v="-119.880696870798"/>
    <n v="34.421917303352998"/>
  </r>
  <r>
    <n v="33"/>
    <x v="6"/>
    <s v="Water - Wading"/>
    <s v="No"/>
    <n v="1"/>
    <m/>
    <x v="1"/>
    <m/>
    <m/>
    <m/>
    <m/>
    <m/>
    <m/>
    <x v="0"/>
    <m/>
    <m/>
    <m/>
    <m/>
    <m/>
    <m/>
    <m/>
    <m/>
    <m/>
    <m/>
    <m/>
    <m/>
    <s v="85d37642-c8b8-43df-b8e3-ee4fbd8acaee"/>
    <n v="-119.878332958619"/>
    <n v="34.420912273298597"/>
  </r>
  <r>
    <n v="80"/>
    <x v="6"/>
    <s v="Vegetation - Herbaceous"/>
    <s v="No"/>
    <n v="2"/>
    <m/>
    <x v="0"/>
    <m/>
    <m/>
    <m/>
    <m/>
    <m/>
    <m/>
    <x v="1"/>
    <m/>
    <m/>
    <m/>
    <m/>
    <m/>
    <m/>
    <m/>
    <m/>
    <m/>
    <m/>
    <m/>
    <m/>
    <s v="7de5455a-166d-4c43-aab4-9e478e976661"/>
    <n v="-119.873492590628"/>
    <n v="34.4217465259769"/>
  </r>
  <r>
    <n v="87"/>
    <x v="6"/>
    <m/>
    <s v="No"/>
    <n v="1"/>
    <m/>
    <x v="0"/>
    <m/>
    <m/>
    <m/>
    <m/>
    <m/>
    <m/>
    <x v="1"/>
    <m/>
    <m/>
    <m/>
    <m/>
    <m/>
    <m/>
    <m/>
    <m/>
    <m/>
    <m/>
    <m/>
    <m/>
    <s v="10ff7309-a4e2-4b44-a35a-165075019fb7"/>
    <n v="-119.87562435118799"/>
    <n v="34.421044725061201"/>
  </r>
  <r>
    <n v="98"/>
    <x v="6"/>
    <s v="Vegetation - Herbaceous"/>
    <s v="No"/>
    <n v="1"/>
    <m/>
    <x v="0"/>
    <m/>
    <m/>
    <m/>
    <m/>
    <m/>
    <m/>
    <x v="1"/>
    <m/>
    <m/>
    <m/>
    <m/>
    <m/>
    <m/>
    <m/>
    <m/>
    <m/>
    <m/>
    <m/>
    <m/>
    <s v="1b0f6c83-8f97-41e8-acbb-9c95e364b64b"/>
    <n v="-119.877733548763"/>
    <n v="34.421383570189001"/>
  </r>
  <r>
    <n v="101"/>
    <x v="6"/>
    <s v="Other"/>
    <s v="No"/>
    <n v="1"/>
    <s v="on rocks"/>
    <x v="0"/>
    <m/>
    <m/>
    <m/>
    <m/>
    <m/>
    <m/>
    <x v="1"/>
    <m/>
    <m/>
    <m/>
    <m/>
    <m/>
    <m/>
    <m/>
    <m/>
    <m/>
    <m/>
    <m/>
    <m/>
    <s v="2edf1568-9181-4d8c-a7fa-7bd1ca8b2575"/>
    <n v="-119.87887547816899"/>
    <n v="34.421444447396702"/>
  </r>
  <r>
    <n v="9"/>
    <x v="7"/>
    <s v="Vegetation - Tree"/>
    <s v="No"/>
    <n v="1"/>
    <m/>
    <x v="0"/>
    <m/>
    <m/>
    <m/>
    <m/>
    <m/>
    <m/>
    <x v="0"/>
    <m/>
    <m/>
    <m/>
    <m/>
    <m/>
    <m/>
    <m/>
    <m/>
    <m/>
    <m/>
    <m/>
    <m/>
    <s v="c22421bf-167b-4a11-948d-f43d8778523b"/>
    <n v="-119.87626919873"/>
    <n v="34.417752562854403"/>
  </r>
  <r>
    <n v="54"/>
    <x v="8"/>
    <m/>
    <s v="No"/>
    <n v="1"/>
    <m/>
    <x v="0"/>
    <m/>
    <m/>
    <m/>
    <m/>
    <m/>
    <m/>
    <x v="1"/>
    <m/>
    <m/>
    <m/>
    <m/>
    <m/>
    <m/>
    <m/>
    <m/>
    <m/>
    <m/>
    <m/>
    <s v="F"/>
    <s v="d2893b45-a567-4d79-91f0-65e7512a702a"/>
    <n v="-119.875524557343"/>
    <n v="34.419262217875698"/>
  </r>
  <r>
    <n v="6"/>
    <x v="9"/>
    <s v="Other"/>
    <s v="No"/>
    <n v="5"/>
    <s v="Sandy seep area"/>
    <x v="0"/>
    <m/>
    <m/>
    <m/>
    <m/>
    <m/>
    <m/>
    <x v="0"/>
    <m/>
    <m/>
    <m/>
    <m/>
    <m/>
    <m/>
    <m/>
    <m/>
    <m/>
    <m/>
    <m/>
    <m/>
    <s v="4be5ce9f-6d22-43cd-8258-243165b0ce3b"/>
    <n v="-119.87525886352999"/>
    <n v="34.418547452228502"/>
  </r>
  <r>
    <n v="8"/>
    <x v="10"/>
    <s v="Bare ground"/>
    <s v="No"/>
    <n v="1"/>
    <m/>
    <x v="0"/>
    <m/>
    <m/>
    <m/>
    <m/>
    <m/>
    <m/>
    <x v="0"/>
    <m/>
    <m/>
    <m/>
    <m/>
    <m/>
    <m/>
    <m/>
    <m/>
    <m/>
    <m/>
    <m/>
    <m/>
    <s v="5ebbea55-daa6-4e04-bf16-bf63d4c41c7b"/>
    <n v="-119.87510099988999"/>
    <n v="34.417547091083897"/>
  </r>
  <r>
    <n v="17"/>
    <x v="10"/>
    <s v="Bare ground"/>
    <s v="No"/>
    <n v="2"/>
    <m/>
    <x v="0"/>
    <m/>
    <m/>
    <m/>
    <m/>
    <m/>
    <m/>
    <x v="0"/>
    <m/>
    <m/>
    <m/>
    <m/>
    <m/>
    <m/>
    <m/>
    <m/>
    <m/>
    <m/>
    <m/>
    <m/>
    <s v="c12a2d59-29cb-42cd-8bad-94b9f8564b15"/>
    <n v="-119.877342887615"/>
    <n v="34.4176154186978"/>
  </r>
  <r>
    <n v="39"/>
    <x v="10"/>
    <s v="Vegetation - Shrub"/>
    <s v="No"/>
    <n v="1"/>
    <m/>
    <x v="0"/>
    <m/>
    <m/>
    <m/>
    <m/>
    <m/>
    <m/>
    <x v="0"/>
    <m/>
    <m/>
    <m/>
    <m/>
    <m/>
    <m/>
    <m/>
    <m/>
    <m/>
    <m/>
    <m/>
    <m/>
    <s v="a0c131b8-1ee8-41e1-a0d3-d8cf34a81978"/>
    <n v="-119.880750385236"/>
    <n v="34.422114708057997"/>
  </r>
  <r>
    <n v="41"/>
    <x v="10"/>
    <s v="Bare ground"/>
    <s v="No"/>
    <n v="2"/>
    <m/>
    <x v="0"/>
    <m/>
    <m/>
    <m/>
    <m/>
    <m/>
    <m/>
    <x v="0"/>
    <m/>
    <m/>
    <m/>
    <m/>
    <m/>
    <m/>
    <m/>
    <m/>
    <m/>
    <m/>
    <m/>
    <m/>
    <s v="ef2a5f33-2f09-46a5-a324-68a7f15cd498"/>
    <n v="-119.88196593068101"/>
    <n v="34.420995353474702"/>
  </r>
  <r>
    <n v="49"/>
    <x v="10"/>
    <s v="Fence"/>
    <s v="No"/>
    <n v="2"/>
    <m/>
    <x v="0"/>
    <m/>
    <m/>
    <m/>
    <m/>
    <m/>
    <m/>
    <x v="0"/>
    <m/>
    <m/>
    <m/>
    <m/>
    <m/>
    <m/>
    <m/>
    <m/>
    <m/>
    <m/>
    <m/>
    <m/>
    <s v="7efb32b9-1bf9-4bfb-a74f-a6f20474eaba"/>
    <n v="-119.883692822339"/>
    <n v="34.4206565919919"/>
  </r>
  <r>
    <n v="74"/>
    <x v="10"/>
    <s v="Vegetation - Shrub"/>
    <s v="No"/>
    <n v="1"/>
    <m/>
    <x v="0"/>
    <m/>
    <m/>
    <m/>
    <m/>
    <m/>
    <m/>
    <x v="1"/>
    <m/>
    <m/>
    <m/>
    <m/>
    <m/>
    <m/>
    <m/>
    <m/>
    <m/>
    <m/>
    <m/>
    <m/>
    <s v="843b957e-fb21-4d71-9fff-9afaf5e34e21"/>
    <n v="-119.872143948096"/>
    <n v="34.422465878566001"/>
  </r>
  <r>
    <n v="82"/>
    <x v="10"/>
    <s v="Vegetation - Herbaceous"/>
    <s v="No"/>
    <n v="1"/>
    <m/>
    <x v="0"/>
    <m/>
    <m/>
    <m/>
    <m/>
    <m/>
    <m/>
    <x v="1"/>
    <m/>
    <m/>
    <m/>
    <m/>
    <m/>
    <m/>
    <m/>
    <m/>
    <m/>
    <m/>
    <m/>
    <m/>
    <s v="88ab10c8-4a39-45b4-9120-37622924b398"/>
    <n v="-119.87339603431199"/>
    <n v="34.421841492003303"/>
  </r>
  <r>
    <n v="5"/>
    <x v="11"/>
    <s v="Other"/>
    <s v="No"/>
    <n v="15"/>
    <s v="Sandy seep area"/>
    <x v="0"/>
    <m/>
    <m/>
    <m/>
    <m/>
    <m/>
    <m/>
    <x v="0"/>
    <m/>
    <m/>
    <m/>
    <m/>
    <m/>
    <m/>
    <m/>
    <m/>
    <m/>
    <m/>
    <m/>
    <m/>
    <s v="f6fb58e8-1da9-458d-a355-e62c1e39bdcc"/>
    <n v="-119.875312768735"/>
    <n v="34.418532629790398"/>
  </r>
  <r>
    <n v="37"/>
    <x v="12"/>
    <s v="Other"/>
    <s v="No"/>
    <n v="1"/>
    <s v="tule"/>
    <x v="0"/>
    <m/>
    <m/>
    <m/>
    <m/>
    <m/>
    <m/>
    <x v="0"/>
    <m/>
    <m/>
    <m/>
    <m/>
    <m/>
    <m/>
    <m/>
    <m/>
    <m/>
    <m/>
    <m/>
    <m/>
    <s v="9adf262a-7133-4140-8907-1d95a01a1bed"/>
    <n v="-119.88031976253301"/>
    <n v="34.421297172096097"/>
  </r>
  <r>
    <n v="102"/>
    <x v="12"/>
    <s v="Vegetation - Shrub"/>
    <s v="No"/>
    <n v="1"/>
    <m/>
    <x v="0"/>
    <m/>
    <m/>
    <m/>
    <m/>
    <m/>
    <m/>
    <x v="1"/>
    <m/>
    <m/>
    <m/>
    <m/>
    <m/>
    <m/>
    <m/>
    <m/>
    <m/>
    <m/>
    <m/>
    <s v="F"/>
    <s v="14992f04-35a2-456f-9c60-29be583bbfc6"/>
    <n v="-119.879386112017"/>
    <n v="34.421179460451299"/>
  </r>
  <r>
    <n v="28"/>
    <x v="13"/>
    <s v="Mud"/>
    <s v="No"/>
    <n v="1"/>
    <m/>
    <x v="0"/>
    <m/>
    <m/>
    <m/>
    <m/>
    <m/>
    <m/>
    <x v="0"/>
    <m/>
    <m/>
    <m/>
    <m/>
    <m/>
    <m/>
    <m/>
    <m/>
    <m/>
    <m/>
    <m/>
    <m/>
    <s v="2df5e37b-25f9-4a2f-a757-820de07171e1"/>
    <n v="-119.878270686505"/>
    <n v="34.420844615303203"/>
  </r>
  <r>
    <n v="52"/>
    <x v="13"/>
    <s v="Water - Wading"/>
    <s v="No"/>
    <n v="1"/>
    <m/>
    <x v="0"/>
    <n v="50"/>
    <n v="0"/>
    <m/>
    <s v="None"/>
    <m/>
    <s v="None"/>
    <x v="1"/>
    <d v="2017-12-19T15:42:03"/>
    <m/>
    <m/>
    <m/>
    <m/>
    <m/>
    <m/>
    <m/>
    <m/>
    <m/>
    <m/>
    <m/>
    <s v="76208d8d-3a30-4eb5-931e-528658f87d47"/>
    <n v="-119.874209908857"/>
    <n v="34.417984379289699"/>
  </r>
  <r>
    <n v="93"/>
    <x v="13"/>
    <s v="Water - Wading"/>
    <s v="No"/>
    <n v="1"/>
    <m/>
    <x v="1"/>
    <m/>
    <m/>
    <m/>
    <m/>
    <m/>
    <m/>
    <x v="1"/>
    <m/>
    <m/>
    <m/>
    <m/>
    <m/>
    <m/>
    <m/>
    <m/>
    <m/>
    <m/>
    <m/>
    <m/>
    <s v="a7950d22-1811-4a8d-b382-666a21059737"/>
    <n v="-119.877475446612"/>
    <n v="34.420572648179501"/>
  </r>
  <r>
    <n v="36"/>
    <x v="14"/>
    <s v="Vegetation - Shrub"/>
    <s v="No"/>
    <n v="1"/>
    <m/>
    <x v="0"/>
    <m/>
    <m/>
    <m/>
    <m/>
    <m/>
    <m/>
    <x v="0"/>
    <m/>
    <m/>
    <m/>
    <m/>
    <m/>
    <m/>
    <m/>
    <m/>
    <m/>
    <m/>
    <m/>
    <m/>
    <s v="d737429f-4d0c-407e-a70a-e2e00cf7bb02"/>
    <n v="-119.880200399788"/>
    <n v="34.421265409605503"/>
  </r>
  <r>
    <n v="56"/>
    <x v="14"/>
    <s v="Fence"/>
    <s v="No"/>
    <n v="2"/>
    <m/>
    <x v="0"/>
    <m/>
    <m/>
    <m/>
    <m/>
    <m/>
    <m/>
    <x v="1"/>
    <m/>
    <m/>
    <m/>
    <m/>
    <m/>
    <m/>
    <m/>
    <m/>
    <m/>
    <m/>
    <m/>
    <m/>
    <s v="ab2bda3e-a41b-405c-b134-7485d84fb0f9"/>
    <n v="-119.874265614287"/>
    <n v="34.419490449423698"/>
  </r>
  <r>
    <n v="64"/>
    <x v="14"/>
    <s v="Fence"/>
    <s v="No"/>
    <n v="2"/>
    <m/>
    <x v="0"/>
    <m/>
    <m/>
    <m/>
    <m/>
    <m/>
    <m/>
    <x v="1"/>
    <m/>
    <m/>
    <m/>
    <m/>
    <m/>
    <m/>
    <m/>
    <m/>
    <m/>
    <m/>
    <m/>
    <m/>
    <s v="5560c939-e2a8-47ef-bd95-a6728e921953"/>
    <n v="-119.870681941767"/>
    <n v="34.4211217316656"/>
  </r>
  <r>
    <n v="72"/>
    <x v="14"/>
    <s v="Vegetation - Shrub"/>
    <s v="No"/>
    <n v="1"/>
    <m/>
    <x v="0"/>
    <m/>
    <m/>
    <m/>
    <m/>
    <m/>
    <m/>
    <x v="1"/>
    <m/>
    <m/>
    <m/>
    <m/>
    <m/>
    <m/>
    <m/>
    <m/>
    <m/>
    <m/>
    <m/>
    <m/>
    <s v="989eb617-067c-45ee-9e67-214a2097e7d1"/>
    <n v="-119.87223493306099"/>
    <n v="34.422396952471402"/>
  </r>
  <r>
    <n v="88"/>
    <x v="14"/>
    <s v="Fence"/>
    <s v="No"/>
    <n v="2"/>
    <m/>
    <x v="0"/>
    <m/>
    <m/>
    <m/>
    <m/>
    <m/>
    <m/>
    <x v="1"/>
    <m/>
    <m/>
    <m/>
    <m/>
    <m/>
    <m/>
    <m/>
    <m/>
    <m/>
    <m/>
    <m/>
    <m/>
    <s v="7e4bcf98-9158-418c-ae32-4b7b30ad28e9"/>
    <n v="-119.87597900965601"/>
    <n v="34.420949758129801"/>
  </r>
  <r>
    <n v="12"/>
    <x v="15"/>
    <s v="Mud"/>
    <s v="No"/>
    <n v="5"/>
    <m/>
    <x v="0"/>
    <m/>
    <m/>
    <m/>
    <m/>
    <m/>
    <m/>
    <x v="0"/>
    <m/>
    <m/>
    <m/>
    <m/>
    <m/>
    <m/>
    <m/>
    <m/>
    <m/>
    <m/>
    <m/>
    <m/>
    <s v="df6924ce-9320-44e1-b774-efcc29ba2e90"/>
    <n v="-119.875064814852"/>
    <n v="34.418823074105397"/>
  </r>
  <r>
    <n v="24"/>
    <x v="15"/>
    <s v="Bare ground"/>
    <s v="No"/>
    <n v="5"/>
    <m/>
    <x v="0"/>
    <m/>
    <m/>
    <m/>
    <m/>
    <m/>
    <m/>
    <x v="0"/>
    <m/>
    <m/>
    <m/>
    <m/>
    <m/>
    <m/>
    <m/>
    <m/>
    <m/>
    <m/>
    <m/>
    <m/>
    <s v="19139721-532f-471d-8417-f770f31a430c"/>
    <n v="-119.881302091856"/>
    <n v="34.421140242466102"/>
  </r>
  <r>
    <n v="61"/>
    <x v="15"/>
    <s v="Bare ground"/>
    <s v="No"/>
    <n v="62"/>
    <m/>
    <x v="0"/>
    <m/>
    <m/>
    <m/>
    <m/>
    <m/>
    <m/>
    <x v="1"/>
    <m/>
    <m/>
    <m/>
    <m/>
    <m/>
    <m/>
    <m/>
    <m/>
    <m/>
    <m/>
    <m/>
    <m/>
    <s v="9a961210-0206-4c32-859c-fe1d4befa78d"/>
    <n v="-119.872120999733"/>
    <n v="34.421384752119998"/>
  </r>
  <r>
    <n v="63"/>
    <x v="15"/>
    <s v="Bare ground"/>
    <s v="No"/>
    <n v="5"/>
    <m/>
    <x v="0"/>
    <m/>
    <m/>
    <m/>
    <m/>
    <m/>
    <m/>
    <x v="1"/>
    <m/>
    <m/>
    <m/>
    <m/>
    <m/>
    <m/>
    <m/>
    <m/>
    <m/>
    <m/>
    <m/>
    <m/>
    <s v="488d2b8e-2e36-4f50-a980-a0bdab122587"/>
    <n v="-119.870921475741"/>
    <n v="34.4214046641358"/>
  </r>
  <r>
    <n v="100"/>
    <x v="15"/>
    <s v="Bare ground"/>
    <s v="No"/>
    <n v="1"/>
    <m/>
    <x v="0"/>
    <m/>
    <m/>
    <m/>
    <m/>
    <m/>
    <m/>
    <x v="1"/>
    <m/>
    <m/>
    <m/>
    <m/>
    <m/>
    <m/>
    <m/>
    <m/>
    <m/>
    <m/>
    <m/>
    <m/>
    <s v="69e22b15-ff6d-4ed1-91ce-d03d5c31cf51"/>
    <n v="-119.87804884574901"/>
    <n v="34.4206927623528"/>
  </r>
  <r>
    <n v="95"/>
    <x v="16"/>
    <s v="Bare ground"/>
    <s v="No"/>
    <n v="1"/>
    <m/>
    <x v="0"/>
    <m/>
    <m/>
    <m/>
    <m/>
    <m/>
    <m/>
    <x v="1"/>
    <m/>
    <m/>
    <m/>
    <m/>
    <m/>
    <m/>
    <m/>
    <m/>
    <m/>
    <m/>
    <m/>
    <m/>
    <s v="3df2d1eb-2b91-415d-803e-a95802ae2dc3"/>
    <n v="-119.87743645344"/>
    <n v="34.420641849217702"/>
  </r>
  <r>
    <n v="53"/>
    <x v="17"/>
    <m/>
    <s v="No"/>
    <n v="5"/>
    <m/>
    <x v="0"/>
    <m/>
    <m/>
    <m/>
    <m/>
    <m/>
    <m/>
    <x v="1"/>
    <m/>
    <m/>
    <m/>
    <m/>
    <m/>
    <m/>
    <m/>
    <m/>
    <m/>
    <m/>
    <m/>
    <m/>
    <s v="1c340f6d-527e-4c94-9c0d-47559cff9114"/>
    <n v="-119.87566196454701"/>
    <n v="34.419465941024697"/>
  </r>
  <r>
    <n v="106"/>
    <x v="18"/>
    <s v="Vegetation - Tree"/>
    <s v="No"/>
    <n v="1"/>
    <m/>
    <x v="0"/>
    <m/>
    <m/>
    <m/>
    <m/>
    <m/>
    <m/>
    <x v="1"/>
    <m/>
    <m/>
    <m/>
    <m/>
    <m/>
    <m/>
    <m/>
    <m/>
    <m/>
    <m/>
    <m/>
    <m/>
    <s v="a600153b-b016-4418-ac78-9a64a1677a71"/>
    <n v="-119.880995822938"/>
    <n v="34.422059752061301"/>
  </r>
  <r>
    <n v="91"/>
    <x v="19"/>
    <s v="Bare ground"/>
    <s v="No"/>
    <n v="1"/>
    <m/>
    <x v="0"/>
    <m/>
    <m/>
    <m/>
    <m/>
    <m/>
    <m/>
    <x v="1"/>
    <m/>
    <m/>
    <m/>
    <m/>
    <m/>
    <m/>
    <m/>
    <m/>
    <m/>
    <m/>
    <m/>
    <m/>
    <s v="7ead49de-315d-4905-bd4f-e868128b558e"/>
    <n v="-119.876138516314"/>
    <n v="34.420427133515297"/>
  </r>
  <r>
    <n v="55"/>
    <x v="20"/>
    <s v="Water - Floating"/>
    <s v="No"/>
    <n v="2"/>
    <m/>
    <x v="0"/>
    <m/>
    <m/>
    <m/>
    <m/>
    <m/>
    <m/>
    <x v="1"/>
    <m/>
    <m/>
    <m/>
    <m/>
    <m/>
    <m/>
    <m/>
    <m/>
    <m/>
    <m/>
    <m/>
    <m/>
    <s v="04a75b67-6d27-4728-a01f-e002a7b6ec6f"/>
    <n v="-119.87560254458501"/>
    <n v="34.419386289604702"/>
  </r>
  <r>
    <n v="15"/>
    <x v="21"/>
    <s v="Vegetation - Tree"/>
    <s v="No"/>
    <n v="1"/>
    <m/>
    <x v="0"/>
    <m/>
    <m/>
    <m/>
    <m/>
    <m/>
    <m/>
    <x v="0"/>
    <m/>
    <m/>
    <m/>
    <m/>
    <m/>
    <m/>
    <m/>
    <m/>
    <m/>
    <m/>
    <m/>
    <m/>
    <s v="8620c3ec-7e25-4eda-8623-b36b5c2fca95"/>
    <n v="-119.876368771589"/>
    <n v="34.417649607309301"/>
  </r>
  <r>
    <n v="16"/>
    <x v="21"/>
    <s v="Vegetation - Tree"/>
    <s v="No"/>
    <n v="1"/>
    <m/>
    <x v="1"/>
    <m/>
    <m/>
    <m/>
    <m/>
    <m/>
    <m/>
    <x v="0"/>
    <m/>
    <m/>
    <m/>
    <m/>
    <m/>
    <m/>
    <m/>
    <m/>
    <m/>
    <m/>
    <m/>
    <m/>
    <s v="5ae5b05e-3400-4fe4-a969-f698fc0bb2b5"/>
    <n v="-119.87761681089501"/>
    <n v="34.419220340874503"/>
  </r>
  <r>
    <n v="40"/>
    <x v="21"/>
    <s v="Vegetation - Tree"/>
    <s v="No"/>
    <n v="1"/>
    <m/>
    <x v="1"/>
    <m/>
    <m/>
    <m/>
    <m/>
    <m/>
    <m/>
    <x v="0"/>
    <m/>
    <m/>
    <m/>
    <m/>
    <m/>
    <m/>
    <m/>
    <m/>
    <m/>
    <m/>
    <m/>
    <m/>
    <s v="f5095b43-a833-46db-99f2-0de69598ac22"/>
    <n v="-119.883478446583"/>
    <n v="34.421697803938102"/>
  </r>
  <r>
    <n v="62"/>
    <x v="21"/>
    <s v="Fence"/>
    <s v="No"/>
    <n v="1"/>
    <m/>
    <x v="0"/>
    <m/>
    <m/>
    <m/>
    <m/>
    <m/>
    <m/>
    <x v="1"/>
    <m/>
    <m/>
    <m/>
    <m/>
    <m/>
    <m/>
    <m/>
    <m/>
    <m/>
    <m/>
    <m/>
    <m/>
    <s v="ce814d21-08a8-412f-874c-a517111ac464"/>
    <n v="-119.87119257561601"/>
    <n v="34.421340332249997"/>
  </r>
  <r>
    <n v="69"/>
    <x v="21"/>
    <s v="Vegetation - Herbaceous"/>
    <s v="No"/>
    <n v="1"/>
    <s v="hunting"/>
    <x v="0"/>
    <m/>
    <m/>
    <m/>
    <m/>
    <m/>
    <m/>
    <x v="1"/>
    <m/>
    <m/>
    <m/>
    <m/>
    <m/>
    <m/>
    <m/>
    <m/>
    <m/>
    <m/>
    <m/>
    <m/>
    <s v="8917a7c9-bbc1-4b02-a0e3-5e8592ffaf15"/>
    <n v="-119.873207255151"/>
    <n v="34.422522032513001"/>
  </r>
  <r>
    <n v="84"/>
    <x v="21"/>
    <s v="Vegetation - Tree"/>
    <s v="Carrying Nest Material"/>
    <n v="1"/>
    <m/>
    <x v="1"/>
    <m/>
    <m/>
    <m/>
    <m/>
    <m/>
    <m/>
    <x v="1"/>
    <m/>
    <m/>
    <m/>
    <m/>
    <m/>
    <m/>
    <m/>
    <m/>
    <m/>
    <m/>
    <m/>
    <m/>
    <s v="57d85052-80e8-4346-a9b9-38c5e2b93124"/>
    <n v="-119.873741566794"/>
    <n v="34.421689349642499"/>
  </r>
  <r>
    <n v="76"/>
    <x v="22"/>
    <s v="Vegetation - Tree"/>
    <s v="No"/>
    <n v="1"/>
    <m/>
    <x v="0"/>
    <m/>
    <m/>
    <m/>
    <m/>
    <m/>
    <m/>
    <x v="1"/>
    <m/>
    <m/>
    <m/>
    <m/>
    <m/>
    <m/>
    <m/>
    <m/>
    <m/>
    <m/>
    <m/>
    <m/>
    <s v="a4f93f95-680d-4a42-a0e1-5ec112b8a3eb"/>
    <n v="-119.876256289041"/>
    <n v="34.420738889896199"/>
  </r>
  <r>
    <n v="32"/>
    <x v="23"/>
    <s v="Bare ground"/>
    <s v="No"/>
    <n v="5"/>
    <m/>
    <x v="0"/>
    <m/>
    <m/>
    <m/>
    <m/>
    <m/>
    <m/>
    <x v="0"/>
    <m/>
    <m/>
    <m/>
    <m/>
    <m/>
    <m/>
    <m/>
    <m/>
    <m/>
    <m/>
    <m/>
    <m/>
    <s v="13665a9e-a2de-47d5-a3c4-f1ee6f3aae00"/>
    <n v="-119.878647868432"/>
    <n v="34.420892078093303"/>
  </r>
  <r>
    <n v="94"/>
    <x v="23"/>
    <m/>
    <s v="No"/>
    <n v="25"/>
    <m/>
    <x v="0"/>
    <m/>
    <m/>
    <m/>
    <m/>
    <m/>
    <m/>
    <x v="1"/>
    <m/>
    <m/>
    <m/>
    <m/>
    <m/>
    <m/>
    <m/>
    <m/>
    <m/>
    <m/>
    <m/>
    <m/>
    <s v="ba2fcc6b-58f9-4f18-9e5e-4cb567f9aa00"/>
    <n v="-119.878197761271"/>
    <n v="34.421087309568797"/>
  </r>
  <r>
    <n v="13"/>
    <x v="24"/>
    <m/>
    <s v="No"/>
    <n v="1"/>
    <m/>
    <x v="0"/>
    <m/>
    <m/>
    <m/>
    <m/>
    <m/>
    <m/>
    <x v="0"/>
    <m/>
    <m/>
    <m/>
    <m/>
    <m/>
    <m/>
    <m/>
    <m/>
    <m/>
    <m/>
    <m/>
    <m/>
    <s v="5b3a4e3c-eb2f-4773-9c54-e42ada31b9e9"/>
    <n v="-119.87637708998901"/>
    <n v="34.417910379213801"/>
  </r>
  <r>
    <n v="14"/>
    <x v="25"/>
    <s v="Other"/>
    <s v="No"/>
    <n v="1"/>
    <s v="wattle stake"/>
    <x v="0"/>
    <m/>
    <m/>
    <m/>
    <m/>
    <m/>
    <m/>
    <x v="0"/>
    <m/>
    <m/>
    <m/>
    <m/>
    <m/>
    <m/>
    <m/>
    <m/>
    <m/>
    <m/>
    <m/>
    <m/>
    <s v="4720cc22-9407-45c6-bbc0-f38fc2cbc384"/>
    <n v="-119.876751431442"/>
    <n v="34.418299819644801"/>
  </r>
  <r>
    <n v="19"/>
    <x v="25"/>
    <s v="Habitat Feature - Log"/>
    <s v="No"/>
    <n v="1"/>
    <m/>
    <x v="0"/>
    <m/>
    <m/>
    <m/>
    <m/>
    <m/>
    <m/>
    <x v="0"/>
    <m/>
    <m/>
    <m/>
    <m/>
    <m/>
    <m/>
    <m/>
    <m/>
    <m/>
    <m/>
    <m/>
    <m/>
    <s v="7525c874-26d6-4f13-916d-daf167a37023"/>
    <n v="-119.879809404467"/>
    <n v="34.418281565359898"/>
  </r>
  <r>
    <n v="20"/>
    <x v="25"/>
    <s v="Fence"/>
    <s v="No"/>
    <n v="1"/>
    <m/>
    <x v="0"/>
    <m/>
    <m/>
    <m/>
    <m/>
    <m/>
    <m/>
    <x v="0"/>
    <m/>
    <m/>
    <m/>
    <m/>
    <m/>
    <m/>
    <m/>
    <m/>
    <m/>
    <m/>
    <m/>
    <m/>
    <s v="68a1093d-2438-41ba-b2b7-237967ec8049"/>
    <n v="-119.881486212353"/>
    <n v="34.419030147099697"/>
  </r>
  <r>
    <n v="25"/>
    <x v="25"/>
    <s v="Habitat Feature - Log"/>
    <s v="No"/>
    <n v="1"/>
    <m/>
    <x v="0"/>
    <m/>
    <m/>
    <m/>
    <m/>
    <m/>
    <m/>
    <x v="0"/>
    <m/>
    <m/>
    <m/>
    <m/>
    <m/>
    <m/>
    <m/>
    <m/>
    <m/>
    <m/>
    <m/>
    <m/>
    <s v="735d5743-c34e-4149-a588-1122b23df6ea"/>
    <n v="-119.880476839249"/>
    <n v="34.420315738685296"/>
  </r>
  <r>
    <n v="26"/>
    <x v="25"/>
    <s v="Other"/>
    <s v="No"/>
    <n v="1"/>
    <s v="stake"/>
    <x v="0"/>
    <m/>
    <m/>
    <m/>
    <m/>
    <m/>
    <m/>
    <x v="0"/>
    <m/>
    <m/>
    <m/>
    <m/>
    <m/>
    <m/>
    <m/>
    <m/>
    <m/>
    <m/>
    <m/>
    <m/>
    <s v="e91fb98a-e0f7-4b6b-a07a-5be3a9bfa67d"/>
    <n v="-119.879520072386"/>
    <n v="34.419702779908697"/>
  </r>
  <r>
    <n v="27"/>
    <x v="25"/>
    <s v="Other"/>
    <s v="No"/>
    <n v="1"/>
    <s v="stake"/>
    <x v="0"/>
    <m/>
    <m/>
    <m/>
    <m/>
    <m/>
    <m/>
    <x v="0"/>
    <m/>
    <m/>
    <m/>
    <m/>
    <m/>
    <m/>
    <m/>
    <m/>
    <m/>
    <m/>
    <m/>
    <m/>
    <s v="31e6c434-50b5-49c2-922a-b050960f186f"/>
    <n v="-119.87976337389399"/>
    <n v="34.419144060963703"/>
  </r>
  <r>
    <n v="44"/>
    <x v="25"/>
    <s v="Bare ground"/>
    <s v="No"/>
    <n v="1"/>
    <m/>
    <x v="0"/>
    <m/>
    <m/>
    <m/>
    <m/>
    <m/>
    <m/>
    <x v="0"/>
    <m/>
    <m/>
    <m/>
    <m/>
    <m/>
    <m/>
    <m/>
    <m/>
    <m/>
    <m/>
    <m/>
    <m/>
    <s v="abd3c654-3670-41c9-be17-ec6731307227"/>
    <n v="-119.882939893095"/>
    <n v="34.4206758720834"/>
  </r>
  <r>
    <n v="46"/>
    <x v="25"/>
    <s v="Other"/>
    <s v="No"/>
    <n v="1"/>
    <s v="wetland vegetation "/>
    <x v="0"/>
    <m/>
    <m/>
    <m/>
    <m/>
    <m/>
    <m/>
    <x v="0"/>
    <m/>
    <m/>
    <m/>
    <m/>
    <m/>
    <m/>
    <m/>
    <m/>
    <m/>
    <m/>
    <m/>
    <s v="Uncertain"/>
    <s v="fc1bfc2f-f3ac-427d-87a8-94b564b75d97"/>
    <n v="-119.882942257461"/>
    <n v="34.421039780197198"/>
  </r>
  <r>
    <n v="96"/>
    <x v="25"/>
    <s v="Vegetation - Herbaceous"/>
    <s v="No"/>
    <n v="1"/>
    <m/>
    <x v="0"/>
    <m/>
    <m/>
    <m/>
    <m/>
    <m/>
    <m/>
    <x v="1"/>
    <m/>
    <m/>
    <m/>
    <m/>
    <m/>
    <m/>
    <m/>
    <m/>
    <m/>
    <m/>
    <m/>
    <m/>
    <s v="e3a8e712-2801-4fb5-ad8e-e28e5ac3b45b"/>
    <n v="-119.877672272881"/>
    <n v="34.421072264532199"/>
  </r>
  <r>
    <n v="83"/>
    <x v="26"/>
    <s v="Vegetation - Shrub"/>
    <s v="No"/>
    <n v="2"/>
    <m/>
    <x v="0"/>
    <m/>
    <m/>
    <m/>
    <m/>
    <m/>
    <m/>
    <x v="1"/>
    <m/>
    <m/>
    <m/>
    <m/>
    <m/>
    <m/>
    <m/>
    <m/>
    <m/>
    <m/>
    <m/>
    <m/>
    <s v="72ccbd1f-b002-49e6-87d4-21cbfd3eea0b"/>
    <n v="-119.87368836137701"/>
    <n v="34.421779562096603"/>
  </r>
  <r>
    <n v="35"/>
    <x v="27"/>
    <s v="Other"/>
    <s v="No"/>
    <n v="2"/>
    <s v="tules"/>
    <x v="0"/>
    <m/>
    <m/>
    <m/>
    <m/>
    <m/>
    <m/>
    <x v="0"/>
    <m/>
    <m/>
    <m/>
    <m/>
    <m/>
    <m/>
    <m/>
    <m/>
    <m/>
    <m/>
    <m/>
    <m/>
    <s v="61a996a7-aab8-41ef-be08-bcd83e277b46"/>
    <n v="-119.879793542016"/>
    <n v="34.421180711300401"/>
  </r>
  <r>
    <n v="42"/>
    <x v="27"/>
    <s v="Vegetation - Tree"/>
    <s v="No"/>
    <n v="2"/>
    <m/>
    <x v="0"/>
    <m/>
    <m/>
    <m/>
    <m/>
    <m/>
    <m/>
    <x v="0"/>
    <m/>
    <m/>
    <m/>
    <m/>
    <m/>
    <m/>
    <m/>
    <m/>
    <m/>
    <m/>
    <m/>
    <m/>
    <s v="0982fa02-5167-4e8b-be94-d8534cdba617"/>
    <n v="-119.881895838733"/>
    <n v="34.421001439521298"/>
  </r>
  <r>
    <n v="43"/>
    <x v="27"/>
    <s v="Other"/>
    <s v="No"/>
    <n v="1"/>
    <s v="tules "/>
    <x v="0"/>
    <m/>
    <m/>
    <m/>
    <m/>
    <m/>
    <m/>
    <x v="0"/>
    <m/>
    <m/>
    <m/>
    <m/>
    <m/>
    <m/>
    <m/>
    <m/>
    <m/>
    <m/>
    <m/>
    <m/>
    <s v="d0424963-a202-44b6-a1c6-720ba16e2dbe"/>
    <n v="-119.882124560584"/>
    <n v="34.420901016359998"/>
  </r>
  <r>
    <n v="47"/>
    <x v="27"/>
    <s v="Other"/>
    <s v="No"/>
    <n v="1"/>
    <s v="wetland vegetation "/>
    <x v="0"/>
    <m/>
    <m/>
    <m/>
    <m/>
    <m/>
    <m/>
    <x v="0"/>
    <m/>
    <m/>
    <m/>
    <m/>
    <m/>
    <m/>
    <m/>
    <m/>
    <m/>
    <m/>
    <m/>
    <m/>
    <s v="123c46ce-895c-40ed-99a9-b2b02fad71cd"/>
    <n v="-119.883104190469"/>
    <n v="34.421096332291498"/>
  </r>
  <r>
    <n v="50"/>
    <x v="27"/>
    <s v="Other"/>
    <s v="No"/>
    <n v="1"/>
    <s v="wetland vegetation "/>
    <x v="0"/>
    <m/>
    <m/>
    <m/>
    <m/>
    <m/>
    <m/>
    <x v="0"/>
    <m/>
    <m/>
    <m/>
    <m/>
    <m/>
    <m/>
    <m/>
    <m/>
    <m/>
    <m/>
    <m/>
    <m/>
    <s v="59417dd7-f375-40ac-b39c-6414be2fe4b6"/>
    <n v="-119.883953241245"/>
    <n v="34.4213126668933"/>
  </r>
  <r>
    <n v="71"/>
    <x v="27"/>
    <s v="Vegetation - Tree"/>
    <s v="No"/>
    <n v="2"/>
    <m/>
    <x v="0"/>
    <m/>
    <m/>
    <m/>
    <m/>
    <m/>
    <m/>
    <x v="1"/>
    <m/>
    <m/>
    <m/>
    <m/>
    <m/>
    <m/>
    <m/>
    <m/>
    <m/>
    <m/>
    <m/>
    <m/>
    <s v="92bb6e9e-1cc7-4fb7-be06-0017dad17128"/>
    <n v="-119.872301779396"/>
    <n v="34.422328025578999"/>
  </r>
  <r>
    <n v="77"/>
    <x v="27"/>
    <s v="Vegetation - Shrub"/>
    <s v="No"/>
    <n v="2"/>
    <m/>
    <x v="0"/>
    <m/>
    <m/>
    <m/>
    <m/>
    <m/>
    <m/>
    <x v="1"/>
    <m/>
    <m/>
    <m/>
    <m/>
    <m/>
    <m/>
    <m/>
    <m/>
    <m/>
    <m/>
    <m/>
    <m/>
    <s v="3e31b22a-8279-42b6-aee8-1f91c8f5fcba"/>
    <n v="-119.872786416899"/>
    <n v="34.421982004562501"/>
  </r>
  <r>
    <n v="81"/>
    <x v="27"/>
    <s v="Vegetation - Shrub"/>
    <s v="No"/>
    <n v="2"/>
    <m/>
    <x v="0"/>
    <m/>
    <m/>
    <m/>
    <m/>
    <m/>
    <m/>
    <x v="1"/>
    <m/>
    <m/>
    <m/>
    <m/>
    <m/>
    <m/>
    <m/>
    <m/>
    <m/>
    <m/>
    <m/>
    <m/>
    <s v="fb7e9095-b37e-4655-bc4d-d3b31d0a5f00"/>
    <n v="-119.873199208941"/>
    <n v="34.421818516720201"/>
  </r>
  <r>
    <n v="57"/>
    <x v="28"/>
    <s v="Fence"/>
    <s v="No"/>
    <n v="8"/>
    <m/>
    <x v="0"/>
    <m/>
    <m/>
    <m/>
    <m/>
    <m/>
    <m/>
    <x v="1"/>
    <m/>
    <m/>
    <m/>
    <m/>
    <m/>
    <m/>
    <m/>
    <m/>
    <m/>
    <m/>
    <m/>
    <m/>
    <s v="d4ef6b4a-4a98-4d57-b4fd-1ee02a04dd57"/>
    <n v="-119.874287896997"/>
    <n v="34.419557846187097"/>
  </r>
  <r>
    <n v="22"/>
    <x v="29"/>
    <s v="Bare ground"/>
    <s v="No"/>
    <n v="8"/>
    <m/>
    <x v="0"/>
    <m/>
    <m/>
    <m/>
    <m/>
    <m/>
    <m/>
    <x v="0"/>
    <m/>
    <m/>
    <m/>
    <m/>
    <m/>
    <m/>
    <m/>
    <m/>
    <m/>
    <m/>
    <m/>
    <m/>
    <s v="bde55e98-7296-4295-a9c2-a9f22baf0d92"/>
    <n v="-119.881348121531"/>
    <n v="34.420296752700501"/>
  </r>
  <r>
    <n v="60"/>
    <x v="29"/>
    <s v="Bare ground"/>
    <s v="No"/>
    <n v="9"/>
    <m/>
    <x v="0"/>
    <m/>
    <m/>
    <m/>
    <m/>
    <m/>
    <m/>
    <x v="1"/>
    <m/>
    <m/>
    <m/>
    <m/>
    <m/>
    <m/>
    <m/>
    <m/>
    <m/>
    <m/>
    <m/>
    <m/>
    <s v="1e8bdfe7-c71c-4d64-a2bf-bc3a066a316e"/>
    <n v="-119.873236965133"/>
    <n v="34.421081471030803"/>
  </r>
  <r>
    <n v="67"/>
    <x v="29"/>
    <s v="Vegetation - Herbaceous"/>
    <s v="No"/>
    <n v="5"/>
    <m/>
    <x v="0"/>
    <m/>
    <m/>
    <m/>
    <m/>
    <m/>
    <m/>
    <x v="1"/>
    <m/>
    <m/>
    <m/>
    <m/>
    <m/>
    <m/>
    <m/>
    <m/>
    <m/>
    <m/>
    <m/>
    <m/>
    <s v="3e842b8d-8155-4d73-94b1-88ab67f1ab17"/>
    <n v="-119.872473800485"/>
    <n v="34.4214848649533"/>
  </r>
  <r>
    <n v="85"/>
    <x v="29"/>
    <s v="Bare ground"/>
    <s v="No"/>
    <n v="55"/>
    <m/>
    <x v="0"/>
    <m/>
    <m/>
    <m/>
    <m/>
    <m/>
    <m/>
    <x v="1"/>
    <m/>
    <m/>
    <m/>
    <m/>
    <m/>
    <m/>
    <m/>
    <m/>
    <m/>
    <m/>
    <m/>
    <m/>
    <s v="f28f4559-4a11-4698-b18a-662d644c4bc2"/>
    <n v="-119.87467397493999"/>
    <n v="34.421324486213003"/>
  </r>
  <r>
    <n v="11"/>
    <x v="30"/>
    <s v="Mud"/>
    <s v="No"/>
    <n v="1"/>
    <m/>
    <x v="0"/>
    <m/>
    <m/>
    <m/>
    <m/>
    <m/>
    <m/>
    <x v="0"/>
    <m/>
    <m/>
    <m/>
    <m/>
    <m/>
    <m/>
    <m/>
    <m/>
    <m/>
    <m/>
    <m/>
    <m/>
    <s v="6d9e2597-5d22-4477-a011-28450c690c9e"/>
    <n v="-119.87530605742199"/>
    <n v="34.4187149918383"/>
  </r>
  <r>
    <n v="29"/>
    <x v="30"/>
    <s v="Mud"/>
    <s v="No"/>
    <n v="1"/>
    <m/>
    <x v="1"/>
    <m/>
    <m/>
    <m/>
    <m/>
    <m/>
    <m/>
    <x v="0"/>
    <m/>
    <m/>
    <m/>
    <m/>
    <m/>
    <m/>
    <m/>
    <m/>
    <m/>
    <m/>
    <m/>
    <m/>
    <s v="3c4a1385-86a9-4133-bd40-4f5104a517f6"/>
    <n v="-119.87823780816601"/>
    <n v="34.420850039623403"/>
  </r>
  <r>
    <n v="97"/>
    <x v="30"/>
    <s v="Water - Wading"/>
    <s v="No"/>
    <n v="1"/>
    <m/>
    <x v="0"/>
    <m/>
    <m/>
    <m/>
    <m/>
    <m/>
    <m/>
    <x v="1"/>
    <m/>
    <m/>
    <m/>
    <m/>
    <m/>
    <m/>
    <m/>
    <m/>
    <m/>
    <m/>
    <m/>
    <m/>
    <s v="3f749a11-adbe-4fd3-b765-9a32d3ee4380"/>
    <n v="-119.87781525053801"/>
    <n v="34.420672849426602"/>
  </r>
  <r>
    <n v="18"/>
    <x v="31"/>
    <s v="Bare ground"/>
    <s v="No"/>
    <n v="2"/>
    <m/>
    <x v="0"/>
    <m/>
    <m/>
    <m/>
    <m/>
    <m/>
    <m/>
    <x v="0"/>
    <m/>
    <m/>
    <m/>
    <m/>
    <m/>
    <m/>
    <m/>
    <m/>
    <m/>
    <m/>
    <m/>
    <m/>
    <s v="4cac70aa-8be7-443a-ae46-b269169e9bdc"/>
    <n v="-119.87761640306"/>
    <n v="34.417598072057302"/>
  </r>
  <r>
    <n v="34"/>
    <x v="31"/>
    <s v="Other"/>
    <s v="No"/>
    <n v="10"/>
    <s v="tules"/>
    <x v="0"/>
    <m/>
    <m/>
    <m/>
    <m/>
    <m/>
    <m/>
    <x v="0"/>
    <m/>
    <m/>
    <m/>
    <m/>
    <m/>
    <m/>
    <m/>
    <m/>
    <m/>
    <m/>
    <m/>
    <m/>
    <s v="cfbbdb5a-b18f-4e39-9d8d-6a986ddc7464"/>
    <n v="-119.87974220329799"/>
    <n v="34.421251069314501"/>
  </r>
  <r>
    <n v="45"/>
    <x v="31"/>
    <s v="Vegetation - Shrub"/>
    <s v="No"/>
    <n v="3"/>
    <m/>
    <x v="0"/>
    <m/>
    <m/>
    <m/>
    <m/>
    <m/>
    <m/>
    <x v="0"/>
    <m/>
    <m/>
    <m/>
    <m/>
    <m/>
    <m/>
    <m/>
    <m/>
    <m/>
    <m/>
    <m/>
    <m/>
    <s v="11d427f7-f174-410c-a07d-eb2e21a57861"/>
    <n v="-119.882731863039"/>
    <n v="34.420572518499299"/>
  </r>
  <r>
    <n v="70"/>
    <x v="31"/>
    <s v="Vegetation - Herbaceous"/>
    <s v="No"/>
    <n v="6"/>
    <m/>
    <x v="0"/>
    <m/>
    <m/>
    <m/>
    <m/>
    <m/>
    <m/>
    <x v="1"/>
    <m/>
    <m/>
    <m/>
    <m/>
    <m/>
    <m/>
    <m/>
    <m/>
    <m/>
    <m/>
    <m/>
    <m/>
    <s v="eb7715fa-951e-4bc0-a278-b25b6a8eb7fe"/>
    <n v="-119.87247818067"/>
    <n v="34.4221947674015"/>
  </r>
  <r>
    <n v="103"/>
    <x v="31"/>
    <s v="Vegetation - Shrub"/>
    <s v="No"/>
    <n v="1"/>
    <m/>
    <x v="1"/>
    <m/>
    <m/>
    <m/>
    <m/>
    <m/>
    <m/>
    <x v="1"/>
    <m/>
    <m/>
    <m/>
    <m/>
    <m/>
    <m/>
    <m/>
    <m/>
    <m/>
    <m/>
    <m/>
    <m/>
    <s v="f5df42ec-d678-4fee-8847-2e6444699915"/>
    <n v="-119.879891174514"/>
    <n v="34.4213111878109"/>
  </r>
  <r>
    <n v="78"/>
    <x v="32"/>
    <s v="Water - Wading"/>
    <s v="No"/>
    <n v="1"/>
    <m/>
    <x v="0"/>
    <m/>
    <m/>
    <m/>
    <m/>
    <m/>
    <m/>
    <x v="1"/>
    <m/>
    <m/>
    <m/>
    <m/>
    <m/>
    <m/>
    <m/>
    <m/>
    <m/>
    <m/>
    <m/>
    <m/>
    <s v="d6fd9a0c-8594-418b-bbad-cf5f5052b4e0"/>
    <n v="-119.873560365822"/>
    <n v="34.421783287199403"/>
  </r>
  <r>
    <n v="48"/>
    <x v="33"/>
    <s v="Other"/>
    <s v="No"/>
    <n v="1"/>
    <s v="wetland vegetation "/>
    <x v="0"/>
    <m/>
    <m/>
    <m/>
    <m/>
    <m/>
    <m/>
    <x v="0"/>
    <m/>
    <m/>
    <m/>
    <m/>
    <m/>
    <m/>
    <m/>
    <m/>
    <m/>
    <m/>
    <m/>
    <m/>
    <s v="d70a5c7a-1737-4c57-bc5c-be9c193d4bf2"/>
    <n v="-119.88312783053399"/>
    <n v="34.421100232306699"/>
  </r>
  <r>
    <n v="58"/>
    <x v="33"/>
    <s v="Vegetation - Herbaceous"/>
    <s v="No"/>
    <n v="3"/>
    <m/>
    <x v="0"/>
    <m/>
    <m/>
    <m/>
    <m/>
    <m/>
    <m/>
    <x v="1"/>
    <m/>
    <m/>
    <m/>
    <m/>
    <m/>
    <m/>
    <m/>
    <m/>
    <m/>
    <m/>
    <m/>
    <m/>
    <s v="685503ef-1223-4a46-a0dd-40a66f72b9b1"/>
    <n v="-119.87434820000399"/>
    <n v="34.419655683257297"/>
  </r>
  <r>
    <n v="65"/>
    <x v="33"/>
    <s v="Vegetation - Tree"/>
    <s v="No"/>
    <n v="5"/>
    <m/>
    <x v="0"/>
    <m/>
    <m/>
    <m/>
    <m/>
    <m/>
    <m/>
    <x v="1"/>
    <m/>
    <m/>
    <m/>
    <m/>
    <m/>
    <m/>
    <m/>
    <m/>
    <m/>
    <m/>
    <m/>
    <m/>
    <s v="f0cd18d2-a03d-41d2-8cdc-eda325680ca1"/>
    <n v="-119.871461818673"/>
    <n v="34.421745140270602"/>
  </r>
  <r>
    <n v="75"/>
    <x v="33"/>
    <s v="Vegetation - Shrub"/>
    <s v="No"/>
    <n v="1"/>
    <m/>
    <x v="0"/>
    <m/>
    <m/>
    <m/>
    <m/>
    <m/>
    <m/>
    <x v="1"/>
    <m/>
    <m/>
    <m/>
    <m/>
    <m/>
    <m/>
    <m/>
    <m/>
    <m/>
    <m/>
    <m/>
    <m/>
    <s v="c9e0594b-71b1-4fef-b5a0-ed09a9c370e5"/>
    <n v="-119.87211795175"/>
    <n v="34.4225119740086"/>
  </r>
  <r>
    <n v="107"/>
    <x v="33"/>
    <m/>
    <s v="No"/>
    <n v="1"/>
    <m/>
    <x v="0"/>
    <m/>
    <m/>
    <m/>
    <m/>
    <m/>
    <m/>
    <x v="1"/>
    <m/>
    <m/>
    <m/>
    <m/>
    <m/>
    <m/>
    <m/>
    <m/>
    <m/>
    <m/>
    <m/>
    <m/>
    <s v="0e8dbb7d-8cfa-47d3-b3aa-1ea6509b5d37"/>
    <n v="-119.883893759298"/>
    <n v="34.421867539541999"/>
  </r>
  <r>
    <n v="3"/>
    <x v="34"/>
    <m/>
    <s v="No"/>
    <m/>
    <m/>
    <x v="0"/>
    <n v="45"/>
    <n v="0"/>
    <s v="Clear"/>
    <s v="None"/>
    <m/>
    <s v="None"/>
    <x v="0"/>
    <d v="2017-12-19T15:40:57"/>
    <n v="730"/>
    <m/>
    <n v="5"/>
    <m/>
    <m/>
    <m/>
    <m/>
    <m/>
    <m/>
    <m/>
    <m/>
    <s v="95bdff15-6307-4bbc-8cc8-0970d59e4c57"/>
    <n v="-119.874080216385"/>
    <n v="34.417524316929303"/>
  </r>
  <r>
    <n v="51"/>
    <x v="34"/>
    <m/>
    <s v="No"/>
    <m/>
    <m/>
    <x v="0"/>
    <m/>
    <m/>
    <m/>
    <m/>
    <m/>
    <m/>
    <x v="0"/>
    <m/>
    <m/>
    <n v="940"/>
    <m/>
    <n v="60"/>
    <n v="0"/>
    <s v="Clear"/>
    <s v="Light"/>
    <s v="East"/>
    <s v="None"/>
    <m/>
    <m/>
    <s v="234d0742-b07f-4555-9fa2-65ee68d28ab6"/>
    <n v="-119.883970417033"/>
    <n v="34.4215940166381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22" applyNumberFormats="0" applyBorderFormats="0" applyFontFormats="0" applyPatternFormats="0" applyAlignmentFormats="0" applyWidthHeightFormats="0" dataCaption="" updatedVersion="6">
  <location ref="A1:H38" firstHeaderRow="1" firstDataRow="3" firstDataCol="1"/>
  <pivotFields count="29">
    <pivotField name="OBJECTID" outline="0" multipleItemSelectionAllowed="1" showAll="0"/>
    <pivotField name="Species" axis="axisRow" outline="0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h="1" x="34"/>
        <item t="default"/>
      </items>
    </pivotField>
    <pivotField name="Substrate" outline="0" multipleItemSelectionAllowed="1" showAll="0"/>
    <pivotField name="Breeding Activity" outline="0" multipleItemSelectionAllowed="1" showAll="0"/>
    <pivotField name="Count" dataField="1" outline="0" multipleItemSelectionAllowed="1" showAll="0"/>
    <pivotField name="Observation Notes" outline="0" multipleItemSelectionAllowed="1" showAll="0"/>
    <pivotField name="Repeat Observation" axis="axisCol" outline="0" multipleItemSelectionAllowed="1" showAll="0">
      <items count="3">
        <item x="0"/>
        <item x="1"/>
        <item t="default"/>
      </items>
    </pivotField>
    <pivotField name="Start Temp F" outline="0" multipleItemSelectionAllowed="1" showAll="0"/>
    <pivotField name="Start Cloud Cover %" outline="0" multipleItemSelectionAllowed="1" showAll="0"/>
    <pivotField name="Start Cloud Height" outline="0" multipleItemSelectionAllowed="1" showAll="0"/>
    <pivotField name="Start Wind Speed" outline="0" multipleItemSelectionAllowed="1" showAll="0"/>
    <pivotField name="Start Wind Direction" outline="0" multipleItemSelectionAllowed="1" showAll="0"/>
    <pivotField name="Rain" outline="0" multipleItemSelectionAllowed="1" showAll="0"/>
    <pivotField name="Observers" axis="axisCol" outline="0" multipleItemSelectionAllowed="1" showAll="0">
      <items count="3">
        <item x="0"/>
        <item x="1"/>
        <item t="default"/>
      </items>
    </pivotField>
    <pivotField name="Date" outline="0" multipleItemSelectionAllowed="1" showAll="0"/>
    <pivotField name="Start Time" outline="0" multipleItemSelectionAllowed="1" showAll="0"/>
    <pivotField name="End Time" outline="0" multipleItemSelectionAllowed="1" showAll="0"/>
    <pivotField name="Water Level" outline="0" multipleItemSelectionAllowed="1" showAll="0"/>
    <pivotField name="End (F) Temp " outline="0" multipleItemSelectionAllowed="1" showAll="0"/>
    <pivotField name="End Cloud Cover %" outline="0" multipleItemSelectionAllowed="1" showAll="0"/>
    <pivotField name="End Cloud Height" outline="0" multipleItemSelectionAllowed="1" showAll="0"/>
    <pivotField name="End Wind Speed" outline="0" multipleItemSelectionAllowed="1" showAll="0"/>
    <pivotField name="End Wind Direction" outline="0" multipleItemSelectionAllowed="1" showAll="0"/>
    <pivotField name="End Rain" outline="0" multipleItemSelectionAllowed="1" showAll="0"/>
    <pivotField name="Weather Note" outline="0" multipleItemSelectionAllowed="1" showAll="0"/>
    <pivotField name="Sex" outline="0" multipleItemSelectionAllowed="1" showAll="0"/>
    <pivotField name="GlobalID" outline="0" multipleItemSelectionAllowed="1" showAll="0"/>
    <pivotField name="x" outline="0" multipleItemSelectionAllowed="1" showAll="0"/>
    <pivotField name="y" outline="0" multipleItemSelectionAllowed="1"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6"/>
    <field x="1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9"/>
  <sheetViews>
    <sheetView tabSelected="1" workbookViewId="0">
      <selection activeCell="P10" sqref="P10"/>
    </sheetView>
  </sheetViews>
  <sheetFormatPr defaultColWidth="14.42578125" defaultRowHeight="15" customHeight="1" x14ac:dyDescent="0.25"/>
  <cols>
    <col min="1" max="2" width="12.140625" customWidth="1"/>
    <col min="3" max="3" width="21.42578125" customWidth="1"/>
    <col min="4" max="4" width="6.140625" customWidth="1"/>
    <col min="5" max="5" width="17.5703125" customWidth="1"/>
    <col min="6" max="6" width="21.42578125" customWidth="1"/>
    <col min="7" max="7" width="8.7109375" customWidth="1"/>
    <col min="8" max="8" width="19.85546875" customWidth="1"/>
    <col min="9" max="9" width="34.5703125" customWidth="1"/>
    <col min="10" max="10" width="8.7109375" customWidth="1"/>
    <col min="11" max="11" width="18.5703125" customWidth="1"/>
    <col min="12" max="12" width="14.5703125" customWidth="1"/>
    <col min="13" max="17" width="8.7109375" customWidth="1"/>
    <col min="19" max="21" width="8.7109375" customWidth="1"/>
    <col min="23" max="23" width="15.42578125" customWidth="1"/>
    <col min="24" max="29" width="8.7109375" customWidth="1"/>
    <col min="31" max="31" width="8.7109375" customWidth="1"/>
    <col min="32" max="32" width="12.5703125" customWidth="1"/>
    <col min="33" max="33" width="12" customWidth="1"/>
  </cols>
  <sheetData>
    <row r="1" spans="1:33" ht="15" customHeight="1" x14ac:dyDescent="0.25">
      <c r="A1" t="s">
        <v>36</v>
      </c>
      <c r="B1" s="28" t="s">
        <v>48</v>
      </c>
      <c r="C1" t="s">
        <v>0</v>
      </c>
      <c r="D1" t="s">
        <v>1</v>
      </c>
      <c r="E1" t="s">
        <v>40</v>
      </c>
      <c r="F1" t="s">
        <v>37</v>
      </c>
      <c r="G1" t="s">
        <v>59</v>
      </c>
      <c r="H1" t="s">
        <v>38</v>
      </c>
      <c r="I1" t="s">
        <v>39</v>
      </c>
      <c r="J1" t="s">
        <v>51</v>
      </c>
      <c r="K1" t="s">
        <v>47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S1" t="s">
        <v>48</v>
      </c>
      <c r="T1" t="s">
        <v>49</v>
      </c>
      <c r="U1" t="s">
        <v>50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E1" t="s">
        <v>60</v>
      </c>
      <c r="AF1" t="s">
        <v>61</v>
      </c>
      <c r="AG1" t="s">
        <v>62</v>
      </c>
    </row>
    <row r="2" spans="1:33" ht="15" customHeight="1" x14ac:dyDescent="0.25">
      <c r="A2">
        <v>7</v>
      </c>
      <c r="B2" s="29">
        <v>43088</v>
      </c>
      <c r="C2" s="1" t="s">
        <v>2</v>
      </c>
      <c r="D2">
        <v>1</v>
      </c>
      <c r="E2" t="s">
        <v>64</v>
      </c>
      <c r="F2" t="s">
        <v>63</v>
      </c>
      <c r="I2" s="1" t="s">
        <v>65</v>
      </c>
      <c r="K2" s="28" t="s">
        <v>207</v>
      </c>
      <c r="AE2" t="s">
        <v>67</v>
      </c>
      <c r="AF2">
        <v>-119.87530915211801</v>
      </c>
      <c r="AG2">
        <v>34.418542081114303</v>
      </c>
    </row>
    <row r="3" spans="1:33" ht="15" customHeight="1" x14ac:dyDescent="0.25">
      <c r="A3">
        <v>4</v>
      </c>
      <c r="B3" s="29">
        <v>43088</v>
      </c>
      <c r="C3" t="s">
        <v>3</v>
      </c>
      <c r="D3">
        <v>1</v>
      </c>
      <c r="E3" t="s">
        <v>64</v>
      </c>
      <c r="F3" t="s">
        <v>68</v>
      </c>
      <c r="K3" s="28" t="s">
        <v>207</v>
      </c>
      <c r="AE3" t="s">
        <v>69</v>
      </c>
      <c r="AF3">
        <v>-119.874477109145</v>
      </c>
      <c r="AG3">
        <v>34.4180348145821</v>
      </c>
    </row>
    <row r="4" spans="1:33" ht="15" customHeight="1" x14ac:dyDescent="0.25">
      <c r="A4">
        <v>109</v>
      </c>
      <c r="B4" s="29">
        <v>43088</v>
      </c>
      <c r="C4" t="s">
        <v>3</v>
      </c>
      <c r="D4">
        <v>2</v>
      </c>
      <c r="E4" t="s">
        <v>64</v>
      </c>
      <c r="F4" t="s">
        <v>70</v>
      </c>
      <c r="K4" s="28" t="s">
        <v>206</v>
      </c>
      <c r="AE4" t="s">
        <v>72</v>
      </c>
      <c r="AF4">
        <v>-119.874159510675</v>
      </c>
      <c r="AG4">
        <v>34.417857150073502</v>
      </c>
    </row>
    <row r="5" spans="1:33" ht="15" customHeight="1" x14ac:dyDescent="0.25">
      <c r="A5">
        <v>73</v>
      </c>
      <c r="B5" s="29">
        <v>43088</v>
      </c>
      <c r="C5" t="s">
        <v>4</v>
      </c>
      <c r="D5">
        <v>1</v>
      </c>
      <c r="E5" t="s">
        <v>64</v>
      </c>
      <c r="F5" t="s">
        <v>73</v>
      </c>
      <c r="K5" s="28" t="s">
        <v>206</v>
      </c>
      <c r="AE5" t="s">
        <v>74</v>
      </c>
      <c r="AF5">
        <v>-119.871696446947</v>
      </c>
      <c r="AG5">
        <v>34.421957353136399</v>
      </c>
    </row>
    <row r="6" spans="1:33" ht="15" customHeight="1" x14ac:dyDescent="0.25">
      <c r="A6">
        <v>79</v>
      </c>
      <c r="B6" s="29">
        <v>43088</v>
      </c>
      <c r="C6" t="s">
        <v>4</v>
      </c>
      <c r="D6">
        <v>2</v>
      </c>
      <c r="E6" t="s">
        <v>64</v>
      </c>
      <c r="F6" t="s">
        <v>75</v>
      </c>
      <c r="I6" t="s">
        <v>76</v>
      </c>
      <c r="K6" s="28" t="s">
        <v>206</v>
      </c>
      <c r="AE6" t="s">
        <v>77</v>
      </c>
      <c r="AF6">
        <v>-119.87360121581099</v>
      </c>
      <c r="AG6">
        <v>34.421846087800098</v>
      </c>
    </row>
    <row r="7" spans="1:33" ht="15" customHeight="1" x14ac:dyDescent="0.25">
      <c r="A7">
        <v>21</v>
      </c>
      <c r="B7" s="29">
        <v>43088</v>
      </c>
      <c r="C7" t="s">
        <v>5</v>
      </c>
      <c r="D7">
        <v>1</v>
      </c>
      <c r="E7" t="s">
        <v>64</v>
      </c>
      <c r="F7" t="s">
        <v>73</v>
      </c>
      <c r="K7" s="28" t="s">
        <v>207</v>
      </c>
      <c r="AE7" t="s">
        <v>78</v>
      </c>
      <c r="AF7">
        <v>-119.882055011218</v>
      </c>
      <c r="AG7">
        <v>34.420348284807197</v>
      </c>
    </row>
    <row r="8" spans="1:33" ht="15" customHeight="1" x14ac:dyDescent="0.25">
      <c r="A8">
        <v>38</v>
      </c>
      <c r="B8" s="29">
        <v>43088</v>
      </c>
      <c r="C8" t="s">
        <v>5</v>
      </c>
      <c r="D8">
        <v>1</v>
      </c>
      <c r="E8" t="s">
        <v>79</v>
      </c>
      <c r="F8" t="s">
        <v>73</v>
      </c>
      <c r="K8" s="28" t="s">
        <v>207</v>
      </c>
      <c r="AE8" t="s">
        <v>80</v>
      </c>
      <c r="AF8">
        <v>-119.883441148532</v>
      </c>
      <c r="AG8">
        <v>34.421691020642399</v>
      </c>
    </row>
    <row r="9" spans="1:33" ht="15" customHeight="1" x14ac:dyDescent="0.25">
      <c r="A9">
        <v>31</v>
      </c>
      <c r="B9" s="29">
        <v>43088</v>
      </c>
      <c r="C9" t="s">
        <v>6</v>
      </c>
      <c r="D9">
        <v>1</v>
      </c>
      <c r="E9" t="s">
        <v>64</v>
      </c>
      <c r="F9" t="s">
        <v>81</v>
      </c>
      <c r="K9" s="28" t="s">
        <v>207</v>
      </c>
      <c r="AE9" t="s">
        <v>82</v>
      </c>
      <c r="AF9">
        <v>-119.87835853635001</v>
      </c>
      <c r="AG9">
        <v>34.4199238244329</v>
      </c>
    </row>
    <row r="10" spans="1:33" ht="15" customHeight="1" x14ac:dyDescent="0.25">
      <c r="A10">
        <v>59</v>
      </c>
      <c r="B10" s="29">
        <v>43088</v>
      </c>
      <c r="C10" t="s">
        <v>6</v>
      </c>
      <c r="D10">
        <v>1</v>
      </c>
      <c r="E10" t="s">
        <v>64</v>
      </c>
      <c r="F10" t="s">
        <v>83</v>
      </c>
      <c r="K10" s="28" t="s">
        <v>206</v>
      </c>
      <c r="AE10" t="s">
        <v>84</v>
      </c>
      <c r="AF10">
        <v>-119.87283217258801</v>
      </c>
      <c r="AG10">
        <v>34.420454993315097</v>
      </c>
    </row>
    <row r="11" spans="1:33" ht="15" customHeight="1" x14ac:dyDescent="0.25">
      <c r="A11">
        <v>89</v>
      </c>
      <c r="B11" s="29">
        <v>43088</v>
      </c>
      <c r="C11" t="s">
        <v>6</v>
      </c>
      <c r="D11">
        <v>1</v>
      </c>
      <c r="E11" t="s">
        <v>64</v>
      </c>
      <c r="F11" t="s">
        <v>81</v>
      </c>
      <c r="K11" s="28" t="s">
        <v>206</v>
      </c>
      <c r="AE11" t="s">
        <v>85</v>
      </c>
      <c r="AF11">
        <v>-119.876019859645</v>
      </c>
      <c r="AG11">
        <v>34.420712340329402</v>
      </c>
    </row>
    <row r="12" spans="1:33" ht="15" customHeight="1" x14ac:dyDescent="0.25">
      <c r="A12">
        <v>10</v>
      </c>
      <c r="B12" s="29">
        <v>43088</v>
      </c>
      <c r="C12" t="s">
        <v>7</v>
      </c>
      <c r="D12">
        <v>1</v>
      </c>
      <c r="E12" t="s">
        <v>64</v>
      </c>
      <c r="K12" s="28" t="s">
        <v>207</v>
      </c>
      <c r="AE12" t="s">
        <v>86</v>
      </c>
      <c r="AF12">
        <v>-119.876316247095</v>
      </c>
      <c r="AG12">
        <v>34.417774908617297</v>
      </c>
    </row>
    <row r="13" spans="1:33" ht="15" customHeight="1" x14ac:dyDescent="0.25">
      <c r="A13">
        <v>23</v>
      </c>
      <c r="B13" s="29">
        <v>43088</v>
      </c>
      <c r="C13" t="s">
        <v>7</v>
      </c>
      <c r="D13">
        <v>2</v>
      </c>
      <c r="E13" t="s">
        <v>64</v>
      </c>
      <c r="F13" t="s">
        <v>73</v>
      </c>
      <c r="K13" s="28" t="s">
        <v>207</v>
      </c>
      <c r="AE13" t="s">
        <v>87</v>
      </c>
      <c r="AF13">
        <v>-119.88212076879501</v>
      </c>
      <c r="AG13">
        <v>34.420928692968403</v>
      </c>
    </row>
    <row r="14" spans="1:33" ht="15" customHeight="1" x14ac:dyDescent="0.25">
      <c r="A14">
        <v>30</v>
      </c>
      <c r="B14" s="29">
        <v>43088</v>
      </c>
      <c r="C14" t="s">
        <v>7</v>
      </c>
      <c r="D14">
        <v>2</v>
      </c>
      <c r="E14" t="s">
        <v>64</v>
      </c>
      <c r="F14" t="s">
        <v>73</v>
      </c>
      <c r="K14" s="28" t="s">
        <v>207</v>
      </c>
      <c r="AE14" t="s">
        <v>88</v>
      </c>
      <c r="AF14">
        <v>-119.87771740424</v>
      </c>
      <c r="AG14">
        <v>34.419371888226202</v>
      </c>
    </row>
    <row r="15" spans="1:33" ht="15" customHeight="1" x14ac:dyDescent="0.25">
      <c r="A15">
        <v>66</v>
      </c>
      <c r="B15" s="29">
        <v>43088</v>
      </c>
      <c r="C15" t="s">
        <v>7</v>
      </c>
      <c r="D15">
        <v>1</v>
      </c>
      <c r="E15" t="s">
        <v>64</v>
      </c>
      <c r="F15" t="s">
        <v>73</v>
      </c>
      <c r="K15" s="28" t="s">
        <v>206</v>
      </c>
      <c r="AE15" t="s">
        <v>89</v>
      </c>
      <c r="AF15">
        <v>-119.871467389126</v>
      </c>
      <c r="AG15">
        <v>34.421550612819097</v>
      </c>
    </row>
    <row r="16" spans="1:33" ht="15" customHeight="1" x14ac:dyDescent="0.25">
      <c r="A16">
        <v>68</v>
      </c>
      <c r="B16" s="29">
        <v>43088</v>
      </c>
      <c r="C16" t="s">
        <v>7</v>
      </c>
      <c r="D16">
        <v>2</v>
      </c>
      <c r="E16" t="s">
        <v>64</v>
      </c>
      <c r="F16" t="s">
        <v>73</v>
      </c>
      <c r="K16" s="28" t="s">
        <v>206</v>
      </c>
      <c r="AE16" t="s">
        <v>90</v>
      </c>
      <c r="AF16">
        <v>-119.87170506538401</v>
      </c>
      <c r="AG16">
        <v>34.421918339295999</v>
      </c>
    </row>
    <row r="17" spans="1:33" ht="15" customHeight="1" x14ac:dyDescent="0.25">
      <c r="A17">
        <v>86</v>
      </c>
      <c r="B17" s="29">
        <v>43088</v>
      </c>
      <c r="C17" t="s">
        <v>7</v>
      </c>
      <c r="D17">
        <v>2</v>
      </c>
      <c r="E17" t="s">
        <v>64</v>
      </c>
      <c r="F17" t="s">
        <v>73</v>
      </c>
      <c r="K17" s="28" t="s">
        <v>206</v>
      </c>
      <c r="AE17" t="s">
        <v>91</v>
      </c>
      <c r="AF17">
        <v>-119.875123332906</v>
      </c>
      <c r="AG17">
        <v>34.421408730125599</v>
      </c>
    </row>
    <row r="18" spans="1:33" ht="15" customHeight="1" x14ac:dyDescent="0.25">
      <c r="A18">
        <v>90</v>
      </c>
      <c r="B18" s="29">
        <v>43088</v>
      </c>
      <c r="C18" t="s">
        <v>7</v>
      </c>
      <c r="D18">
        <v>1</v>
      </c>
      <c r="E18" t="s">
        <v>64</v>
      </c>
      <c r="F18" t="s">
        <v>73</v>
      </c>
      <c r="K18" s="28" t="s">
        <v>206</v>
      </c>
      <c r="AE18" t="s">
        <v>92</v>
      </c>
      <c r="AF18">
        <v>-119.875728334775</v>
      </c>
      <c r="AG18">
        <v>34.421153477908298</v>
      </c>
    </row>
    <row r="19" spans="1:33" ht="15" customHeight="1" x14ac:dyDescent="0.25">
      <c r="A19">
        <v>92</v>
      </c>
      <c r="B19" s="29">
        <v>43088</v>
      </c>
      <c r="C19" t="s">
        <v>7</v>
      </c>
      <c r="D19">
        <v>1</v>
      </c>
      <c r="E19" t="s">
        <v>64</v>
      </c>
      <c r="F19" t="s">
        <v>73</v>
      </c>
      <c r="K19" s="28" t="s">
        <v>206</v>
      </c>
      <c r="AE19" t="s">
        <v>93</v>
      </c>
      <c r="AF19">
        <v>-119.876405902553</v>
      </c>
      <c r="AG19">
        <v>34.420682933347202</v>
      </c>
    </row>
    <row r="20" spans="1:33" ht="15" customHeight="1" x14ac:dyDescent="0.25">
      <c r="A20">
        <v>99</v>
      </c>
      <c r="B20" s="29">
        <v>43088</v>
      </c>
      <c r="C20" t="s">
        <v>7</v>
      </c>
      <c r="D20">
        <v>2</v>
      </c>
      <c r="E20" t="s">
        <v>64</v>
      </c>
      <c r="F20" t="s">
        <v>73</v>
      </c>
      <c r="K20" s="28" t="s">
        <v>206</v>
      </c>
      <c r="AE20" t="s">
        <v>94</v>
      </c>
      <c r="AF20">
        <v>-119.877473222383</v>
      </c>
      <c r="AG20">
        <v>34.421355999697496</v>
      </c>
    </row>
    <row r="21" spans="1:33" ht="15" customHeight="1" x14ac:dyDescent="0.25">
      <c r="A21">
        <v>104</v>
      </c>
      <c r="B21" s="29">
        <v>43088</v>
      </c>
      <c r="C21" t="s">
        <v>7</v>
      </c>
      <c r="D21">
        <v>1</v>
      </c>
      <c r="E21" t="s">
        <v>64</v>
      </c>
      <c r="F21" t="s">
        <v>95</v>
      </c>
      <c r="K21" s="28" t="s">
        <v>206</v>
      </c>
      <c r="AE21" t="s">
        <v>96</v>
      </c>
      <c r="AF21">
        <v>-119.880264401159</v>
      </c>
      <c r="AG21">
        <v>34.421798273567603</v>
      </c>
    </row>
    <row r="22" spans="1:33" ht="15" customHeight="1" x14ac:dyDescent="0.25">
      <c r="A22">
        <v>105</v>
      </c>
      <c r="B22" s="29">
        <v>43088</v>
      </c>
      <c r="C22" t="s">
        <v>7</v>
      </c>
      <c r="D22">
        <v>2</v>
      </c>
      <c r="E22" t="s">
        <v>64</v>
      </c>
      <c r="F22" t="s">
        <v>73</v>
      </c>
      <c r="K22" s="28" t="s">
        <v>206</v>
      </c>
      <c r="AE22" t="s">
        <v>97</v>
      </c>
      <c r="AF22">
        <v>-119.880696870798</v>
      </c>
      <c r="AG22">
        <v>34.421917303352998</v>
      </c>
    </row>
    <row r="23" spans="1:33" ht="15" customHeight="1" x14ac:dyDescent="0.25">
      <c r="A23">
        <v>33</v>
      </c>
      <c r="B23" s="29">
        <v>43088</v>
      </c>
      <c r="C23" t="s">
        <v>8</v>
      </c>
      <c r="D23" s="1">
        <v>1</v>
      </c>
      <c r="E23" t="s">
        <v>79</v>
      </c>
      <c r="F23" t="s">
        <v>70</v>
      </c>
      <c r="K23" s="28" t="s">
        <v>207</v>
      </c>
      <c r="AE23" t="s">
        <v>98</v>
      </c>
      <c r="AF23">
        <v>-119.878332958619</v>
      </c>
      <c r="AG23">
        <v>34.420912273298597</v>
      </c>
    </row>
    <row r="24" spans="1:33" ht="15" customHeight="1" x14ac:dyDescent="0.25">
      <c r="A24">
        <v>80</v>
      </c>
      <c r="B24" s="29">
        <v>43088</v>
      </c>
      <c r="C24" t="s">
        <v>8</v>
      </c>
      <c r="D24">
        <v>2</v>
      </c>
      <c r="E24" t="s">
        <v>64</v>
      </c>
      <c r="F24" t="s">
        <v>83</v>
      </c>
      <c r="K24" s="28" t="s">
        <v>206</v>
      </c>
      <c r="AE24" t="s">
        <v>99</v>
      </c>
      <c r="AF24">
        <v>-119.873492590628</v>
      </c>
      <c r="AG24">
        <v>34.4217465259769</v>
      </c>
    </row>
    <row r="25" spans="1:33" ht="15" customHeight="1" x14ac:dyDescent="0.25">
      <c r="A25">
        <v>87</v>
      </c>
      <c r="B25" s="29">
        <v>43088</v>
      </c>
      <c r="C25" t="s">
        <v>8</v>
      </c>
      <c r="D25">
        <v>1</v>
      </c>
      <c r="E25" t="s">
        <v>64</v>
      </c>
      <c r="K25" s="28" t="s">
        <v>206</v>
      </c>
      <c r="AE25" t="s">
        <v>100</v>
      </c>
      <c r="AF25">
        <v>-119.87562435118799</v>
      </c>
      <c r="AG25">
        <v>34.421044725061201</v>
      </c>
    </row>
    <row r="26" spans="1:33" ht="15" customHeight="1" x14ac:dyDescent="0.25">
      <c r="A26">
        <v>98</v>
      </c>
      <c r="B26" s="29">
        <v>43088</v>
      </c>
      <c r="C26" t="s">
        <v>8</v>
      </c>
      <c r="D26">
        <v>1</v>
      </c>
      <c r="E26" t="s">
        <v>64</v>
      </c>
      <c r="F26" t="s">
        <v>83</v>
      </c>
      <c r="K26" s="28" t="s">
        <v>206</v>
      </c>
      <c r="AE26" t="s">
        <v>101</v>
      </c>
      <c r="AF26">
        <v>-119.877733548763</v>
      </c>
      <c r="AG26">
        <v>34.421383570189001</v>
      </c>
    </row>
    <row r="27" spans="1:33" ht="15" customHeight="1" x14ac:dyDescent="0.25">
      <c r="A27">
        <v>101</v>
      </c>
      <c r="B27" s="29">
        <v>43088</v>
      </c>
      <c r="C27" t="s">
        <v>8</v>
      </c>
      <c r="D27">
        <v>1</v>
      </c>
      <c r="E27" t="s">
        <v>64</v>
      </c>
      <c r="F27" t="s">
        <v>63</v>
      </c>
      <c r="I27" t="s">
        <v>102</v>
      </c>
      <c r="K27" s="28" t="s">
        <v>206</v>
      </c>
      <c r="AE27" t="s">
        <v>103</v>
      </c>
      <c r="AF27">
        <v>-119.87887547816899</v>
      </c>
      <c r="AG27">
        <v>34.421444447396702</v>
      </c>
    </row>
    <row r="28" spans="1:33" ht="15" customHeight="1" x14ac:dyDescent="0.25">
      <c r="A28">
        <v>9</v>
      </c>
      <c r="B28" s="29">
        <v>43088</v>
      </c>
      <c r="C28" t="s">
        <v>9</v>
      </c>
      <c r="D28">
        <v>1</v>
      </c>
      <c r="E28" t="s">
        <v>64</v>
      </c>
      <c r="F28" t="s">
        <v>73</v>
      </c>
      <c r="K28" s="28" t="s">
        <v>207</v>
      </c>
      <c r="AE28" t="s">
        <v>104</v>
      </c>
      <c r="AF28">
        <v>-119.87626919873</v>
      </c>
      <c r="AG28">
        <v>34.417752562854403</v>
      </c>
    </row>
    <row r="29" spans="1:33" ht="15" customHeight="1" x14ac:dyDescent="0.25">
      <c r="A29">
        <v>54</v>
      </c>
      <c r="B29" s="29">
        <v>43088</v>
      </c>
      <c r="C29" t="s">
        <v>10</v>
      </c>
      <c r="D29">
        <v>1</v>
      </c>
      <c r="E29" t="s">
        <v>64</v>
      </c>
      <c r="G29" t="s">
        <v>105</v>
      </c>
      <c r="K29" s="28" t="s">
        <v>206</v>
      </c>
      <c r="AE29" t="s">
        <v>106</v>
      </c>
      <c r="AF29">
        <v>-119.875524557343</v>
      </c>
      <c r="AG29">
        <v>34.419262217875698</v>
      </c>
    </row>
    <row r="30" spans="1:33" ht="15" customHeight="1" x14ac:dyDescent="0.25">
      <c r="A30">
        <v>6</v>
      </c>
      <c r="B30" s="29">
        <v>43088</v>
      </c>
      <c r="C30" t="s">
        <v>11</v>
      </c>
      <c r="D30">
        <v>5</v>
      </c>
      <c r="E30" t="s">
        <v>64</v>
      </c>
      <c r="F30" t="s">
        <v>63</v>
      </c>
      <c r="I30" t="s">
        <v>65</v>
      </c>
      <c r="K30" s="28" t="s">
        <v>207</v>
      </c>
      <c r="AE30" t="s">
        <v>107</v>
      </c>
      <c r="AF30">
        <v>-119.87525886352999</v>
      </c>
      <c r="AG30">
        <v>34.418547452228502</v>
      </c>
    </row>
    <row r="31" spans="1:33" ht="15" customHeight="1" x14ac:dyDescent="0.25">
      <c r="A31">
        <v>8</v>
      </c>
      <c r="B31" s="29">
        <v>43088</v>
      </c>
      <c r="C31" t="s">
        <v>12</v>
      </c>
      <c r="D31">
        <v>1</v>
      </c>
      <c r="E31" t="s">
        <v>64</v>
      </c>
      <c r="F31" t="s">
        <v>81</v>
      </c>
      <c r="K31" s="28" t="s">
        <v>207</v>
      </c>
      <c r="AE31" t="s">
        <v>108</v>
      </c>
      <c r="AF31">
        <v>-119.87510099988999</v>
      </c>
      <c r="AG31">
        <v>34.417547091083897</v>
      </c>
    </row>
    <row r="32" spans="1:33" ht="15" customHeight="1" x14ac:dyDescent="0.25">
      <c r="A32">
        <v>17</v>
      </c>
      <c r="B32" s="29">
        <v>43088</v>
      </c>
      <c r="C32" t="s">
        <v>12</v>
      </c>
      <c r="D32">
        <v>2</v>
      </c>
      <c r="E32" t="s">
        <v>64</v>
      </c>
      <c r="F32" t="s">
        <v>81</v>
      </c>
      <c r="K32" s="28" t="s">
        <v>207</v>
      </c>
      <c r="AE32" t="s">
        <v>109</v>
      </c>
      <c r="AF32">
        <v>-119.877342887615</v>
      </c>
      <c r="AG32">
        <v>34.4176154186978</v>
      </c>
    </row>
    <row r="33" spans="1:33" ht="15" customHeight="1" x14ac:dyDescent="0.25">
      <c r="A33">
        <v>39</v>
      </c>
      <c r="B33" s="29">
        <v>43088</v>
      </c>
      <c r="C33" t="s">
        <v>12</v>
      </c>
      <c r="D33">
        <v>1</v>
      </c>
      <c r="E33" t="s">
        <v>64</v>
      </c>
      <c r="F33" t="s">
        <v>95</v>
      </c>
      <c r="K33" s="28" t="s">
        <v>207</v>
      </c>
      <c r="AE33" t="s">
        <v>110</v>
      </c>
      <c r="AF33">
        <v>-119.880750385236</v>
      </c>
      <c r="AG33">
        <v>34.422114708057997</v>
      </c>
    </row>
    <row r="34" spans="1:33" ht="15" customHeight="1" x14ac:dyDescent="0.25">
      <c r="A34">
        <v>41</v>
      </c>
      <c r="B34" s="29">
        <v>43088</v>
      </c>
      <c r="C34" t="s">
        <v>12</v>
      </c>
      <c r="D34">
        <v>2</v>
      </c>
      <c r="E34" t="s">
        <v>64</v>
      </c>
      <c r="F34" t="s">
        <v>81</v>
      </c>
      <c r="K34" s="28" t="s">
        <v>207</v>
      </c>
      <c r="AE34" t="s">
        <v>111</v>
      </c>
      <c r="AF34">
        <v>-119.88196593068101</v>
      </c>
      <c r="AG34">
        <v>34.420995353474702</v>
      </c>
    </row>
    <row r="35" spans="1:33" ht="15" customHeight="1" x14ac:dyDescent="0.25">
      <c r="A35">
        <v>49</v>
      </c>
      <c r="B35" s="29">
        <v>43088</v>
      </c>
      <c r="C35" t="s">
        <v>12</v>
      </c>
      <c r="D35">
        <v>2</v>
      </c>
      <c r="E35" t="s">
        <v>64</v>
      </c>
      <c r="F35" t="s">
        <v>75</v>
      </c>
      <c r="K35" s="28" t="s">
        <v>207</v>
      </c>
      <c r="AE35" t="s">
        <v>112</v>
      </c>
      <c r="AF35">
        <v>-119.883692822339</v>
      </c>
      <c r="AG35">
        <v>34.4206565919919</v>
      </c>
    </row>
    <row r="36" spans="1:33" ht="15" customHeight="1" x14ac:dyDescent="0.25">
      <c r="A36">
        <v>74</v>
      </c>
      <c r="B36" s="29">
        <v>43088</v>
      </c>
      <c r="C36" t="s">
        <v>12</v>
      </c>
      <c r="D36">
        <v>1</v>
      </c>
      <c r="E36" t="s">
        <v>64</v>
      </c>
      <c r="F36" t="s">
        <v>95</v>
      </c>
      <c r="K36" s="28" t="s">
        <v>206</v>
      </c>
      <c r="AE36" t="s">
        <v>113</v>
      </c>
      <c r="AF36">
        <v>-119.872143948096</v>
      </c>
      <c r="AG36">
        <v>34.422465878566001</v>
      </c>
    </row>
    <row r="37" spans="1:33" ht="15" customHeight="1" x14ac:dyDescent="0.25">
      <c r="A37">
        <v>82</v>
      </c>
      <c r="B37" s="29">
        <v>43088</v>
      </c>
      <c r="C37" t="s">
        <v>12</v>
      </c>
      <c r="D37">
        <v>1</v>
      </c>
      <c r="E37" t="s">
        <v>64</v>
      </c>
      <c r="F37" t="s">
        <v>83</v>
      </c>
      <c r="K37" s="28" t="s">
        <v>206</v>
      </c>
      <c r="AE37" t="s">
        <v>114</v>
      </c>
      <c r="AF37">
        <v>-119.87339603431199</v>
      </c>
      <c r="AG37">
        <v>34.421841492003303</v>
      </c>
    </row>
    <row r="38" spans="1:33" ht="15" customHeight="1" x14ac:dyDescent="0.25">
      <c r="A38">
        <v>5</v>
      </c>
      <c r="B38" s="29">
        <v>43088</v>
      </c>
      <c r="C38" s="1" t="s">
        <v>13</v>
      </c>
      <c r="D38">
        <v>15</v>
      </c>
      <c r="E38" t="s">
        <v>64</v>
      </c>
      <c r="F38" t="s">
        <v>63</v>
      </c>
      <c r="I38" s="1" t="s">
        <v>65</v>
      </c>
      <c r="K38" s="28" t="s">
        <v>207</v>
      </c>
      <c r="AE38" t="s">
        <v>115</v>
      </c>
      <c r="AF38">
        <v>-119.875312768735</v>
      </c>
      <c r="AG38">
        <v>34.418532629790398</v>
      </c>
    </row>
    <row r="39" spans="1:33" ht="15" customHeight="1" x14ac:dyDescent="0.25">
      <c r="A39">
        <v>37</v>
      </c>
      <c r="B39" s="29">
        <v>43088</v>
      </c>
      <c r="C39" t="s">
        <v>14</v>
      </c>
      <c r="D39">
        <v>1</v>
      </c>
      <c r="E39" t="s">
        <v>64</v>
      </c>
      <c r="F39" t="s">
        <v>63</v>
      </c>
      <c r="I39" t="s">
        <v>116</v>
      </c>
      <c r="K39" s="28" t="s">
        <v>207</v>
      </c>
      <c r="AE39" t="s">
        <v>117</v>
      </c>
      <c r="AF39">
        <v>-119.88031976253301</v>
      </c>
      <c r="AG39">
        <v>34.421297172096097</v>
      </c>
    </row>
    <row r="40" spans="1:33" x14ac:dyDescent="0.25">
      <c r="A40">
        <v>102</v>
      </c>
      <c r="B40" s="29">
        <v>43088</v>
      </c>
      <c r="C40" t="s">
        <v>14</v>
      </c>
      <c r="D40">
        <v>1</v>
      </c>
      <c r="E40" t="s">
        <v>64</v>
      </c>
      <c r="F40" t="s">
        <v>95</v>
      </c>
      <c r="G40" t="s">
        <v>105</v>
      </c>
      <c r="K40" s="28" t="s">
        <v>206</v>
      </c>
      <c r="AE40" t="s">
        <v>118</v>
      </c>
      <c r="AF40">
        <v>-119.879386112017</v>
      </c>
      <c r="AG40">
        <v>34.421179460451299</v>
      </c>
    </row>
    <row r="41" spans="1:33" x14ac:dyDescent="0.25">
      <c r="A41">
        <v>28</v>
      </c>
      <c r="B41" s="29">
        <v>43088</v>
      </c>
      <c r="C41" t="s">
        <v>15</v>
      </c>
      <c r="D41">
        <v>1</v>
      </c>
      <c r="E41" s="1" t="s">
        <v>64</v>
      </c>
      <c r="F41" t="s">
        <v>68</v>
      </c>
      <c r="K41" s="28" t="s">
        <v>207</v>
      </c>
      <c r="AE41" t="s">
        <v>119</v>
      </c>
      <c r="AF41">
        <v>-119.878270686505</v>
      </c>
      <c r="AG41">
        <v>34.420844615303203</v>
      </c>
    </row>
    <row r="42" spans="1:33" x14ac:dyDescent="0.25">
      <c r="A42">
        <v>52</v>
      </c>
      <c r="B42" s="29">
        <v>43088</v>
      </c>
      <c r="C42" t="s">
        <v>15</v>
      </c>
      <c r="D42">
        <v>1</v>
      </c>
      <c r="E42" t="s">
        <v>64</v>
      </c>
      <c r="F42" t="s">
        <v>70</v>
      </c>
      <c r="K42" s="28" t="s">
        <v>206</v>
      </c>
      <c r="L42">
        <v>50</v>
      </c>
      <c r="M42">
        <v>0</v>
      </c>
      <c r="O42" t="s">
        <v>120</v>
      </c>
      <c r="Q42" t="s">
        <v>120</v>
      </c>
      <c r="S42" s="4">
        <v>43088.654201388897</v>
      </c>
      <c r="AE42" t="s">
        <v>121</v>
      </c>
      <c r="AF42">
        <v>-119.874209908857</v>
      </c>
      <c r="AG42">
        <v>34.417984379289699</v>
      </c>
    </row>
    <row r="43" spans="1:33" x14ac:dyDescent="0.25">
      <c r="A43">
        <v>93</v>
      </c>
      <c r="B43" s="29">
        <v>43088</v>
      </c>
      <c r="C43" t="s">
        <v>15</v>
      </c>
      <c r="D43">
        <v>1</v>
      </c>
      <c r="E43" t="s">
        <v>79</v>
      </c>
      <c r="F43" t="s">
        <v>70</v>
      </c>
      <c r="K43" s="28" t="s">
        <v>206</v>
      </c>
      <c r="AE43" t="s">
        <v>122</v>
      </c>
      <c r="AF43">
        <v>-119.877475446612</v>
      </c>
      <c r="AG43">
        <v>34.420572648179501</v>
      </c>
    </row>
    <row r="44" spans="1:33" x14ac:dyDescent="0.25">
      <c r="A44">
        <v>36</v>
      </c>
      <c r="B44" s="29">
        <v>43088</v>
      </c>
      <c r="C44" t="s">
        <v>16</v>
      </c>
      <c r="D44">
        <v>1</v>
      </c>
      <c r="E44" t="s">
        <v>64</v>
      </c>
      <c r="F44" t="s">
        <v>95</v>
      </c>
      <c r="K44" s="28" t="s">
        <v>207</v>
      </c>
      <c r="AE44" t="s">
        <v>123</v>
      </c>
      <c r="AF44">
        <v>-119.880200399788</v>
      </c>
      <c r="AG44">
        <v>34.421265409605503</v>
      </c>
    </row>
    <row r="45" spans="1:33" x14ac:dyDescent="0.25">
      <c r="A45">
        <v>56</v>
      </c>
      <c r="B45" s="29">
        <v>43088</v>
      </c>
      <c r="C45" t="s">
        <v>16</v>
      </c>
      <c r="D45">
        <v>2</v>
      </c>
      <c r="E45" t="s">
        <v>64</v>
      </c>
      <c r="F45" t="s">
        <v>75</v>
      </c>
      <c r="K45" s="28" t="s">
        <v>206</v>
      </c>
      <c r="AE45" t="s">
        <v>124</v>
      </c>
      <c r="AF45">
        <v>-119.874265614287</v>
      </c>
      <c r="AG45">
        <v>34.419490449423698</v>
      </c>
    </row>
    <row r="46" spans="1:33" x14ac:dyDescent="0.25">
      <c r="A46">
        <v>64</v>
      </c>
      <c r="B46" s="29">
        <v>43088</v>
      </c>
      <c r="C46" t="s">
        <v>16</v>
      </c>
      <c r="D46">
        <v>2</v>
      </c>
      <c r="E46" t="s">
        <v>64</v>
      </c>
      <c r="F46" t="s">
        <v>75</v>
      </c>
      <c r="K46" s="28" t="s">
        <v>206</v>
      </c>
      <c r="AE46" t="s">
        <v>125</v>
      </c>
      <c r="AF46">
        <v>-119.870681941767</v>
      </c>
      <c r="AG46">
        <v>34.4211217316656</v>
      </c>
    </row>
    <row r="47" spans="1:33" x14ac:dyDescent="0.25">
      <c r="A47">
        <v>72</v>
      </c>
      <c r="B47" s="29">
        <v>43088</v>
      </c>
      <c r="C47" t="s">
        <v>16</v>
      </c>
      <c r="D47">
        <v>1</v>
      </c>
      <c r="E47" t="s">
        <v>64</v>
      </c>
      <c r="F47" t="s">
        <v>95</v>
      </c>
      <c r="K47" s="28" t="s">
        <v>206</v>
      </c>
      <c r="AE47" t="s">
        <v>126</v>
      </c>
      <c r="AF47">
        <v>-119.87223493306099</v>
      </c>
      <c r="AG47">
        <v>34.422396952471402</v>
      </c>
    </row>
    <row r="48" spans="1:33" x14ac:dyDescent="0.25">
      <c r="A48">
        <v>88</v>
      </c>
      <c r="B48" s="29">
        <v>43088</v>
      </c>
      <c r="C48" t="s">
        <v>16</v>
      </c>
      <c r="D48">
        <v>2</v>
      </c>
      <c r="E48" t="s">
        <v>64</v>
      </c>
      <c r="F48" t="s">
        <v>75</v>
      </c>
      <c r="K48" s="28" t="s">
        <v>206</v>
      </c>
      <c r="AE48" t="s">
        <v>127</v>
      </c>
      <c r="AF48">
        <v>-119.87597900965601</v>
      </c>
      <c r="AG48">
        <v>34.420949758129801</v>
      </c>
    </row>
    <row r="49" spans="1:33" x14ac:dyDescent="0.25">
      <c r="A49">
        <v>12</v>
      </c>
      <c r="B49" s="29">
        <v>43088</v>
      </c>
      <c r="C49" t="s">
        <v>17</v>
      </c>
      <c r="D49">
        <v>5</v>
      </c>
      <c r="E49" s="1" t="s">
        <v>64</v>
      </c>
      <c r="F49" t="s">
        <v>68</v>
      </c>
      <c r="K49" s="28" t="s">
        <v>207</v>
      </c>
      <c r="AE49" t="s">
        <v>128</v>
      </c>
      <c r="AF49">
        <v>-119.875064814852</v>
      </c>
      <c r="AG49">
        <v>34.418823074105397</v>
      </c>
    </row>
    <row r="50" spans="1:33" x14ac:dyDescent="0.25">
      <c r="A50">
        <v>24</v>
      </c>
      <c r="B50" s="29">
        <v>43088</v>
      </c>
      <c r="C50" t="s">
        <v>17</v>
      </c>
      <c r="D50">
        <v>5</v>
      </c>
      <c r="E50" t="s">
        <v>64</v>
      </c>
      <c r="F50" t="s">
        <v>81</v>
      </c>
      <c r="K50" s="28" t="s">
        <v>207</v>
      </c>
      <c r="AE50" t="s">
        <v>129</v>
      </c>
      <c r="AF50">
        <v>-119.881302091856</v>
      </c>
      <c r="AG50">
        <v>34.421140242466102</v>
      </c>
    </row>
    <row r="51" spans="1:33" x14ac:dyDescent="0.25">
      <c r="A51">
        <v>61</v>
      </c>
      <c r="B51" s="29">
        <v>43088</v>
      </c>
      <c r="C51" t="s">
        <v>17</v>
      </c>
      <c r="D51">
        <v>62</v>
      </c>
      <c r="E51" t="s">
        <v>64</v>
      </c>
      <c r="F51" t="s">
        <v>81</v>
      </c>
      <c r="K51" s="28" t="s">
        <v>206</v>
      </c>
      <c r="AE51" t="s">
        <v>130</v>
      </c>
      <c r="AF51">
        <v>-119.872120999733</v>
      </c>
      <c r="AG51">
        <v>34.421384752119998</v>
      </c>
    </row>
    <row r="52" spans="1:33" x14ac:dyDescent="0.25">
      <c r="A52">
        <v>63</v>
      </c>
      <c r="B52" s="29">
        <v>43088</v>
      </c>
      <c r="C52" t="s">
        <v>17</v>
      </c>
      <c r="D52">
        <v>5</v>
      </c>
      <c r="E52" t="s">
        <v>64</v>
      </c>
      <c r="F52" t="s">
        <v>81</v>
      </c>
      <c r="K52" s="28" t="s">
        <v>206</v>
      </c>
      <c r="AE52" t="s">
        <v>131</v>
      </c>
      <c r="AF52">
        <v>-119.870921475741</v>
      </c>
      <c r="AG52">
        <v>34.4214046641358</v>
      </c>
    </row>
    <row r="53" spans="1:33" x14ac:dyDescent="0.25">
      <c r="A53">
        <v>100</v>
      </c>
      <c r="B53" s="29">
        <v>43088</v>
      </c>
      <c r="C53" t="s">
        <v>17</v>
      </c>
      <c r="D53">
        <v>1</v>
      </c>
      <c r="E53" t="s">
        <v>64</v>
      </c>
      <c r="F53" t="s">
        <v>81</v>
      </c>
      <c r="K53" s="28" t="s">
        <v>206</v>
      </c>
      <c r="AE53" t="s">
        <v>132</v>
      </c>
      <c r="AF53">
        <v>-119.87804884574901</v>
      </c>
      <c r="AG53">
        <v>34.4206927623528</v>
      </c>
    </row>
    <row r="54" spans="1:33" x14ac:dyDescent="0.25">
      <c r="A54">
        <v>95</v>
      </c>
      <c r="B54" s="29">
        <v>43088</v>
      </c>
      <c r="C54" t="s">
        <v>18</v>
      </c>
      <c r="D54">
        <v>1</v>
      </c>
      <c r="E54" t="s">
        <v>64</v>
      </c>
      <c r="F54" t="s">
        <v>81</v>
      </c>
      <c r="K54" s="28" t="s">
        <v>206</v>
      </c>
      <c r="AE54" t="s">
        <v>133</v>
      </c>
      <c r="AF54">
        <v>-119.87743645344</v>
      </c>
      <c r="AG54">
        <v>34.420641849217702</v>
      </c>
    </row>
    <row r="55" spans="1:33" x14ac:dyDescent="0.25">
      <c r="A55">
        <v>53</v>
      </c>
      <c r="B55" s="29">
        <v>43088</v>
      </c>
      <c r="C55" t="s">
        <v>19</v>
      </c>
      <c r="D55">
        <v>5</v>
      </c>
      <c r="E55" t="s">
        <v>64</v>
      </c>
      <c r="K55" s="28" t="s">
        <v>206</v>
      </c>
      <c r="AE55" t="s">
        <v>134</v>
      </c>
      <c r="AF55">
        <v>-119.87566196454701</v>
      </c>
      <c r="AG55">
        <v>34.419465941024697</v>
      </c>
    </row>
    <row r="56" spans="1:33" x14ac:dyDescent="0.25">
      <c r="A56">
        <v>106</v>
      </c>
      <c r="B56" s="29">
        <v>43088</v>
      </c>
      <c r="C56" t="s">
        <v>20</v>
      </c>
      <c r="D56">
        <v>1</v>
      </c>
      <c r="E56" t="s">
        <v>64</v>
      </c>
      <c r="F56" t="s">
        <v>73</v>
      </c>
      <c r="K56" s="28" t="s">
        <v>206</v>
      </c>
      <c r="AE56" t="s">
        <v>135</v>
      </c>
      <c r="AF56">
        <v>-119.880995822938</v>
      </c>
      <c r="AG56">
        <v>34.422059752061301</v>
      </c>
    </row>
    <row r="57" spans="1:33" x14ac:dyDescent="0.25">
      <c r="A57">
        <v>91</v>
      </c>
      <c r="B57" s="29">
        <v>43088</v>
      </c>
      <c r="C57" t="s">
        <v>21</v>
      </c>
      <c r="D57">
        <v>1</v>
      </c>
      <c r="E57" t="s">
        <v>64</v>
      </c>
      <c r="F57" t="s">
        <v>81</v>
      </c>
      <c r="K57" s="28" t="s">
        <v>206</v>
      </c>
      <c r="AE57" t="s">
        <v>136</v>
      </c>
      <c r="AF57">
        <v>-119.876138516314</v>
      </c>
      <c r="AG57">
        <v>34.420427133515297</v>
      </c>
    </row>
    <row r="58" spans="1:33" x14ac:dyDescent="0.25">
      <c r="A58">
        <v>55</v>
      </c>
      <c r="B58" s="29">
        <v>43088</v>
      </c>
      <c r="C58" t="s">
        <v>22</v>
      </c>
      <c r="D58">
        <v>2</v>
      </c>
      <c r="E58" t="s">
        <v>64</v>
      </c>
      <c r="F58" t="s">
        <v>137</v>
      </c>
      <c r="K58" s="28" t="s">
        <v>206</v>
      </c>
      <c r="AE58" t="s">
        <v>138</v>
      </c>
      <c r="AF58">
        <v>-119.87560254458501</v>
      </c>
      <c r="AG58">
        <v>34.419386289604702</v>
      </c>
    </row>
    <row r="59" spans="1:33" x14ac:dyDescent="0.25">
      <c r="A59">
        <v>15</v>
      </c>
      <c r="B59" s="29">
        <v>43088</v>
      </c>
      <c r="C59" t="s">
        <v>23</v>
      </c>
      <c r="D59">
        <v>1</v>
      </c>
      <c r="E59" t="s">
        <v>64</v>
      </c>
      <c r="F59" t="s">
        <v>73</v>
      </c>
      <c r="K59" s="28" t="s">
        <v>207</v>
      </c>
      <c r="AE59" t="s">
        <v>139</v>
      </c>
      <c r="AF59">
        <v>-119.876368771589</v>
      </c>
      <c r="AG59">
        <v>34.417649607309301</v>
      </c>
    </row>
    <row r="60" spans="1:33" x14ac:dyDescent="0.25">
      <c r="A60">
        <v>16</v>
      </c>
      <c r="B60" s="29">
        <v>43088</v>
      </c>
      <c r="C60" t="s">
        <v>23</v>
      </c>
      <c r="D60">
        <v>1</v>
      </c>
      <c r="E60" t="s">
        <v>79</v>
      </c>
      <c r="F60" t="s">
        <v>73</v>
      </c>
      <c r="K60" s="28" t="s">
        <v>207</v>
      </c>
      <c r="AE60" t="s">
        <v>140</v>
      </c>
      <c r="AF60">
        <v>-119.87761681089501</v>
      </c>
      <c r="AG60">
        <v>34.419220340874503</v>
      </c>
    </row>
    <row r="61" spans="1:33" x14ac:dyDescent="0.25">
      <c r="A61">
        <v>40</v>
      </c>
      <c r="B61" s="29">
        <v>43088</v>
      </c>
      <c r="C61" t="s">
        <v>23</v>
      </c>
      <c r="D61">
        <v>1</v>
      </c>
      <c r="E61" t="s">
        <v>79</v>
      </c>
      <c r="F61" t="s">
        <v>73</v>
      </c>
      <c r="K61" s="28" t="s">
        <v>207</v>
      </c>
      <c r="AE61" t="s">
        <v>141</v>
      </c>
      <c r="AF61">
        <v>-119.883478446583</v>
      </c>
      <c r="AG61">
        <v>34.421697803938102</v>
      </c>
    </row>
    <row r="62" spans="1:33" x14ac:dyDescent="0.25">
      <c r="A62">
        <v>62</v>
      </c>
      <c r="B62" s="29">
        <v>43088</v>
      </c>
      <c r="C62" t="s">
        <v>23</v>
      </c>
      <c r="D62">
        <v>1</v>
      </c>
      <c r="E62" t="s">
        <v>64</v>
      </c>
      <c r="F62" t="s">
        <v>75</v>
      </c>
      <c r="K62" s="28" t="s">
        <v>206</v>
      </c>
      <c r="AE62" t="s">
        <v>142</v>
      </c>
      <c r="AF62">
        <v>-119.87119257561601</v>
      </c>
      <c r="AG62">
        <v>34.421340332249997</v>
      </c>
    </row>
    <row r="63" spans="1:33" x14ac:dyDescent="0.25">
      <c r="A63">
        <v>69</v>
      </c>
      <c r="B63" s="29">
        <v>43088</v>
      </c>
      <c r="C63" t="s">
        <v>23</v>
      </c>
      <c r="D63">
        <v>1</v>
      </c>
      <c r="E63" t="s">
        <v>64</v>
      </c>
      <c r="F63" t="s">
        <v>83</v>
      </c>
      <c r="I63" t="s">
        <v>143</v>
      </c>
      <c r="K63" s="28" t="s">
        <v>206</v>
      </c>
      <c r="AE63" t="s">
        <v>145</v>
      </c>
      <c r="AF63">
        <v>-119.873207255151</v>
      </c>
      <c r="AG63">
        <v>34.422522032513001</v>
      </c>
    </row>
    <row r="64" spans="1:33" x14ac:dyDescent="0.25">
      <c r="A64">
        <v>84</v>
      </c>
      <c r="B64" s="29">
        <v>43088</v>
      </c>
      <c r="C64" t="s">
        <v>23</v>
      </c>
      <c r="D64">
        <v>1</v>
      </c>
      <c r="E64" t="s">
        <v>79</v>
      </c>
      <c r="F64" t="s">
        <v>73</v>
      </c>
      <c r="H64" t="s">
        <v>146</v>
      </c>
      <c r="K64" s="28" t="s">
        <v>206</v>
      </c>
      <c r="AE64" t="s">
        <v>147</v>
      </c>
      <c r="AF64">
        <v>-119.873741566794</v>
      </c>
      <c r="AG64">
        <v>34.421689349642499</v>
      </c>
    </row>
    <row r="65" spans="1:33" x14ac:dyDescent="0.25">
      <c r="A65">
        <v>76</v>
      </c>
      <c r="B65" s="29">
        <v>43088</v>
      </c>
      <c r="C65" t="s">
        <v>24</v>
      </c>
      <c r="D65">
        <v>1</v>
      </c>
      <c r="E65" t="s">
        <v>64</v>
      </c>
      <c r="F65" t="s">
        <v>73</v>
      </c>
      <c r="K65" s="28" t="s">
        <v>206</v>
      </c>
      <c r="AE65" t="s">
        <v>148</v>
      </c>
      <c r="AF65">
        <v>-119.876256289041</v>
      </c>
      <c r="AG65">
        <v>34.420738889896199</v>
      </c>
    </row>
    <row r="66" spans="1:33" x14ac:dyDescent="0.25">
      <c r="A66">
        <v>32</v>
      </c>
      <c r="B66" s="29">
        <v>43088</v>
      </c>
      <c r="C66" t="s">
        <v>25</v>
      </c>
      <c r="D66">
        <v>5</v>
      </c>
      <c r="E66" t="s">
        <v>64</v>
      </c>
      <c r="F66" t="s">
        <v>81</v>
      </c>
      <c r="K66" s="28" t="s">
        <v>207</v>
      </c>
      <c r="AE66" t="s">
        <v>149</v>
      </c>
      <c r="AF66">
        <v>-119.878647868432</v>
      </c>
      <c r="AG66">
        <v>34.420892078093303</v>
      </c>
    </row>
    <row r="67" spans="1:33" x14ac:dyDescent="0.25">
      <c r="A67">
        <v>94</v>
      </c>
      <c r="B67" s="29">
        <v>43088</v>
      </c>
      <c r="C67" t="s">
        <v>25</v>
      </c>
      <c r="D67">
        <v>25</v>
      </c>
      <c r="E67" t="s">
        <v>64</v>
      </c>
      <c r="K67" s="28" t="s">
        <v>206</v>
      </c>
      <c r="AE67" t="s">
        <v>150</v>
      </c>
      <c r="AF67">
        <v>-119.878197761271</v>
      </c>
      <c r="AG67">
        <v>34.421087309568797</v>
      </c>
    </row>
    <row r="68" spans="1:33" x14ac:dyDescent="0.25">
      <c r="A68">
        <v>13</v>
      </c>
      <c r="B68" s="29">
        <v>43088</v>
      </c>
      <c r="C68" t="s">
        <v>26</v>
      </c>
      <c r="D68">
        <v>1</v>
      </c>
      <c r="E68" t="s">
        <v>64</v>
      </c>
      <c r="K68" s="28" t="s">
        <v>207</v>
      </c>
      <c r="AE68" t="s">
        <v>151</v>
      </c>
      <c r="AF68">
        <v>-119.87637708998901</v>
      </c>
      <c r="AG68">
        <v>34.417910379213801</v>
      </c>
    </row>
    <row r="69" spans="1:33" x14ac:dyDescent="0.25">
      <c r="A69">
        <v>14</v>
      </c>
      <c r="B69" s="29">
        <v>43088</v>
      </c>
      <c r="C69" t="s">
        <v>27</v>
      </c>
      <c r="D69">
        <v>1</v>
      </c>
      <c r="E69" t="s">
        <v>64</v>
      </c>
      <c r="F69" t="s">
        <v>63</v>
      </c>
      <c r="I69" t="s">
        <v>153</v>
      </c>
      <c r="K69" s="28" t="s">
        <v>207</v>
      </c>
      <c r="AE69" t="s">
        <v>154</v>
      </c>
      <c r="AF69">
        <v>-119.876751431442</v>
      </c>
      <c r="AG69">
        <v>34.418299819644801</v>
      </c>
    </row>
    <row r="70" spans="1:33" x14ac:dyDescent="0.25">
      <c r="A70">
        <v>19</v>
      </c>
      <c r="B70" s="29">
        <v>43088</v>
      </c>
      <c r="C70" t="s">
        <v>27</v>
      </c>
      <c r="D70">
        <v>1</v>
      </c>
      <c r="E70" t="s">
        <v>64</v>
      </c>
      <c r="F70" t="s">
        <v>155</v>
      </c>
      <c r="K70" s="28" t="s">
        <v>207</v>
      </c>
      <c r="AE70" t="s">
        <v>156</v>
      </c>
      <c r="AF70">
        <v>-119.879809404467</v>
      </c>
      <c r="AG70">
        <v>34.418281565359898</v>
      </c>
    </row>
    <row r="71" spans="1:33" x14ac:dyDescent="0.25">
      <c r="A71">
        <v>20</v>
      </c>
      <c r="B71" s="29">
        <v>43088</v>
      </c>
      <c r="C71" t="s">
        <v>27</v>
      </c>
      <c r="D71">
        <v>1</v>
      </c>
      <c r="E71" t="s">
        <v>64</v>
      </c>
      <c r="F71" t="s">
        <v>75</v>
      </c>
      <c r="K71" s="28" t="s">
        <v>207</v>
      </c>
      <c r="AE71" t="s">
        <v>158</v>
      </c>
      <c r="AF71">
        <v>-119.881486212353</v>
      </c>
      <c r="AG71">
        <v>34.419030147099697</v>
      </c>
    </row>
    <row r="72" spans="1:33" x14ac:dyDescent="0.25">
      <c r="A72">
        <v>25</v>
      </c>
      <c r="B72" s="29">
        <v>43088</v>
      </c>
      <c r="C72" t="s">
        <v>27</v>
      </c>
      <c r="D72">
        <v>1</v>
      </c>
      <c r="E72" t="s">
        <v>64</v>
      </c>
      <c r="F72" t="s">
        <v>155</v>
      </c>
      <c r="K72" s="28" t="s">
        <v>207</v>
      </c>
      <c r="AE72" t="s">
        <v>161</v>
      </c>
      <c r="AF72">
        <v>-119.880476839249</v>
      </c>
      <c r="AG72">
        <v>34.420315738685296</v>
      </c>
    </row>
    <row r="73" spans="1:33" x14ac:dyDescent="0.25">
      <c r="A73">
        <v>26</v>
      </c>
      <c r="B73" s="29">
        <v>43088</v>
      </c>
      <c r="C73" t="s">
        <v>27</v>
      </c>
      <c r="D73">
        <v>1</v>
      </c>
      <c r="E73" t="s">
        <v>64</v>
      </c>
      <c r="F73" t="s">
        <v>63</v>
      </c>
      <c r="I73" t="s">
        <v>162</v>
      </c>
      <c r="K73" s="28" t="s">
        <v>207</v>
      </c>
      <c r="AE73" t="s">
        <v>163</v>
      </c>
      <c r="AF73">
        <v>-119.879520072386</v>
      </c>
      <c r="AG73">
        <v>34.419702779908697</v>
      </c>
    </row>
    <row r="74" spans="1:33" x14ac:dyDescent="0.25">
      <c r="A74">
        <v>27</v>
      </c>
      <c r="B74" s="29">
        <v>43088</v>
      </c>
      <c r="C74" t="s">
        <v>27</v>
      </c>
      <c r="D74">
        <v>1</v>
      </c>
      <c r="E74" t="s">
        <v>64</v>
      </c>
      <c r="F74" t="s">
        <v>63</v>
      </c>
      <c r="I74" t="s">
        <v>162</v>
      </c>
      <c r="K74" s="28" t="s">
        <v>207</v>
      </c>
      <c r="AE74" t="s">
        <v>164</v>
      </c>
      <c r="AF74">
        <v>-119.87976337389399</v>
      </c>
      <c r="AG74">
        <v>34.419144060963703</v>
      </c>
    </row>
    <row r="75" spans="1:33" x14ac:dyDescent="0.25">
      <c r="A75">
        <v>44</v>
      </c>
      <c r="B75" s="29">
        <v>43088</v>
      </c>
      <c r="C75" t="s">
        <v>27</v>
      </c>
      <c r="D75">
        <v>1</v>
      </c>
      <c r="E75" t="s">
        <v>64</v>
      </c>
      <c r="F75" t="s">
        <v>81</v>
      </c>
      <c r="K75" s="28" t="s">
        <v>207</v>
      </c>
      <c r="AE75" t="s">
        <v>165</v>
      </c>
      <c r="AF75">
        <v>-119.882939893095</v>
      </c>
      <c r="AG75">
        <v>34.4206758720834</v>
      </c>
    </row>
    <row r="76" spans="1:33" x14ac:dyDescent="0.25">
      <c r="A76">
        <v>46</v>
      </c>
      <c r="B76" s="29">
        <v>43088</v>
      </c>
      <c r="C76" t="s">
        <v>27</v>
      </c>
      <c r="D76">
        <v>1</v>
      </c>
      <c r="E76" t="s">
        <v>64</v>
      </c>
      <c r="F76" t="s">
        <v>63</v>
      </c>
      <c r="G76" t="s">
        <v>167</v>
      </c>
      <c r="I76" t="s">
        <v>166</v>
      </c>
      <c r="K76" s="28" t="s">
        <v>207</v>
      </c>
      <c r="AE76" t="s">
        <v>168</v>
      </c>
      <c r="AF76">
        <v>-119.882942257461</v>
      </c>
      <c r="AG76">
        <v>34.421039780197198</v>
      </c>
    </row>
    <row r="77" spans="1:33" x14ac:dyDescent="0.25">
      <c r="A77">
        <v>96</v>
      </c>
      <c r="B77" s="29">
        <v>43088</v>
      </c>
      <c r="C77" t="s">
        <v>27</v>
      </c>
      <c r="D77">
        <v>1</v>
      </c>
      <c r="E77" t="s">
        <v>64</v>
      </c>
      <c r="F77" t="s">
        <v>83</v>
      </c>
      <c r="K77" s="28" t="s">
        <v>206</v>
      </c>
      <c r="AE77" t="s">
        <v>169</v>
      </c>
      <c r="AF77">
        <v>-119.877672272881</v>
      </c>
      <c r="AG77">
        <v>34.421072264532199</v>
      </c>
    </row>
    <row r="78" spans="1:33" x14ac:dyDescent="0.25">
      <c r="A78">
        <v>83</v>
      </c>
      <c r="B78" s="29">
        <v>43088</v>
      </c>
      <c r="C78" t="s">
        <v>28</v>
      </c>
      <c r="D78">
        <v>2</v>
      </c>
      <c r="E78" t="s">
        <v>64</v>
      </c>
      <c r="F78" t="s">
        <v>95</v>
      </c>
      <c r="K78" s="28" t="s">
        <v>206</v>
      </c>
      <c r="AE78" t="s">
        <v>170</v>
      </c>
      <c r="AF78">
        <v>-119.87368836137701</v>
      </c>
      <c r="AG78">
        <v>34.421779562096603</v>
      </c>
    </row>
    <row r="79" spans="1:33" x14ac:dyDescent="0.25">
      <c r="A79">
        <v>35</v>
      </c>
      <c r="B79" s="29">
        <v>43088</v>
      </c>
      <c r="C79" t="s">
        <v>29</v>
      </c>
      <c r="D79">
        <v>2</v>
      </c>
      <c r="E79" t="s">
        <v>64</v>
      </c>
      <c r="F79" t="s">
        <v>63</v>
      </c>
      <c r="I79" t="s">
        <v>171</v>
      </c>
      <c r="K79" s="28" t="s">
        <v>207</v>
      </c>
      <c r="AE79" t="s">
        <v>172</v>
      </c>
      <c r="AF79">
        <v>-119.879793542016</v>
      </c>
      <c r="AG79">
        <v>34.421180711300401</v>
      </c>
    </row>
    <row r="80" spans="1:33" x14ac:dyDescent="0.25">
      <c r="A80">
        <v>42</v>
      </c>
      <c r="B80" s="29">
        <v>43088</v>
      </c>
      <c r="C80" t="s">
        <v>29</v>
      </c>
      <c r="D80">
        <v>2</v>
      </c>
      <c r="E80" t="s">
        <v>64</v>
      </c>
      <c r="F80" t="s">
        <v>73</v>
      </c>
      <c r="K80" s="28" t="s">
        <v>207</v>
      </c>
      <c r="AE80" t="s">
        <v>173</v>
      </c>
      <c r="AF80">
        <v>-119.881895838733</v>
      </c>
      <c r="AG80">
        <v>34.421001439521298</v>
      </c>
    </row>
    <row r="81" spans="1:33" x14ac:dyDescent="0.25">
      <c r="A81">
        <v>43</v>
      </c>
      <c r="B81" s="29">
        <v>43088</v>
      </c>
      <c r="C81" t="s">
        <v>29</v>
      </c>
      <c r="D81">
        <v>1</v>
      </c>
      <c r="E81" t="s">
        <v>64</v>
      </c>
      <c r="F81" t="s">
        <v>63</v>
      </c>
      <c r="I81" t="s">
        <v>174</v>
      </c>
      <c r="K81" s="28" t="s">
        <v>207</v>
      </c>
      <c r="AE81" t="s">
        <v>175</v>
      </c>
      <c r="AF81">
        <v>-119.882124560584</v>
      </c>
      <c r="AG81">
        <v>34.420901016359998</v>
      </c>
    </row>
    <row r="82" spans="1:33" x14ac:dyDescent="0.25">
      <c r="A82">
        <v>47</v>
      </c>
      <c r="B82" s="29">
        <v>43088</v>
      </c>
      <c r="C82" t="s">
        <v>29</v>
      </c>
      <c r="D82">
        <v>1</v>
      </c>
      <c r="E82" t="s">
        <v>64</v>
      </c>
      <c r="F82" t="s">
        <v>63</v>
      </c>
      <c r="I82" t="s">
        <v>166</v>
      </c>
      <c r="K82" s="28" t="s">
        <v>207</v>
      </c>
      <c r="AE82" t="s">
        <v>176</v>
      </c>
      <c r="AF82">
        <v>-119.883104190469</v>
      </c>
      <c r="AG82">
        <v>34.421096332291498</v>
      </c>
    </row>
    <row r="83" spans="1:33" x14ac:dyDescent="0.25">
      <c r="A83">
        <v>50</v>
      </c>
      <c r="B83" s="29">
        <v>43088</v>
      </c>
      <c r="C83" t="s">
        <v>29</v>
      </c>
      <c r="D83">
        <v>1</v>
      </c>
      <c r="E83" t="s">
        <v>64</v>
      </c>
      <c r="F83" t="s">
        <v>63</v>
      </c>
      <c r="I83" t="s">
        <v>166</v>
      </c>
      <c r="K83" s="28" t="s">
        <v>207</v>
      </c>
      <c r="AE83" t="s">
        <v>177</v>
      </c>
      <c r="AF83">
        <v>-119.883953241245</v>
      </c>
      <c r="AG83">
        <v>34.4213126668933</v>
      </c>
    </row>
    <row r="84" spans="1:33" x14ac:dyDescent="0.25">
      <c r="A84">
        <v>71</v>
      </c>
      <c r="B84" s="29">
        <v>43088</v>
      </c>
      <c r="C84" t="s">
        <v>29</v>
      </c>
      <c r="D84">
        <v>2</v>
      </c>
      <c r="E84" t="s">
        <v>64</v>
      </c>
      <c r="F84" t="s">
        <v>73</v>
      </c>
      <c r="K84" s="28" t="s">
        <v>206</v>
      </c>
      <c r="AE84" t="s">
        <v>178</v>
      </c>
      <c r="AF84">
        <v>-119.872301779396</v>
      </c>
      <c r="AG84">
        <v>34.422328025578999</v>
      </c>
    </row>
    <row r="85" spans="1:33" x14ac:dyDescent="0.25">
      <c r="A85">
        <v>77</v>
      </c>
      <c r="B85" s="29">
        <v>43088</v>
      </c>
      <c r="C85" t="s">
        <v>29</v>
      </c>
      <c r="D85">
        <v>2</v>
      </c>
      <c r="E85" t="s">
        <v>64</v>
      </c>
      <c r="F85" t="s">
        <v>95</v>
      </c>
      <c r="K85" s="28" t="s">
        <v>206</v>
      </c>
      <c r="AE85" t="s">
        <v>179</v>
      </c>
      <c r="AF85">
        <v>-119.872786416899</v>
      </c>
      <c r="AG85">
        <v>34.421982004562501</v>
      </c>
    </row>
    <row r="86" spans="1:33" x14ac:dyDescent="0.25">
      <c r="A86">
        <v>81</v>
      </c>
      <c r="B86" s="29">
        <v>43088</v>
      </c>
      <c r="C86" t="s">
        <v>29</v>
      </c>
      <c r="D86">
        <v>2</v>
      </c>
      <c r="E86" t="s">
        <v>64</v>
      </c>
      <c r="F86" t="s">
        <v>95</v>
      </c>
      <c r="K86" s="28" t="s">
        <v>206</v>
      </c>
      <c r="AE86" t="s">
        <v>180</v>
      </c>
      <c r="AF86">
        <v>-119.873199208941</v>
      </c>
      <c r="AG86">
        <v>34.421818516720201</v>
      </c>
    </row>
    <row r="87" spans="1:33" x14ac:dyDescent="0.25">
      <c r="A87">
        <v>57</v>
      </c>
      <c r="B87" s="29">
        <v>43088</v>
      </c>
      <c r="C87" t="s">
        <v>30</v>
      </c>
      <c r="D87">
        <v>8</v>
      </c>
      <c r="E87" t="s">
        <v>64</v>
      </c>
      <c r="F87" t="s">
        <v>75</v>
      </c>
      <c r="K87" s="28" t="s">
        <v>206</v>
      </c>
      <c r="AE87" t="s">
        <v>181</v>
      </c>
      <c r="AF87">
        <v>-119.874287896997</v>
      </c>
      <c r="AG87">
        <v>34.419557846187097</v>
      </c>
    </row>
    <row r="88" spans="1:33" x14ac:dyDescent="0.25">
      <c r="A88">
        <v>22</v>
      </c>
      <c r="B88" s="29">
        <v>43088</v>
      </c>
      <c r="C88" t="s">
        <v>31</v>
      </c>
      <c r="D88">
        <v>8</v>
      </c>
      <c r="E88" t="s">
        <v>64</v>
      </c>
      <c r="F88" t="s">
        <v>81</v>
      </c>
      <c r="K88" s="28" t="s">
        <v>207</v>
      </c>
      <c r="AE88" t="s">
        <v>182</v>
      </c>
      <c r="AF88">
        <v>-119.881348121531</v>
      </c>
      <c r="AG88">
        <v>34.420296752700501</v>
      </c>
    </row>
    <row r="89" spans="1:33" x14ac:dyDescent="0.25">
      <c r="A89">
        <v>60</v>
      </c>
      <c r="B89" s="29">
        <v>43088</v>
      </c>
      <c r="C89" t="s">
        <v>31</v>
      </c>
      <c r="D89">
        <v>9</v>
      </c>
      <c r="E89" t="s">
        <v>64</v>
      </c>
      <c r="F89" t="s">
        <v>81</v>
      </c>
      <c r="K89" s="28" t="s">
        <v>206</v>
      </c>
      <c r="AE89" t="s">
        <v>183</v>
      </c>
      <c r="AF89">
        <v>-119.873236965133</v>
      </c>
      <c r="AG89">
        <v>34.421081471030803</v>
      </c>
    </row>
    <row r="90" spans="1:33" x14ac:dyDescent="0.25">
      <c r="A90">
        <v>67</v>
      </c>
      <c r="B90" s="29">
        <v>43088</v>
      </c>
      <c r="C90" t="s">
        <v>31</v>
      </c>
      <c r="D90">
        <v>5</v>
      </c>
      <c r="E90" t="s">
        <v>64</v>
      </c>
      <c r="F90" t="s">
        <v>83</v>
      </c>
      <c r="K90" s="28" t="s">
        <v>206</v>
      </c>
      <c r="AE90" t="s">
        <v>184</v>
      </c>
      <c r="AF90">
        <v>-119.872473800485</v>
      </c>
      <c r="AG90">
        <v>34.4214848649533</v>
      </c>
    </row>
    <row r="91" spans="1:33" x14ac:dyDescent="0.25">
      <c r="A91">
        <v>85</v>
      </c>
      <c r="B91" s="29">
        <v>43088</v>
      </c>
      <c r="C91" t="s">
        <v>31</v>
      </c>
      <c r="D91">
        <v>55</v>
      </c>
      <c r="E91" t="s">
        <v>64</v>
      </c>
      <c r="F91" t="s">
        <v>81</v>
      </c>
      <c r="K91" s="28" t="s">
        <v>206</v>
      </c>
      <c r="AE91" t="s">
        <v>185</v>
      </c>
      <c r="AF91">
        <v>-119.87467397493999</v>
      </c>
      <c r="AG91">
        <v>34.421324486213003</v>
      </c>
    </row>
    <row r="92" spans="1:33" x14ac:dyDescent="0.25">
      <c r="A92">
        <v>11</v>
      </c>
      <c r="B92" s="29">
        <v>43088</v>
      </c>
      <c r="C92" t="s">
        <v>32</v>
      </c>
      <c r="D92">
        <v>1</v>
      </c>
      <c r="E92" t="s">
        <v>64</v>
      </c>
      <c r="F92" t="s">
        <v>68</v>
      </c>
      <c r="K92" s="28" t="s">
        <v>207</v>
      </c>
      <c r="AE92" t="s">
        <v>186</v>
      </c>
      <c r="AF92">
        <v>-119.87530605742199</v>
      </c>
      <c r="AG92">
        <v>34.4187149918383</v>
      </c>
    </row>
    <row r="93" spans="1:33" x14ac:dyDescent="0.25">
      <c r="A93">
        <v>29</v>
      </c>
      <c r="B93" s="29">
        <v>43088</v>
      </c>
      <c r="C93" t="s">
        <v>32</v>
      </c>
      <c r="D93">
        <v>1</v>
      </c>
      <c r="E93" t="s">
        <v>79</v>
      </c>
      <c r="F93" t="s">
        <v>68</v>
      </c>
      <c r="K93" s="28" t="s">
        <v>207</v>
      </c>
      <c r="AE93" t="s">
        <v>187</v>
      </c>
      <c r="AF93">
        <v>-119.87823780816601</v>
      </c>
      <c r="AG93">
        <v>34.420850039623403</v>
      </c>
    </row>
    <row r="94" spans="1:33" x14ac:dyDescent="0.25">
      <c r="A94">
        <v>97</v>
      </c>
      <c r="B94" s="29">
        <v>43088</v>
      </c>
      <c r="C94" t="s">
        <v>32</v>
      </c>
      <c r="D94">
        <v>1</v>
      </c>
      <c r="E94" t="s">
        <v>64</v>
      </c>
      <c r="F94" t="s">
        <v>70</v>
      </c>
      <c r="K94" s="28" t="s">
        <v>206</v>
      </c>
      <c r="AE94" t="s">
        <v>188</v>
      </c>
      <c r="AF94">
        <v>-119.87781525053801</v>
      </c>
      <c r="AG94">
        <v>34.420672849426602</v>
      </c>
    </row>
    <row r="95" spans="1:33" x14ac:dyDescent="0.25">
      <c r="A95">
        <v>18</v>
      </c>
      <c r="B95" s="29">
        <v>43088</v>
      </c>
      <c r="C95" t="s">
        <v>33</v>
      </c>
      <c r="D95">
        <v>2</v>
      </c>
      <c r="E95" t="s">
        <v>64</v>
      </c>
      <c r="F95" t="s">
        <v>81</v>
      </c>
      <c r="K95" s="28" t="s">
        <v>207</v>
      </c>
      <c r="AE95" t="s">
        <v>189</v>
      </c>
      <c r="AF95">
        <v>-119.87761640306</v>
      </c>
      <c r="AG95">
        <v>34.417598072057302</v>
      </c>
    </row>
    <row r="96" spans="1:33" x14ac:dyDescent="0.25">
      <c r="A96">
        <v>34</v>
      </c>
      <c r="B96" s="29">
        <v>43088</v>
      </c>
      <c r="C96" t="s">
        <v>33</v>
      </c>
      <c r="D96">
        <v>10</v>
      </c>
      <c r="E96" t="s">
        <v>64</v>
      </c>
      <c r="F96" t="s">
        <v>63</v>
      </c>
      <c r="I96" t="s">
        <v>171</v>
      </c>
      <c r="K96" s="28" t="s">
        <v>207</v>
      </c>
      <c r="AE96" t="s">
        <v>190</v>
      </c>
      <c r="AF96">
        <v>-119.87974220329799</v>
      </c>
      <c r="AG96">
        <v>34.421251069314501</v>
      </c>
    </row>
    <row r="97" spans="1:33" x14ac:dyDescent="0.25">
      <c r="A97">
        <v>45</v>
      </c>
      <c r="B97" s="29">
        <v>43088</v>
      </c>
      <c r="C97" t="s">
        <v>33</v>
      </c>
      <c r="D97">
        <v>3</v>
      </c>
      <c r="E97" t="s">
        <v>64</v>
      </c>
      <c r="F97" t="s">
        <v>95</v>
      </c>
      <c r="K97" s="28" t="s">
        <v>207</v>
      </c>
      <c r="AE97" t="s">
        <v>191</v>
      </c>
      <c r="AF97">
        <v>-119.882731863039</v>
      </c>
      <c r="AG97">
        <v>34.420572518499299</v>
      </c>
    </row>
    <row r="98" spans="1:33" x14ac:dyDescent="0.25">
      <c r="A98">
        <v>70</v>
      </c>
      <c r="B98" s="29">
        <v>43088</v>
      </c>
      <c r="C98" t="s">
        <v>33</v>
      </c>
      <c r="D98">
        <v>6</v>
      </c>
      <c r="E98" t="s">
        <v>64</v>
      </c>
      <c r="F98" t="s">
        <v>83</v>
      </c>
      <c r="K98" s="28" t="s">
        <v>206</v>
      </c>
      <c r="AE98" t="s">
        <v>192</v>
      </c>
      <c r="AF98">
        <v>-119.87247818067</v>
      </c>
      <c r="AG98">
        <v>34.4221947674015</v>
      </c>
    </row>
    <row r="99" spans="1:33" x14ac:dyDescent="0.25">
      <c r="A99">
        <v>103</v>
      </c>
      <c r="B99" s="29">
        <v>43088</v>
      </c>
      <c r="C99" t="s">
        <v>33</v>
      </c>
      <c r="D99">
        <v>1</v>
      </c>
      <c r="E99" t="s">
        <v>79</v>
      </c>
      <c r="F99" t="s">
        <v>95</v>
      </c>
      <c r="K99" s="28" t="s">
        <v>206</v>
      </c>
      <c r="AE99" t="s">
        <v>193</v>
      </c>
      <c r="AF99">
        <v>-119.879891174514</v>
      </c>
      <c r="AG99">
        <v>34.4213111878109</v>
      </c>
    </row>
    <row r="100" spans="1:33" x14ac:dyDescent="0.25">
      <c r="A100">
        <v>78</v>
      </c>
      <c r="B100" s="29">
        <v>43088</v>
      </c>
      <c r="C100" t="s">
        <v>34</v>
      </c>
      <c r="D100">
        <v>1</v>
      </c>
      <c r="E100" t="s">
        <v>64</v>
      </c>
      <c r="F100" t="s">
        <v>70</v>
      </c>
      <c r="K100" s="28" t="s">
        <v>206</v>
      </c>
      <c r="AE100" t="s">
        <v>194</v>
      </c>
      <c r="AF100">
        <v>-119.873560365822</v>
      </c>
      <c r="AG100">
        <v>34.421783287199403</v>
      </c>
    </row>
    <row r="101" spans="1:33" x14ac:dyDescent="0.25">
      <c r="A101">
        <v>48</v>
      </c>
      <c r="B101" s="29">
        <v>43088</v>
      </c>
      <c r="C101" t="s">
        <v>35</v>
      </c>
      <c r="D101">
        <v>1</v>
      </c>
      <c r="E101" t="s">
        <v>64</v>
      </c>
      <c r="F101" t="s">
        <v>63</v>
      </c>
      <c r="I101" t="s">
        <v>166</v>
      </c>
      <c r="K101" s="28" t="s">
        <v>207</v>
      </c>
      <c r="AE101" t="s">
        <v>195</v>
      </c>
      <c r="AF101">
        <v>-119.88312783053399</v>
      </c>
      <c r="AG101">
        <v>34.421100232306699</v>
      </c>
    </row>
    <row r="102" spans="1:33" x14ac:dyDescent="0.25">
      <c r="A102">
        <v>58</v>
      </c>
      <c r="B102" s="29">
        <v>43088</v>
      </c>
      <c r="C102" t="s">
        <v>35</v>
      </c>
      <c r="D102">
        <v>3</v>
      </c>
      <c r="E102" t="s">
        <v>64</v>
      </c>
      <c r="F102" t="s">
        <v>83</v>
      </c>
      <c r="K102" s="28" t="s">
        <v>206</v>
      </c>
      <c r="AE102" t="s">
        <v>196</v>
      </c>
      <c r="AF102">
        <v>-119.87434820000399</v>
      </c>
      <c r="AG102">
        <v>34.419655683257297</v>
      </c>
    </row>
    <row r="103" spans="1:33" x14ac:dyDescent="0.25">
      <c r="A103">
        <v>65</v>
      </c>
      <c r="B103" s="29">
        <v>43088</v>
      </c>
      <c r="C103" t="s">
        <v>35</v>
      </c>
      <c r="D103">
        <v>5</v>
      </c>
      <c r="E103" t="s">
        <v>64</v>
      </c>
      <c r="F103" t="s">
        <v>73</v>
      </c>
      <c r="K103" s="28" t="s">
        <v>206</v>
      </c>
      <c r="AE103" t="s">
        <v>197</v>
      </c>
      <c r="AF103">
        <v>-119.871461818673</v>
      </c>
      <c r="AG103">
        <v>34.421745140270602</v>
      </c>
    </row>
    <row r="104" spans="1:33" x14ac:dyDescent="0.25">
      <c r="A104">
        <v>75</v>
      </c>
      <c r="B104" s="29">
        <v>43088</v>
      </c>
      <c r="C104" t="s">
        <v>35</v>
      </c>
      <c r="D104">
        <v>1</v>
      </c>
      <c r="E104" t="s">
        <v>64</v>
      </c>
      <c r="F104" t="s">
        <v>95</v>
      </c>
      <c r="K104" s="28" t="s">
        <v>206</v>
      </c>
      <c r="AE104" t="s">
        <v>198</v>
      </c>
      <c r="AF104">
        <v>-119.87211795175</v>
      </c>
      <c r="AG104">
        <v>34.4225119740086</v>
      </c>
    </row>
    <row r="105" spans="1:33" x14ac:dyDescent="0.25">
      <c r="A105">
        <v>107</v>
      </c>
      <c r="B105" s="29">
        <v>43088</v>
      </c>
      <c r="C105" t="s">
        <v>35</v>
      </c>
      <c r="D105">
        <v>1</v>
      </c>
      <c r="E105" t="s">
        <v>64</v>
      </c>
      <c r="K105" s="28" t="s">
        <v>206</v>
      </c>
      <c r="AE105" t="s">
        <v>199</v>
      </c>
      <c r="AF105">
        <v>-119.883893759298</v>
      </c>
      <c r="AG105">
        <v>34.421867539541999</v>
      </c>
    </row>
    <row r="106" spans="1:33" x14ac:dyDescent="0.25">
      <c r="A106">
        <v>3</v>
      </c>
      <c r="B106" s="29">
        <v>43088</v>
      </c>
      <c r="E106" t="s">
        <v>64</v>
      </c>
      <c r="J106">
        <v>5</v>
      </c>
      <c r="K106" s="28" t="s">
        <v>207</v>
      </c>
      <c r="L106">
        <v>45</v>
      </c>
      <c r="M106">
        <v>0</v>
      </c>
      <c r="N106" t="s">
        <v>144</v>
      </c>
      <c r="O106" t="s">
        <v>120</v>
      </c>
      <c r="Q106" t="s">
        <v>120</v>
      </c>
      <c r="S106" s="4">
        <v>43088.653437499997</v>
      </c>
      <c r="T106">
        <v>730</v>
      </c>
      <c r="AE106" t="s">
        <v>152</v>
      </c>
      <c r="AF106">
        <v>-119.874080216385</v>
      </c>
      <c r="AG106">
        <v>34.417524316929303</v>
      </c>
    </row>
    <row r="107" spans="1:33" x14ac:dyDescent="0.25">
      <c r="A107">
        <v>51</v>
      </c>
      <c r="B107" s="29">
        <v>43088</v>
      </c>
      <c r="E107" t="s">
        <v>64</v>
      </c>
      <c r="K107" s="28" t="s">
        <v>207</v>
      </c>
      <c r="U107">
        <v>940</v>
      </c>
      <c r="W107">
        <v>60</v>
      </c>
      <c r="X107">
        <v>0</v>
      </c>
      <c r="Y107" t="s">
        <v>144</v>
      </c>
      <c r="Z107" t="s">
        <v>157</v>
      </c>
      <c r="AA107" t="s">
        <v>159</v>
      </c>
      <c r="AB107" t="s">
        <v>120</v>
      </c>
      <c r="AE107" t="s">
        <v>160</v>
      </c>
      <c r="AF107">
        <v>-119.883970417033</v>
      </c>
      <c r="AG107">
        <v>34.421594016638103</v>
      </c>
    </row>
    <row r="109" spans="1:33" x14ac:dyDescent="0.25">
      <c r="AF109">
        <f t="shared" ref="AF109:AG109" si="0">AVERAGE(AF2:AF107)</f>
        <v>-119.87707356002358</v>
      </c>
      <c r="AG109">
        <f t="shared" si="0"/>
        <v>34.42054740207768</v>
      </c>
    </row>
  </sheetData>
  <autoFilter ref="A1:AG99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workbookViewId="0"/>
  </sheetViews>
  <sheetFormatPr defaultColWidth="14.42578125" defaultRowHeight="15" customHeight="1" x14ac:dyDescent="0.25"/>
  <cols>
    <col min="1" max="1" width="21.85546875" customWidth="1"/>
  </cols>
  <sheetData>
    <row r="1" spans="1:8" ht="15" customHeight="1" x14ac:dyDescent="0.25">
      <c r="A1" s="9" t="s">
        <v>203</v>
      </c>
      <c r="B1" s="9" t="s">
        <v>204</v>
      </c>
      <c r="C1" s="10"/>
      <c r="D1" s="10"/>
      <c r="E1" s="10"/>
      <c r="F1" s="10"/>
      <c r="G1" s="10"/>
      <c r="H1" s="11"/>
    </row>
    <row r="2" spans="1:8" ht="15" customHeight="1" x14ac:dyDescent="0.25">
      <c r="A2" s="12"/>
      <c r="B2" s="13" t="s">
        <v>64</v>
      </c>
      <c r="C2" s="10"/>
      <c r="D2" s="13" t="s">
        <v>200</v>
      </c>
      <c r="E2" s="13" t="s">
        <v>79</v>
      </c>
      <c r="F2" s="10"/>
      <c r="G2" s="13" t="s">
        <v>201</v>
      </c>
      <c r="H2" s="14" t="s">
        <v>202</v>
      </c>
    </row>
    <row r="3" spans="1:8" ht="15" customHeight="1" x14ac:dyDescent="0.25">
      <c r="A3" s="9" t="s">
        <v>205</v>
      </c>
      <c r="B3" s="13" t="s">
        <v>66</v>
      </c>
      <c r="C3" s="15" t="s">
        <v>71</v>
      </c>
      <c r="D3" s="12"/>
      <c r="E3" s="13" t="s">
        <v>66</v>
      </c>
      <c r="F3" s="15" t="s">
        <v>71</v>
      </c>
      <c r="G3" s="12"/>
      <c r="H3" s="16"/>
    </row>
    <row r="4" spans="1:8" ht="15" customHeight="1" x14ac:dyDescent="0.25">
      <c r="A4" s="13" t="s">
        <v>2</v>
      </c>
      <c r="B4" s="17">
        <v>1</v>
      </c>
      <c r="C4" s="18"/>
      <c r="D4" s="17">
        <v>1</v>
      </c>
      <c r="E4" s="17"/>
      <c r="F4" s="18"/>
      <c r="G4" s="17"/>
      <c r="H4" s="19">
        <v>1</v>
      </c>
    </row>
    <row r="5" spans="1:8" ht="15" customHeight="1" x14ac:dyDescent="0.25">
      <c r="A5" s="20" t="s">
        <v>3</v>
      </c>
      <c r="B5" s="21">
        <v>1</v>
      </c>
      <c r="C5" s="22">
        <v>2</v>
      </c>
      <c r="D5" s="21">
        <v>3</v>
      </c>
      <c r="E5" s="21"/>
      <c r="F5" s="22"/>
      <c r="G5" s="21"/>
      <c r="H5" s="23">
        <v>3</v>
      </c>
    </row>
    <row r="6" spans="1:8" ht="15" customHeight="1" x14ac:dyDescent="0.25">
      <c r="A6" s="20" t="s">
        <v>4</v>
      </c>
      <c r="B6" s="21"/>
      <c r="C6" s="22">
        <v>3</v>
      </c>
      <c r="D6" s="21">
        <v>3</v>
      </c>
      <c r="E6" s="21"/>
      <c r="F6" s="22"/>
      <c r="G6" s="21"/>
      <c r="H6" s="23">
        <v>3</v>
      </c>
    </row>
    <row r="7" spans="1:8" ht="15" customHeight="1" x14ac:dyDescent="0.25">
      <c r="A7" s="20" t="s">
        <v>5</v>
      </c>
      <c r="B7" s="21">
        <v>1</v>
      </c>
      <c r="C7" s="22"/>
      <c r="D7" s="21">
        <v>1</v>
      </c>
      <c r="E7" s="21">
        <v>1</v>
      </c>
      <c r="F7" s="22"/>
      <c r="G7" s="21">
        <v>1</v>
      </c>
      <c r="H7" s="23">
        <v>2</v>
      </c>
    </row>
    <row r="8" spans="1:8" ht="15" customHeight="1" x14ac:dyDescent="0.25">
      <c r="A8" s="20" t="s">
        <v>6</v>
      </c>
      <c r="B8" s="21">
        <v>1</v>
      </c>
      <c r="C8" s="22">
        <v>2</v>
      </c>
      <c r="D8" s="21">
        <v>3</v>
      </c>
      <c r="E8" s="21"/>
      <c r="F8" s="22"/>
      <c r="G8" s="21"/>
      <c r="H8" s="23">
        <v>3</v>
      </c>
    </row>
    <row r="9" spans="1:8" ht="15" customHeight="1" x14ac:dyDescent="0.25">
      <c r="A9" s="20" t="s">
        <v>7</v>
      </c>
      <c r="B9" s="21">
        <v>5</v>
      </c>
      <c r="C9" s="22">
        <v>12</v>
      </c>
      <c r="D9" s="21">
        <v>17</v>
      </c>
      <c r="E9" s="21"/>
      <c r="F9" s="22"/>
      <c r="G9" s="21"/>
      <c r="H9" s="23">
        <v>17</v>
      </c>
    </row>
    <row r="10" spans="1:8" ht="15" customHeight="1" x14ac:dyDescent="0.25">
      <c r="A10" s="20" t="s">
        <v>8</v>
      </c>
      <c r="B10" s="21"/>
      <c r="C10" s="22">
        <v>5</v>
      </c>
      <c r="D10" s="21">
        <v>5</v>
      </c>
      <c r="E10" s="21">
        <v>1</v>
      </c>
      <c r="F10" s="22"/>
      <c r="G10" s="21">
        <v>1</v>
      </c>
      <c r="H10" s="23">
        <v>6</v>
      </c>
    </row>
    <row r="11" spans="1:8" ht="15" customHeight="1" x14ac:dyDescent="0.25">
      <c r="A11" s="20" t="s">
        <v>9</v>
      </c>
      <c r="B11" s="21">
        <v>1</v>
      </c>
      <c r="C11" s="22"/>
      <c r="D11" s="21">
        <v>1</v>
      </c>
      <c r="E11" s="21"/>
      <c r="F11" s="22"/>
      <c r="G11" s="21"/>
      <c r="H11" s="23">
        <v>1</v>
      </c>
    </row>
    <row r="12" spans="1:8" ht="15" customHeight="1" x14ac:dyDescent="0.25">
      <c r="A12" s="20" t="s">
        <v>10</v>
      </c>
      <c r="B12" s="21"/>
      <c r="C12" s="22">
        <v>1</v>
      </c>
      <c r="D12" s="21">
        <v>1</v>
      </c>
      <c r="E12" s="21"/>
      <c r="F12" s="22"/>
      <c r="G12" s="21"/>
      <c r="H12" s="23">
        <v>1</v>
      </c>
    </row>
    <row r="13" spans="1:8" ht="15" customHeight="1" x14ac:dyDescent="0.25">
      <c r="A13" s="20" t="s">
        <v>11</v>
      </c>
      <c r="B13" s="21">
        <v>5</v>
      </c>
      <c r="C13" s="22"/>
      <c r="D13" s="21">
        <v>5</v>
      </c>
      <c r="E13" s="21"/>
      <c r="F13" s="22"/>
      <c r="G13" s="21"/>
      <c r="H13" s="23">
        <v>5</v>
      </c>
    </row>
    <row r="14" spans="1:8" ht="15" customHeight="1" x14ac:dyDescent="0.25">
      <c r="A14" s="20" t="s">
        <v>12</v>
      </c>
      <c r="B14" s="21">
        <v>8</v>
      </c>
      <c r="C14" s="22">
        <v>2</v>
      </c>
      <c r="D14" s="21">
        <v>10</v>
      </c>
      <c r="E14" s="21"/>
      <c r="F14" s="22"/>
      <c r="G14" s="21"/>
      <c r="H14" s="23">
        <v>10</v>
      </c>
    </row>
    <row r="15" spans="1:8" ht="15" customHeight="1" x14ac:dyDescent="0.25">
      <c r="A15" s="20" t="s">
        <v>13</v>
      </c>
      <c r="B15" s="21">
        <v>15</v>
      </c>
      <c r="C15" s="22"/>
      <c r="D15" s="21">
        <v>15</v>
      </c>
      <c r="E15" s="21"/>
      <c r="F15" s="22"/>
      <c r="G15" s="21"/>
      <c r="H15" s="23">
        <v>15</v>
      </c>
    </row>
    <row r="16" spans="1:8" ht="15" customHeight="1" x14ac:dyDescent="0.25">
      <c r="A16" s="20" t="s">
        <v>14</v>
      </c>
      <c r="B16" s="21">
        <v>1</v>
      </c>
      <c r="C16" s="22">
        <v>1</v>
      </c>
      <c r="D16" s="21">
        <v>2</v>
      </c>
      <c r="E16" s="21"/>
      <c r="F16" s="22"/>
      <c r="G16" s="21"/>
      <c r="H16" s="23">
        <v>2</v>
      </c>
    </row>
    <row r="17" spans="1:8" ht="15" customHeight="1" x14ac:dyDescent="0.25">
      <c r="A17" s="20" t="s">
        <v>15</v>
      </c>
      <c r="B17" s="21">
        <v>1</v>
      </c>
      <c r="C17" s="22">
        <v>1</v>
      </c>
      <c r="D17" s="21">
        <v>2</v>
      </c>
      <c r="E17" s="21"/>
      <c r="F17" s="22">
        <v>1</v>
      </c>
      <c r="G17" s="21">
        <v>1</v>
      </c>
      <c r="H17" s="23">
        <v>3</v>
      </c>
    </row>
    <row r="18" spans="1:8" ht="15" customHeight="1" x14ac:dyDescent="0.25">
      <c r="A18" s="20" t="s">
        <v>16</v>
      </c>
      <c r="B18" s="21">
        <v>1</v>
      </c>
      <c r="C18" s="22">
        <v>7</v>
      </c>
      <c r="D18" s="21">
        <v>8</v>
      </c>
      <c r="E18" s="21"/>
      <c r="F18" s="22"/>
      <c r="G18" s="21"/>
      <c r="H18" s="23">
        <v>8</v>
      </c>
    </row>
    <row r="19" spans="1:8" ht="15" customHeight="1" x14ac:dyDescent="0.25">
      <c r="A19" s="20" t="s">
        <v>17</v>
      </c>
      <c r="B19" s="21">
        <v>10</v>
      </c>
      <c r="C19" s="22">
        <v>68</v>
      </c>
      <c r="D19" s="21">
        <v>78</v>
      </c>
      <c r="E19" s="21"/>
      <c r="F19" s="22"/>
      <c r="G19" s="21"/>
      <c r="H19" s="23">
        <v>78</v>
      </c>
    </row>
    <row r="20" spans="1:8" ht="15" customHeight="1" x14ac:dyDescent="0.25">
      <c r="A20" s="20" t="s">
        <v>18</v>
      </c>
      <c r="B20" s="21"/>
      <c r="C20" s="22">
        <v>1</v>
      </c>
      <c r="D20" s="21">
        <v>1</v>
      </c>
      <c r="E20" s="21"/>
      <c r="F20" s="22"/>
      <c r="G20" s="21"/>
      <c r="H20" s="23">
        <v>1</v>
      </c>
    </row>
    <row r="21" spans="1:8" ht="15" customHeight="1" x14ac:dyDescent="0.25">
      <c r="A21" s="20" t="s">
        <v>19</v>
      </c>
      <c r="B21" s="21"/>
      <c r="C21" s="22">
        <v>5</v>
      </c>
      <c r="D21" s="21">
        <v>5</v>
      </c>
      <c r="E21" s="21"/>
      <c r="F21" s="22"/>
      <c r="G21" s="21"/>
      <c r="H21" s="23">
        <v>5</v>
      </c>
    </row>
    <row r="22" spans="1:8" ht="15" customHeight="1" x14ac:dyDescent="0.25">
      <c r="A22" s="20" t="s">
        <v>20</v>
      </c>
      <c r="B22" s="21"/>
      <c r="C22" s="22">
        <v>1</v>
      </c>
      <c r="D22" s="21">
        <v>1</v>
      </c>
      <c r="E22" s="21"/>
      <c r="F22" s="22"/>
      <c r="G22" s="21"/>
      <c r="H22" s="23">
        <v>1</v>
      </c>
    </row>
    <row r="23" spans="1:8" ht="15" customHeight="1" x14ac:dyDescent="0.25">
      <c r="A23" s="20" t="s">
        <v>21</v>
      </c>
      <c r="B23" s="21"/>
      <c r="C23" s="22">
        <v>1</v>
      </c>
      <c r="D23" s="21">
        <v>1</v>
      </c>
      <c r="E23" s="21"/>
      <c r="F23" s="22"/>
      <c r="G23" s="21"/>
      <c r="H23" s="23">
        <v>1</v>
      </c>
    </row>
    <row r="24" spans="1:8" ht="15" customHeight="1" x14ac:dyDescent="0.25">
      <c r="A24" s="20" t="s">
        <v>22</v>
      </c>
      <c r="B24" s="21"/>
      <c r="C24" s="22">
        <v>2</v>
      </c>
      <c r="D24" s="21">
        <v>2</v>
      </c>
      <c r="E24" s="21"/>
      <c r="F24" s="22"/>
      <c r="G24" s="21"/>
      <c r="H24" s="23">
        <v>2</v>
      </c>
    </row>
    <row r="25" spans="1:8" ht="15" customHeight="1" x14ac:dyDescent="0.25">
      <c r="A25" s="20" t="s">
        <v>23</v>
      </c>
      <c r="B25" s="21">
        <v>1</v>
      </c>
      <c r="C25" s="22">
        <v>2</v>
      </c>
      <c r="D25" s="21">
        <v>3</v>
      </c>
      <c r="E25" s="21">
        <v>2</v>
      </c>
      <c r="F25" s="22">
        <v>1</v>
      </c>
      <c r="G25" s="21">
        <v>3</v>
      </c>
      <c r="H25" s="23">
        <v>6</v>
      </c>
    </row>
    <row r="26" spans="1:8" ht="15" customHeight="1" x14ac:dyDescent="0.25">
      <c r="A26" s="20" t="s">
        <v>24</v>
      </c>
      <c r="B26" s="21"/>
      <c r="C26" s="22">
        <v>1</v>
      </c>
      <c r="D26" s="21">
        <v>1</v>
      </c>
      <c r="E26" s="21"/>
      <c r="F26" s="22"/>
      <c r="G26" s="21"/>
      <c r="H26" s="23">
        <v>1</v>
      </c>
    </row>
    <row r="27" spans="1:8" ht="15" customHeight="1" x14ac:dyDescent="0.25">
      <c r="A27" s="20" t="s">
        <v>25</v>
      </c>
      <c r="B27" s="21">
        <v>5</v>
      </c>
      <c r="C27" s="22">
        <v>25</v>
      </c>
      <c r="D27" s="21">
        <v>30</v>
      </c>
      <c r="E27" s="21"/>
      <c r="F27" s="22"/>
      <c r="G27" s="21"/>
      <c r="H27" s="23">
        <v>30</v>
      </c>
    </row>
    <row r="28" spans="1:8" ht="15" customHeight="1" x14ac:dyDescent="0.25">
      <c r="A28" s="20" t="s">
        <v>26</v>
      </c>
      <c r="B28" s="21">
        <v>1</v>
      </c>
      <c r="C28" s="22"/>
      <c r="D28" s="21">
        <v>1</v>
      </c>
      <c r="E28" s="21"/>
      <c r="F28" s="22"/>
      <c r="G28" s="21"/>
      <c r="H28" s="23">
        <v>1</v>
      </c>
    </row>
    <row r="29" spans="1:8" ht="15" customHeight="1" x14ac:dyDescent="0.25">
      <c r="A29" s="20" t="s">
        <v>27</v>
      </c>
      <c r="B29" s="21">
        <v>8</v>
      </c>
      <c r="C29" s="22">
        <v>1</v>
      </c>
      <c r="D29" s="21">
        <v>9</v>
      </c>
      <c r="E29" s="21"/>
      <c r="F29" s="22"/>
      <c r="G29" s="21"/>
      <c r="H29" s="23">
        <v>9</v>
      </c>
    </row>
    <row r="30" spans="1:8" ht="15" customHeight="1" x14ac:dyDescent="0.25">
      <c r="A30" s="20" t="s">
        <v>28</v>
      </c>
      <c r="B30" s="21"/>
      <c r="C30" s="22">
        <v>2</v>
      </c>
      <c r="D30" s="21">
        <v>2</v>
      </c>
      <c r="E30" s="21"/>
      <c r="F30" s="22"/>
      <c r="G30" s="21"/>
      <c r="H30" s="23">
        <v>2</v>
      </c>
    </row>
    <row r="31" spans="1:8" ht="15" customHeight="1" x14ac:dyDescent="0.25">
      <c r="A31" s="20" t="s">
        <v>29</v>
      </c>
      <c r="B31" s="21">
        <v>7</v>
      </c>
      <c r="C31" s="22">
        <v>6</v>
      </c>
      <c r="D31" s="21">
        <v>13</v>
      </c>
      <c r="E31" s="21"/>
      <c r="F31" s="22"/>
      <c r="G31" s="21"/>
      <c r="H31" s="23">
        <v>13</v>
      </c>
    </row>
    <row r="32" spans="1:8" ht="15" customHeight="1" x14ac:dyDescent="0.25">
      <c r="A32" s="20" t="s">
        <v>30</v>
      </c>
      <c r="B32" s="21"/>
      <c r="C32" s="22">
        <v>8</v>
      </c>
      <c r="D32" s="21">
        <v>8</v>
      </c>
      <c r="E32" s="21"/>
      <c r="F32" s="22"/>
      <c r="G32" s="21"/>
      <c r="H32" s="23">
        <v>8</v>
      </c>
    </row>
    <row r="33" spans="1:8" ht="15" customHeight="1" x14ac:dyDescent="0.25">
      <c r="A33" s="20" t="s">
        <v>31</v>
      </c>
      <c r="B33" s="21">
        <v>8</v>
      </c>
      <c r="C33" s="22">
        <v>69</v>
      </c>
      <c r="D33" s="21">
        <v>77</v>
      </c>
      <c r="E33" s="21"/>
      <c r="F33" s="22"/>
      <c r="G33" s="21"/>
      <c r="H33" s="23">
        <v>77</v>
      </c>
    </row>
    <row r="34" spans="1:8" ht="15" customHeight="1" x14ac:dyDescent="0.25">
      <c r="A34" s="20" t="s">
        <v>32</v>
      </c>
      <c r="B34" s="21">
        <v>1</v>
      </c>
      <c r="C34" s="22">
        <v>1</v>
      </c>
      <c r="D34" s="21">
        <v>2</v>
      </c>
      <c r="E34" s="21">
        <v>1</v>
      </c>
      <c r="F34" s="22"/>
      <c r="G34" s="21">
        <v>1</v>
      </c>
      <c r="H34" s="23">
        <v>3</v>
      </c>
    </row>
    <row r="35" spans="1:8" ht="15" customHeight="1" x14ac:dyDescent="0.25">
      <c r="A35" s="20" t="s">
        <v>33</v>
      </c>
      <c r="B35" s="21">
        <v>15</v>
      </c>
      <c r="C35" s="22">
        <v>6</v>
      </c>
      <c r="D35" s="21">
        <v>21</v>
      </c>
      <c r="E35" s="21"/>
      <c r="F35" s="22">
        <v>1</v>
      </c>
      <c r="G35" s="21">
        <v>1</v>
      </c>
      <c r="H35" s="23">
        <v>22</v>
      </c>
    </row>
    <row r="36" spans="1:8" ht="15" customHeight="1" x14ac:dyDescent="0.25">
      <c r="A36" s="20" t="s">
        <v>34</v>
      </c>
      <c r="B36" s="21"/>
      <c r="C36" s="22">
        <v>1</v>
      </c>
      <c r="D36" s="21">
        <v>1</v>
      </c>
      <c r="E36" s="21"/>
      <c r="F36" s="22"/>
      <c r="G36" s="21"/>
      <c r="H36" s="23">
        <v>1</v>
      </c>
    </row>
    <row r="37" spans="1:8" ht="15" customHeight="1" x14ac:dyDescent="0.25">
      <c r="A37" s="20" t="s">
        <v>35</v>
      </c>
      <c r="B37" s="21">
        <v>1</v>
      </c>
      <c r="C37" s="22">
        <v>10</v>
      </c>
      <c r="D37" s="21">
        <v>11</v>
      </c>
      <c r="E37" s="21"/>
      <c r="F37" s="22"/>
      <c r="G37" s="21"/>
      <c r="H37" s="23">
        <v>11</v>
      </c>
    </row>
    <row r="38" spans="1:8" ht="15" customHeight="1" x14ac:dyDescent="0.25">
      <c r="A38" s="24" t="s">
        <v>202</v>
      </c>
      <c r="B38" s="25">
        <v>98</v>
      </c>
      <c r="C38" s="26">
        <v>246</v>
      </c>
      <c r="D38" s="25">
        <v>344</v>
      </c>
      <c r="E38" s="25">
        <v>5</v>
      </c>
      <c r="F38" s="26">
        <v>3</v>
      </c>
      <c r="G38" s="25">
        <v>8</v>
      </c>
      <c r="H38" s="27">
        <v>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workbookViewId="0"/>
  </sheetViews>
  <sheetFormatPr defaultColWidth="14.42578125" defaultRowHeight="15" customHeight="1" x14ac:dyDescent="0.25"/>
  <cols>
    <col min="1" max="1" width="21.85546875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2" t="s">
        <v>2</v>
      </c>
      <c r="B2" s="2">
        <v>1</v>
      </c>
    </row>
    <row r="3" spans="1:2" ht="15" customHeight="1" x14ac:dyDescent="0.25">
      <c r="A3" s="3" t="s">
        <v>3</v>
      </c>
      <c r="B3" s="3">
        <v>3</v>
      </c>
    </row>
    <row r="4" spans="1:2" ht="15" customHeight="1" x14ac:dyDescent="0.25">
      <c r="A4" s="3" t="s">
        <v>4</v>
      </c>
      <c r="B4" s="3">
        <v>3</v>
      </c>
    </row>
    <row r="5" spans="1:2" ht="15" customHeight="1" x14ac:dyDescent="0.25">
      <c r="A5" s="3" t="s">
        <v>5</v>
      </c>
      <c r="B5" s="3">
        <v>1</v>
      </c>
    </row>
    <row r="6" spans="1:2" ht="15" customHeight="1" x14ac:dyDescent="0.25">
      <c r="A6" s="3" t="s">
        <v>6</v>
      </c>
      <c r="B6" s="3">
        <v>3</v>
      </c>
    </row>
    <row r="7" spans="1:2" ht="15" customHeight="1" x14ac:dyDescent="0.25">
      <c r="A7" s="3" t="s">
        <v>7</v>
      </c>
      <c r="B7" s="3">
        <v>17</v>
      </c>
    </row>
    <row r="8" spans="1:2" ht="15" customHeight="1" x14ac:dyDescent="0.25">
      <c r="A8" s="3" t="s">
        <v>8</v>
      </c>
      <c r="B8" s="3">
        <v>5</v>
      </c>
    </row>
    <row r="9" spans="1:2" ht="15" customHeight="1" x14ac:dyDescent="0.25">
      <c r="A9" s="3" t="s">
        <v>9</v>
      </c>
      <c r="B9" s="3">
        <v>1</v>
      </c>
    </row>
    <row r="10" spans="1:2" ht="15" customHeight="1" x14ac:dyDescent="0.25">
      <c r="A10" s="3" t="s">
        <v>10</v>
      </c>
      <c r="B10" s="3">
        <v>1</v>
      </c>
    </row>
    <row r="11" spans="1:2" ht="15" customHeight="1" x14ac:dyDescent="0.25">
      <c r="A11" s="3" t="s">
        <v>11</v>
      </c>
      <c r="B11" s="3">
        <v>5</v>
      </c>
    </row>
    <row r="12" spans="1:2" ht="15" customHeight="1" x14ac:dyDescent="0.25">
      <c r="A12" s="3" t="s">
        <v>12</v>
      </c>
      <c r="B12" s="3">
        <v>10</v>
      </c>
    </row>
    <row r="13" spans="1:2" ht="15" customHeight="1" x14ac:dyDescent="0.25">
      <c r="A13" s="3" t="s">
        <v>13</v>
      </c>
      <c r="B13" s="3">
        <v>15</v>
      </c>
    </row>
    <row r="14" spans="1:2" ht="15" customHeight="1" x14ac:dyDescent="0.25">
      <c r="A14" s="3" t="s">
        <v>14</v>
      </c>
      <c r="B14" s="3">
        <v>2</v>
      </c>
    </row>
    <row r="15" spans="1:2" ht="15" customHeight="1" x14ac:dyDescent="0.25">
      <c r="A15" s="3" t="s">
        <v>15</v>
      </c>
      <c r="B15" s="3">
        <v>2</v>
      </c>
    </row>
    <row r="16" spans="1:2" ht="15" customHeight="1" x14ac:dyDescent="0.25">
      <c r="A16" s="3" t="s">
        <v>16</v>
      </c>
      <c r="B16" s="3">
        <v>8</v>
      </c>
    </row>
    <row r="17" spans="1:2" ht="15" customHeight="1" x14ac:dyDescent="0.25">
      <c r="A17" s="3" t="s">
        <v>17</v>
      </c>
      <c r="B17" s="3">
        <v>78</v>
      </c>
    </row>
    <row r="18" spans="1:2" ht="15" customHeight="1" x14ac:dyDescent="0.25">
      <c r="A18" s="3" t="s">
        <v>18</v>
      </c>
      <c r="B18" s="3">
        <v>1</v>
      </c>
    </row>
    <row r="19" spans="1:2" ht="15" customHeight="1" x14ac:dyDescent="0.25">
      <c r="A19" s="3" t="s">
        <v>19</v>
      </c>
      <c r="B19" s="3">
        <v>5</v>
      </c>
    </row>
    <row r="20" spans="1:2" ht="15" customHeight="1" x14ac:dyDescent="0.25">
      <c r="A20" s="3" t="s">
        <v>20</v>
      </c>
      <c r="B20" s="3">
        <v>1</v>
      </c>
    </row>
    <row r="21" spans="1:2" ht="15" customHeight="1" x14ac:dyDescent="0.25">
      <c r="A21" s="3" t="s">
        <v>21</v>
      </c>
      <c r="B21" s="3">
        <v>1</v>
      </c>
    </row>
    <row r="22" spans="1:2" ht="15" customHeight="1" x14ac:dyDescent="0.25">
      <c r="A22" s="3" t="s">
        <v>22</v>
      </c>
      <c r="B22" s="3">
        <v>2</v>
      </c>
    </row>
    <row r="23" spans="1:2" ht="15" customHeight="1" x14ac:dyDescent="0.25">
      <c r="A23" s="3" t="s">
        <v>23</v>
      </c>
      <c r="B23" s="3">
        <v>3</v>
      </c>
    </row>
    <row r="24" spans="1:2" ht="15" customHeight="1" x14ac:dyDescent="0.25">
      <c r="A24" s="3" t="s">
        <v>24</v>
      </c>
      <c r="B24" s="3">
        <v>1</v>
      </c>
    </row>
    <row r="25" spans="1:2" ht="15" customHeight="1" x14ac:dyDescent="0.25">
      <c r="A25" s="3" t="s">
        <v>25</v>
      </c>
      <c r="B25" s="3">
        <v>30</v>
      </c>
    </row>
    <row r="26" spans="1:2" ht="15" customHeight="1" x14ac:dyDescent="0.25">
      <c r="A26" s="3" t="s">
        <v>26</v>
      </c>
      <c r="B26" s="3">
        <v>1</v>
      </c>
    </row>
    <row r="27" spans="1:2" ht="15" customHeight="1" x14ac:dyDescent="0.25">
      <c r="A27" s="3" t="s">
        <v>27</v>
      </c>
      <c r="B27" s="3">
        <v>9</v>
      </c>
    </row>
    <row r="28" spans="1:2" ht="15" customHeight="1" x14ac:dyDescent="0.25">
      <c r="A28" s="3" t="s">
        <v>28</v>
      </c>
      <c r="B28" s="3">
        <v>2</v>
      </c>
    </row>
    <row r="29" spans="1:2" ht="15" customHeight="1" x14ac:dyDescent="0.25">
      <c r="A29" s="3" t="s">
        <v>29</v>
      </c>
      <c r="B29" s="3">
        <v>13</v>
      </c>
    </row>
    <row r="30" spans="1:2" ht="15" customHeight="1" x14ac:dyDescent="0.25">
      <c r="A30" s="3" t="s">
        <v>30</v>
      </c>
      <c r="B30" s="3">
        <v>8</v>
      </c>
    </row>
    <row r="31" spans="1:2" ht="15" customHeight="1" x14ac:dyDescent="0.25">
      <c r="A31" s="3" t="s">
        <v>31</v>
      </c>
      <c r="B31" s="3">
        <v>77</v>
      </c>
    </row>
    <row r="32" spans="1:2" ht="15" customHeight="1" x14ac:dyDescent="0.25">
      <c r="A32" s="3" t="s">
        <v>32</v>
      </c>
      <c r="B32" s="3">
        <v>2</v>
      </c>
    </row>
    <row r="33" spans="1:2" ht="15" customHeight="1" x14ac:dyDescent="0.25">
      <c r="A33" s="3" t="s">
        <v>33</v>
      </c>
      <c r="B33" s="3">
        <v>21</v>
      </c>
    </row>
    <row r="34" spans="1:2" ht="15" customHeight="1" x14ac:dyDescent="0.25">
      <c r="A34" s="3" t="s">
        <v>34</v>
      </c>
      <c r="B34" s="3">
        <v>1</v>
      </c>
    </row>
    <row r="35" spans="1:2" ht="15" customHeight="1" x14ac:dyDescent="0.25">
      <c r="A35" s="3" t="s">
        <v>35</v>
      </c>
      <c r="B35" s="3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"/>
  <sheetViews>
    <sheetView workbookViewId="0"/>
  </sheetViews>
  <sheetFormatPr defaultColWidth="14.42578125" defaultRowHeight="15" customHeight="1" x14ac:dyDescent="0.25"/>
  <sheetData>
    <row r="1" spans="1:20" ht="15" customHeight="1" x14ac:dyDescent="0.25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5" t="s">
        <v>57</v>
      </c>
      <c r="R1" s="5" t="s">
        <v>60</v>
      </c>
      <c r="S1" s="5" t="s">
        <v>61</v>
      </c>
      <c r="T1" s="5" t="s">
        <v>62</v>
      </c>
    </row>
    <row r="2" spans="1:20" ht="15" customHeight="1" x14ac:dyDescent="0.25">
      <c r="A2" s="6">
        <v>45</v>
      </c>
      <c r="B2" s="6">
        <v>0</v>
      </c>
      <c r="C2" s="7" t="s">
        <v>144</v>
      </c>
      <c r="D2" s="7" t="s">
        <v>120</v>
      </c>
      <c r="E2" s="7"/>
      <c r="F2" s="7" t="s">
        <v>120</v>
      </c>
      <c r="G2" s="7" t="s">
        <v>66</v>
      </c>
      <c r="H2" s="8">
        <v>43088.653437499997</v>
      </c>
      <c r="I2" s="6">
        <v>730</v>
      </c>
      <c r="J2" s="7"/>
      <c r="K2" s="6">
        <v>5</v>
      </c>
      <c r="L2" s="7"/>
      <c r="M2" s="7"/>
      <c r="N2" s="7"/>
      <c r="O2" s="7"/>
      <c r="P2" s="7"/>
      <c r="Q2" s="7"/>
      <c r="R2" s="7" t="s">
        <v>152</v>
      </c>
      <c r="S2" s="6">
        <v>-119.874080216385</v>
      </c>
      <c r="T2" s="6">
        <v>34.417524316929303</v>
      </c>
    </row>
    <row r="3" spans="1:20" ht="15" customHeight="1" x14ac:dyDescent="0.25">
      <c r="A3" s="7"/>
      <c r="B3" s="7"/>
      <c r="C3" s="7"/>
      <c r="D3" s="7"/>
      <c r="E3" s="7"/>
      <c r="F3" s="7"/>
      <c r="G3" s="7"/>
      <c r="H3" s="7"/>
      <c r="I3" s="7"/>
      <c r="J3" s="6">
        <v>940</v>
      </c>
      <c r="K3" s="7"/>
      <c r="L3" s="6">
        <v>60</v>
      </c>
      <c r="M3" s="6">
        <v>0</v>
      </c>
      <c r="N3" s="7" t="s">
        <v>144</v>
      </c>
      <c r="O3" s="7" t="s">
        <v>157</v>
      </c>
      <c r="P3" s="7" t="s">
        <v>159</v>
      </c>
      <c r="Q3" s="7" t="s">
        <v>120</v>
      </c>
      <c r="R3" s="7" t="s">
        <v>160</v>
      </c>
      <c r="S3" s="6">
        <v>-119.883970417033</v>
      </c>
      <c r="T3" s="6">
        <v>34.421594016638103</v>
      </c>
    </row>
    <row r="4" spans="1:20" ht="15" customHeight="1" x14ac:dyDescent="0.25">
      <c r="A4">
        <v>50</v>
      </c>
      <c r="B4">
        <v>0</v>
      </c>
      <c r="D4" t="s">
        <v>120</v>
      </c>
      <c r="F4" t="s">
        <v>120</v>
      </c>
      <c r="G4" t="s">
        <v>71</v>
      </c>
      <c r="H4" s="4">
        <v>43088.654201388897</v>
      </c>
      <c r="R4" t="s">
        <v>121</v>
      </c>
      <c r="S4">
        <v>-119.874209908857</v>
      </c>
      <c r="T4">
        <v>34.417984379289699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Bird_Observations_Raw</vt:lpstr>
      <vt:lpstr>Pivot Table 1</vt:lpstr>
      <vt:lpstr>Total_Count</vt:lpstr>
      <vt:lpstr>Survey_Metadata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modified xsi:type="dcterms:W3CDTF">2021-03-23T23:36:51Z</dcterms:modified>
</cp:coreProperties>
</file>