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55C1E182-B79F-4F27-B8EB-4EB00A729E8D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2" r:id="rId1"/>
    <sheet name="NCOS_Bird_Observations_20190419" sheetId="1" r:id="rId2"/>
    <sheet name="Pivot Table" sheetId="3" r:id="rId3"/>
  </sheets>
  <definedNames>
    <definedName name="_xlnm._FilterDatabase" localSheetId="1" hidden="1">NCOS_Bird_Observations_20190419!$A$1:$AF$120</definedName>
  </definedName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" l="1"/>
  <c r="C57" i="1"/>
  <c r="C89" i="1"/>
  <c r="C58" i="1"/>
  <c r="C36" i="1"/>
  <c r="C83" i="1"/>
  <c r="C3" i="1"/>
  <c r="C50" i="1"/>
  <c r="C106" i="1"/>
  <c r="C27" i="1"/>
  <c r="C118" i="1"/>
  <c r="C23" i="1"/>
  <c r="C67" i="1"/>
  <c r="C107" i="1"/>
  <c r="C68" i="1"/>
  <c r="C19" i="1"/>
  <c r="C108" i="1"/>
  <c r="C103" i="1"/>
  <c r="C39" i="1"/>
  <c r="C9" i="1"/>
  <c r="C48" i="1"/>
  <c r="C24" i="1"/>
  <c r="C37" i="1"/>
  <c r="C20" i="1"/>
  <c r="C95" i="1"/>
  <c r="C45" i="1"/>
  <c r="C38" i="1"/>
  <c r="C84" i="1"/>
  <c r="C119" i="1"/>
  <c r="C117" i="1"/>
  <c r="C109" i="1"/>
  <c r="C110" i="1"/>
  <c r="C4" i="1"/>
  <c r="C90" i="1"/>
  <c r="C52" i="1"/>
  <c r="C21" i="1"/>
  <c r="C59" i="1"/>
  <c r="C111" i="1"/>
  <c r="C22" i="1"/>
  <c r="C5" i="1"/>
  <c r="C69" i="1"/>
  <c r="C80" i="1"/>
  <c r="C10" i="1"/>
  <c r="C112" i="1"/>
  <c r="C60" i="1"/>
  <c r="C61" i="1"/>
  <c r="C62" i="1"/>
  <c r="C85" i="1"/>
  <c r="C86" i="1"/>
  <c r="C6" i="1"/>
  <c r="C28" i="1"/>
  <c r="C42" i="1"/>
  <c r="C113" i="1"/>
  <c r="C96" i="1"/>
  <c r="C63" i="1"/>
  <c r="C43" i="1"/>
  <c r="C51" i="1"/>
  <c r="C46" i="1"/>
  <c r="C14" i="1"/>
  <c r="C29" i="1"/>
  <c r="C97" i="1"/>
  <c r="C35" i="1"/>
  <c r="C100" i="1"/>
  <c r="C70" i="1"/>
  <c r="C30" i="1"/>
  <c r="C31" i="1"/>
  <c r="C66" i="1"/>
  <c r="C15" i="1"/>
  <c r="C25" i="1"/>
  <c r="C16" i="1"/>
  <c r="C71" i="1"/>
  <c r="C72" i="1"/>
  <c r="C13" i="1"/>
  <c r="C104" i="1"/>
  <c r="C11" i="1"/>
  <c r="C101" i="1"/>
  <c r="C73" i="1"/>
  <c r="C120" i="1"/>
  <c r="C17" i="1"/>
  <c r="C32" i="1"/>
  <c r="C114" i="1"/>
  <c r="C53" i="1"/>
  <c r="C55" i="1"/>
  <c r="C74" i="1"/>
  <c r="C44" i="1"/>
  <c r="C98" i="1"/>
  <c r="C99" i="1"/>
  <c r="C65" i="1"/>
  <c r="C75" i="1"/>
  <c r="C78" i="1"/>
  <c r="C33" i="1"/>
  <c r="C18" i="1"/>
  <c r="C79" i="1"/>
  <c r="C105" i="1"/>
  <c r="C76" i="1"/>
  <c r="C34" i="1"/>
  <c r="C88" i="1"/>
  <c r="C12" i="1"/>
  <c r="C115" i="1"/>
  <c r="C26" i="1"/>
  <c r="C94" i="1"/>
  <c r="C102" i="1"/>
  <c r="C91" i="1"/>
  <c r="C92" i="1"/>
  <c r="C81" i="1"/>
  <c r="C2" i="1"/>
  <c r="C82" i="1"/>
  <c r="C93" i="1"/>
  <c r="C49" i="1"/>
  <c r="C116" i="1"/>
  <c r="C64" i="1"/>
  <c r="C40" i="1"/>
  <c r="C87" i="1"/>
  <c r="C7" i="1"/>
  <c r="C47" i="1"/>
  <c r="C56" i="1"/>
  <c r="C77" i="1"/>
  <c r="C41" i="1"/>
  <c r="C8" i="1"/>
</calcChain>
</file>

<file path=xl/sharedStrings.xml><?xml version="1.0" encoding="utf-8"?>
<sst xmlns="http://schemas.openxmlformats.org/spreadsheetml/2006/main" count="966" uniqueCount="242">
  <si>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</si>
  <si>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</si>
  <si>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</si>
  <si>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</si>
  <si>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</si>
  <si>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</si>
  <si>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</si>
  <si>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</si>
  <si>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</si>
  <si>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</si>
  <si>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</si>
  <si>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</si>
  <si>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</si>
  <si>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</si>
  <si>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</si>
  <si>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</si>
  <si>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</si>
  <si>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</si>
  <si>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</si>
  <si>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</si>
  <si>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</si>
  <si>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</si>
  <si>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</si>
  <si>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</si>
  <si>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</si>
  <si>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</si>
  <si>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</si>
  <si>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</si>
  <si>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</si>
  <si>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</si>
  <si>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Crow</t>
  </si>
  <si>
    <t>No</t>
  </si>
  <si>
    <t>Fence</t>
  </si>
  <si>
    <t>705</t>
  </si>
  <si>
    <t>Low</t>
  </si>
  <si>
    <t>Light</t>
  </si>
  <si>
    <t>{4040e1e0-bfbf-495d-afd6-b122a4f6cf9b}</t>
  </si>
  <si>
    <t>ccber_user</t>
  </si>
  <si>
    <t>Greater Yellowlegs</t>
  </si>
  <si>
    <t>Mud</t>
  </si>
  <si>
    <t>{1294600d-eba2-4d86-95be-c14af77de318}</t>
  </si>
  <si>
    <t>House Finch</t>
  </si>
  <si>
    <t>{d5ff3368-9577-4156-8b29-b65a188d0ef6}</t>
  </si>
  <si>
    <t>Northern Mockingbird</t>
  </si>
  <si>
    <t>Vegetation - Tree</t>
  </si>
  <si>
    <t>{f2fd0dbf-1ef3-4a2d-821f-89bd05aef481}</t>
  </si>
  <si>
    <t>{41bdfce6-bdd4-42c3-930c-19cef17df757}</t>
  </si>
  <si>
    <t>Cassin's Kingbird</t>
  </si>
  <si>
    <t>{3542d9f6-73f4-4073-b669-e3d283adcd2f}</t>
  </si>
  <si>
    <t>Mallard</t>
  </si>
  <si>
    <t>{df92980f-8c28-471d-9128-2e60ad617ce3}</t>
  </si>
  <si>
    <t>American Coot</t>
  </si>
  <si>
    <t>{653e5b43-6db7-4008-8240-32b339881e11}</t>
  </si>
  <si>
    <t>Great Blue Heron</t>
  </si>
  <si>
    <t>Vegetation - Herbaceous</t>
  </si>
  <si>
    <t>{2682f5d8-b90d-4da8-8e22-ce688405afc1}</t>
  </si>
  <si>
    <t>Song Sparrow</t>
  </si>
  <si>
    <t>Vegetation - Shrub</t>
  </si>
  <si>
    <t>{b783444c-d9ef-46b8-9d48-0ea767d4eb04}</t>
  </si>
  <si>
    <t>California Gull</t>
  </si>
  <si>
    <t>{e175a4c4-a231-4e7a-95c4-49e21964b957}</t>
  </si>
  <si>
    <t>Western Gull</t>
  </si>
  <si>
    <t>{e8c205d4-5ba7-4ef3-bf39-9e0d9b4adc85}</t>
  </si>
  <si>
    <t>Black-necked Stilt</t>
  </si>
  <si>
    <t>Water - Wading</t>
  </si>
  <si>
    <t>{dd3cdbd0-f550-4f8f-83fc-2747bb382089}</t>
  </si>
  <si>
    <t>Killdeer</t>
  </si>
  <si>
    <t>{0c1ab9cf-2f1c-438b-b309-444fd01f9c8a}</t>
  </si>
  <si>
    <t>{3f8e7779-f9e3-4eb5-9072-a2657721dd96}</t>
  </si>
  <si>
    <t>{27e241a3-715b-4a24-a09a-531b114f4825}</t>
  </si>
  <si>
    <t>Black Phoebe</t>
  </si>
  <si>
    <t>{4f3b95fa-c4c4-4c01-9ac8-56e9c39f50e4}</t>
  </si>
  <si>
    <t>{b9a0eddc-070f-4f06-94f9-f994fc93e61a}</t>
  </si>
  <si>
    <t>Snowy Egret</t>
  </si>
  <si>
    <t>{fd050c1a-ddcf-41fc-ae3e-9e03071049b2}</t>
  </si>
  <si>
    <t>Cinnamon Teal</t>
  </si>
  <si>
    <t>Water - Floating</t>
  </si>
  <si>
    <t>M</t>
  </si>
  <si>
    <t>{fb57aa09-c72b-4ce5-89d6-8eeb529df4a0}</t>
  </si>
  <si>
    <t>Bare ground</t>
  </si>
  <si>
    <t>{41053337-8a17-446c-ae17-3420ecc55739}</t>
  </si>
  <si>
    <t>European Starling</t>
  </si>
  <si>
    <t>{b3772649-9370-4e32-8e1c-e2c44feca2ab}</t>
  </si>
  <si>
    <t>Bushtit</t>
  </si>
  <si>
    <t>{d5d01053-fad7-4dd3-8ea7-d82cfe37f172}</t>
  </si>
  <si>
    <t>Yes</t>
  </si>
  <si>
    <t>{5736126e-4c38-487e-8f2c-c2c0a14af6e7}</t>
  </si>
  <si>
    <t>{41e3f63e-b75f-4fc1-92c2-5000e4d4ca3d}</t>
  </si>
  <si>
    <t>Rock Pigeon (Feral Pigeon)</t>
  </si>
  <si>
    <t>Flyover</t>
  </si>
  <si>
    <t>{b0a21ec7-e7c6-4cd3-b59d-b4da1899a4df}</t>
  </si>
  <si>
    <t>Cooper's Hawk</t>
  </si>
  <si>
    <t>{cb15d2dc-b299-41aa-8f4d-926a1b09e543}</t>
  </si>
  <si>
    <t>{3589831e-8c43-4152-b133-a784f06a9b2a}</t>
  </si>
  <si>
    <t>{77d717ff-557d-489f-a92d-6f8d34597009}</t>
  </si>
  <si>
    <t>{58048ab1-39a5-4f61-bf3f-c6152460b646}</t>
  </si>
  <si>
    <t>Sora</t>
  </si>
  <si>
    <t>{75cfe11a-c0a0-4017-897f-bc26bee04c8c}</t>
  </si>
  <si>
    <t>{d390a490-7198-4276-95f3-11b077d3b3eb}</t>
  </si>
  <si>
    <t>{fb6bcd64-d785-4fbf-89b9-99459e509c33}</t>
  </si>
  <si>
    <t>{58cd8b9a-b92b-47c5-a2a5-9ebe67f2a646}</t>
  </si>
  <si>
    <t>{7c35f69e-b3aa-4cca-8d5c-de6970291a5d}</t>
  </si>
  <si>
    <t>Great Egret</t>
  </si>
  <si>
    <t>{3ea35960-14d4-46d9-9568-6dfa568df865}</t>
  </si>
  <si>
    <t>{885b6df6-8a31-4526-902a-795eebd52001}</t>
  </si>
  <si>
    <t>{d6e4b958-473f-4ec8-8e56-ef66b0ebfa63}</t>
  </si>
  <si>
    <t>{ba8b8446-0926-491d-817a-4f13c16f181f}</t>
  </si>
  <si>
    <t>{4bfb000d-6e45-416a-aedd-4846509788f2}</t>
  </si>
  <si>
    <t>{a35fe003-49ba-430e-a291-eb36981dfde1}</t>
  </si>
  <si>
    <t>{6b3f376d-f797-4cf3-969b-c50e63336114}</t>
  </si>
  <si>
    <t>Least Sandpiper</t>
  </si>
  <si>
    <t>{47d90108-5449-42e3-a27e-90d868edaaf6}</t>
  </si>
  <si>
    <t>{82afa223-2bcb-4d24-9993-2ab5a8bfdf3e}</t>
  </si>
  <si>
    <t>{d4c34dc6-8ade-4ae7-b9f5-0fcabd5fa6d6}</t>
  </si>
  <si>
    <t>Building</t>
  </si>
  <si>
    <t>Carrying Nest Material</t>
  </si>
  <si>
    <t>{2b279158-7076-4816-8b6b-537ec18805c0}</t>
  </si>
  <si>
    <t>{63a5de43-6628-41bb-ae50-94c8426e9d02}</t>
  </si>
  <si>
    <t>{8a24af7a-b620-44db-ae08-1e229d7b6e5d}</t>
  </si>
  <si>
    <t>{62b4ea84-64ec-4bba-afed-2f144eb22ffe}</t>
  </si>
  <si>
    <t>{956b7642-5688-4abd-a91e-af013025f90b}</t>
  </si>
  <si>
    <t>{3b203d1e-6083-4d3c-ade7-1399758901a5}</t>
  </si>
  <si>
    <t>California Towhee</t>
  </si>
  <si>
    <t>{9c67b025-3491-4942-9825-8b8a695bd398}</t>
  </si>
  <si>
    <t>Common Yellowthroat</t>
  </si>
  <si>
    <t>{ea749610-7c4f-4a38-b1b8-5b6d1453ef96}</t>
  </si>
  <si>
    <t>{01622e9f-f57c-4cab-9baf-501872e84d91}</t>
  </si>
  <si>
    <t>{2345e565-be43-4c15-a3af-e9b28411ddd7}</t>
  </si>
  <si>
    <t>{c626b8a0-2f6d-45ea-8026-2ab966cff2d4}</t>
  </si>
  <si>
    <t>{71b99418-901f-40c2-8430-2053ba17732e}</t>
  </si>
  <si>
    <t>{0bc42c73-074b-4261-9eb1-2004d2e642a4}</t>
  </si>
  <si>
    <t>{21885c6d-b333-43e2-8294-1203d89149a4}</t>
  </si>
  <si>
    <t>Anna's Hummingbird</t>
  </si>
  <si>
    <t>{c6f6a74b-68dd-4bb8-93b8-11921f3d8453}</t>
  </si>
  <si>
    <t>{b3838e13-e18d-43d4-8d40-fc08db266e70}</t>
  </si>
  <si>
    <t>Bridge</t>
  </si>
  <si>
    <t>{0fcf9522-1324-4460-a86c-fa1fae358bf0}</t>
  </si>
  <si>
    <t>Canada Goose</t>
  </si>
  <si>
    <t>Other</t>
  </si>
  <si>
    <t>family with two newborn chicks</t>
  </si>
  <si>
    <t>922</t>
  </si>
  <si>
    <t>{8bc4a422-47c9-4bd1-a152-f71157d57ff9}</t>
  </si>
  <si>
    <t>Rock Wren</t>
  </si>
  <si>
    <t>7</t>
  </si>
  <si>
    <t>Fog</t>
  </si>
  <si>
    <t>North</t>
  </si>
  <si>
    <t>{1c7cf5bc-04ab-48a4-9e9c-46bd7fa34e6d}</t>
  </si>
  <si>
    <t>clark@ccber.ucsb.edu_ucsb</t>
  </si>
  <si>
    <t>{817511b0-2ba0-4f4c-b2e3-1ca7e847c089}</t>
  </si>
  <si>
    <t>{adc9c1c8-6ea2-4c2f-8e85-70883e1b6872}</t>
  </si>
  <si>
    <t>{c2f35ba8-698d-4ba5-a528-db889b41fe45}</t>
  </si>
  <si>
    <t>House Wren</t>
  </si>
  <si>
    <t>{37a0e55e-0bbc-48b9-a6e6-a4eea00f639a}</t>
  </si>
  <si>
    <t>{ddf0760d-32ef-4519-a56b-0a8a70681024}</t>
  </si>
  <si>
    <t>{d97aeb6b-5462-44dd-b88a-324096526eb8}</t>
  </si>
  <si>
    <t>{c391641b-486b-4330-8da3-845b6ccefe13}</t>
  </si>
  <si>
    <t>{c9b1586d-650a-436d-b211-e5531c59dd89}</t>
  </si>
  <si>
    <t>{2763f7e7-c1c9-4891-9601-56b5c3917fa8}</t>
  </si>
  <si>
    <t>American Pipit</t>
  </si>
  <si>
    <t>{52401b5d-ef16-40da-a7b2-99b6c14e6242}</t>
  </si>
  <si>
    <t>{91c012a0-5ce6-48ef-bea2-4e7eace661f0}</t>
  </si>
  <si>
    <t>{9de42ab6-9e00-40bf-9c11-7026350bd7f6}</t>
  </si>
  <si>
    <t>Say's Phoebe</t>
  </si>
  <si>
    <t>{739f417f-dcf8-407f-aae7-69a7212d025b}</t>
  </si>
  <si>
    <t>{8ed4edc0-e95e-4b62-89ca-2dd0cab8c4c5}</t>
  </si>
  <si>
    <t>White-crowned Sparrow</t>
  </si>
  <si>
    <t>{3838df2e-34cc-402f-8710-c3dd118852cc}</t>
  </si>
  <si>
    <t>{448ee0cd-e100-4632-91b2-c95d23cc835f}</t>
  </si>
  <si>
    <t>{cc940c6a-6e68-4f57-933d-fd9e582a6610}</t>
  </si>
  <si>
    <t>{62cfa497-b665-43e4-b5da-5fac4fd94f55}</t>
  </si>
  <si>
    <t>{57b5bd35-aa42-4582-94f2-2d6751f522ce}</t>
  </si>
  <si>
    <t>{ec036783-902c-4233-baa8-a4973b990613}</t>
  </si>
  <si>
    <t>{fe907209-0832-4654-827b-8edf2782713c}</t>
  </si>
  <si>
    <t>{8209df3c-db9b-4a7d-ab75-a189044dd042}</t>
  </si>
  <si>
    <t>{f27e70d3-9012-427e-b769-fcffa2f4305b}</t>
  </si>
  <si>
    <t>{3c195052-dd1c-4cf5-a355-1cf977975649}</t>
  </si>
  <si>
    <t>House Sparrow</t>
  </si>
  <si>
    <t>{d2a8616a-2988-4a13-a6eb-de46b647ae7b}</t>
  </si>
  <si>
    <t>{03cabf89-4063-4d8a-844c-9e4583401759}</t>
  </si>
  <si>
    <t>Lark Sparrow</t>
  </si>
  <si>
    <t>{34854a89-dde6-481b-857b-04421c16fc5c}</t>
  </si>
  <si>
    <t>{1a5c411c-ebf9-4506-812c-00708fc31055}</t>
  </si>
  <si>
    <t>{e2c6c5e6-8913-472e-b475-91a75e868afd}</t>
  </si>
  <si>
    <t>Habitat Feature - Snag</t>
  </si>
  <si>
    <t>Copulation</t>
  </si>
  <si>
    <t>{633e1855-445e-4c6a-8aab-b0324b15bfb3}</t>
  </si>
  <si>
    <t>{fc17bd7f-7599-4148-bb84-b4802f65243f}</t>
  </si>
  <si>
    <t>{8d2c7724-0814-4eab-975d-8c412dbe5ce6}</t>
  </si>
  <si>
    <t>{decc9d5c-edd5-4635-b813-48eec4b2a067}</t>
  </si>
  <si>
    <t>Mourning Dove</t>
  </si>
  <si>
    <t>{8cd151bc-15a8-4bd6-abd7-0fd3f083ede2}</t>
  </si>
  <si>
    <t>{2ffce823-7605-4f34-96d6-51a62369e2d8}</t>
  </si>
  <si>
    <t>{a2301f65-0b6d-4718-9604-1f66ba0cf98e}</t>
  </si>
  <si>
    <t>{2d57edf3-8dab-4bfb-b393-8699669339db}</t>
  </si>
  <si>
    <t>Red-tailed Hawk</t>
  </si>
  <si>
    <t>{f18ee48b-81e1-46d0-b0d5-6a50006e30eb}</t>
  </si>
  <si>
    <t>{f87456ee-d99b-4ef1-a4e5-7785890bb4ef}</t>
  </si>
  <si>
    <t>Nuttall's Woodpecker</t>
  </si>
  <si>
    <t>{f464c5a4-be57-4934-b721-d9752a41f6f0}</t>
  </si>
  <si>
    <t>Oak Titmouse</t>
  </si>
  <si>
    <t>{ced7f315-e1eb-42ca-bf72-52eb11177987}</t>
  </si>
  <si>
    <t>Lesser Goldfinch</t>
  </si>
  <si>
    <t>{8a03964d-f061-4a2c-828b-d1e22c45548d}</t>
  </si>
  <si>
    <t>Allen's Hummingbird</t>
  </si>
  <si>
    <t>{f16e0620-3ab7-48e8-90c6-f1f642d074c9}</t>
  </si>
  <si>
    <t>{1af3822f-65c2-4974-befb-aeb820d05127}</t>
  </si>
  <si>
    <t>Pacific-slope Flycatcher</t>
  </si>
  <si>
    <t>{5d2a7a6b-b65c-482a-8503-3ce33392580c}</t>
  </si>
  <si>
    <t>{ed12aa4c-54a6-4a94-992f-de8201468764}</t>
  </si>
  <si>
    <t>{394aa05a-202f-4d12-a66d-19ecfac461f2}</t>
  </si>
  <si>
    <t>{5deed98c-7d6c-4657-a696-39da6584a4d8}</t>
  </si>
  <si>
    <t>{65508c1c-92b9-4fcd-830d-039cf3cb9734}</t>
  </si>
  <si>
    <t>{e5ecb2e5-2a36-4cb5-949e-bc41ac611c5f}</t>
  </si>
  <si>
    <t>{2504f379-56a7-4718-991d-2c9386e25674}</t>
  </si>
  <si>
    <t>{06c5c951-85ce-4396-b011-b3b75005ca14}</t>
  </si>
  <si>
    <t>{afe17867-91c2-428f-8046-0936e7e30348}</t>
  </si>
  <si>
    <t>{8e91b709-a4b9-44f5-a385-ebd6ce8e61f3}</t>
  </si>
  <si>
    <t>Cliff Swallow</t>
  </si>
  <si>
    <t>Air</t>
  </si>
  <si>
    <t>Nest Building</t>
  </si>
  <si>
    <t>{6b756847-6e46-44a8-9e7a-85b1a0d9c489}</t>
  </si>
  <si>
    <t>East: Lisa Stratton, Mark Holmgren, Lori Gaskin, Ian Jackson; West: Darwin Richardson, Beau Tindall, Steven Ortega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</si>
  <si>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</si>
  <si>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</si>
  <si>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</si>
  <si>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</si>
  <si>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</si>
  <si>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</si>
  <si>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</si>
  <si>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</si>
  <si>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EAST: Lisa, Mark, Lori, Ian</t>
  </si>
  <si>
    <t>WEST: Darwin, Beau, Steven</t>
  </si>
  <si>
    <t>Breeding &amp; Other Observation Notes</t>
  </si>
  <si>
    <t>family with two newborn chicks (one observation of count 4 - EAST team)</t>
  </si>
  <si>
    <t>Carrying Nest Material (one observation of count 2 - EAST team)</t>
  </si>
  <si>
    <t>Nest Building (WEST Team)</t>
  </si>
  <si>
    <t>adult with 3 chicks (one observation of count 4 - WEST Team)</t>
  </si>
  <si>
    <t>Copulation (one observation of count 2 - WEST Team)</t>
  </si>
  <si>
    <t>Changed Repeat Observation from Yes to No following post-survey review.</t>
  </si>
  <si>
    <t>adult with 3 chicks. Changed Repeat Observation from Yes to No following post-survey review.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</si>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</sst>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8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3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4" borderId="6" xfId="0" applyNumberForma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3" borderId="0" xfId="0" applyNumberFormat="1" applyFill="1"/>
    <xf numFmtId="0" fontId="0" fillId="3" borderId="6" xfId="0" applyNumberFormat="1" applyFill="1" applyBorder="1"/>
    <xf numFmtId="0" fontId="0" fillId="3" borderId="7" xfId="0" applyNumberFormat="1" applyFill="1" applyBorder="1"/>
    <xf numFmtId="0" fontId="0" fillId="3" borderId="8" xfId="0" applyNumberFormat="1" applyFill="1" applyBorder="1"/>
    <xf numFmtId="0" fontId="0" fillId="0" borderId="9" xfId="0" applyNumberFormat="1" applyBorder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" fillId="2" borderId="1" xfId="1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61"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584.657248958334" createdVersion="6" refreshedVersion="6" minRefreshableVersion="3" recordCount="120" xr:uid="{00000000-000A-0000-FFFF-FFFF05000000}">
  <cacheSource type="worksheet">
    <worksheetSource ref="A1:AF1048576" sheet="NCOS_Bird_Observations_20190419"/>
  </cacheSource>
  <cacheFields count="30">
    <cacheField name="OBJECTID" numFmtId="0">
      <sharedItems containsString="0" containsBlank="1" containsNumber="1" containsInteger="1" minValue="1" maxValue="119"/>
    </cacheField>
    <cacheField name="Species" numFmtId="0">
      <sharedItems containsBlank="1" count="43">
        <s v="American Crow"/>
        <s v="Greater Yellowlegs"/>
        <s v="House Finch"/>
        <s v="Northern Mockingbird"/>
        <s v="Cassin's Kingbird"/>
        <s v="Mallard"/>
        <s v="American Coot"/>
        <s v="Great Blue Heron"/>
        <s v="Song Sparrow"/>
        <s v="California Gull"/>
        <s v="Western Gull"/>
        <s v="Black-necked Stilt"/>
        <s v="Killdeer"/>
        <s v="Black Phoebe"/>
        <s v="Snowy Egret"/>
        <s v="Cinnamon Teal"/>
        <s v="European Starling"/>
        <s v="Bushtit"/>
        <s v="Rock Pigeon (Feral Pigeon)"/>
        <s v="Cooper's Hawk"/>
        <s v="Sora"/>
        <s v="Great Egret"/>
        <s v="Least Sandpiper"/>
        <s v="California Towhee"/>
        <s v="Common Yellowthroat"/>
        <s v="Anna's Hummingbird"/>
        <s v="Canada Goose"/>
        <s v="Rock Wren"/>
        <s v="House Wren"/>
        <s v="American Pipit"/>
        <s v="Say's Phoebe"/>
        <s v="White-crowned Sparrow"/>
        <s v="House Sparrow"/>
        <s v="Lark Sparrow"/>
        <s v="Mourning Dove"/>
        <s v="Red-tailed Hawk"/>
        <s v="Nuttall's Woodpecker"/>
        <s v="Oak Titmouse"/>
        <s v="Lesser Goldfinch"/>
        <s v="Allen's Hummingbird"/>
        <s v="Pacific-slope Flycatcher"/>
        <s v="Cliff Swallow"/>
        <m/>
      </sharedItems>
    </cacheField>
    <cacheField name="Count" numFmtId="0">
      <sharedItems containsString="0" containsBlank="1" containsNumber="1" containsInteger="1" minValue="1" maxValue="150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8" maxValue="58"/>
    </cacheField>
    <cacheField name="Observers" numFmtId="0">
      <sharedItems containsBlank="1" count="5">
        <s v="EAST: Lisa, Mark, Lori, Ian"/>
        <s v="WEST: Darwin, Beau, Steven"/>
        <m/>
        <s v="Darwin, Beau, Steven" u="1"/>
        <s v="Lisa, Mark, Lori, Ian" u="1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4" maxValue="5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9-04-19T14:13:02" maxDate="2019-04-19T16:15:21"/>
    </cacheField>
    <cacheField name="Creator" numFmtId="0">
      <sharedItems containsBlank="1"/>
    </cacheField>
    <cacheField name="EditDate" numFmtId="0">
      <sharedItems containsNonDate="0" containsDate="1" containsString="0" containsBlank="1" minDate="2019-04-19T14:13:02" maxDate="2019-04-19T16:21:14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n v="1"/>
    <x v="0"/>
    <n v="1"/>
    <x v="0"/>
    <s v="Fence"/>
    <m/>
    <m/>
    <m/>
    <n v="58"/>
    <x v="0"/>
    <s v="705"/>
    <m/>
    <n v="55"/>
    <n v="100"/>
    <s v="Low"/>
    <s v="Light"/>
    <m/>
    <m/>
    <m/>
    <m/>
    <m/>
    <m/>
    <m/>
    <m/>
    <m/>
    <s v="{4040e1e0-bfbf-495d-afd6-b122a4f6cf9b}"/>
    <d v="2019-04-19T14:13:02"/>
    <s v="ccber_user"/>
    <d v="2019-04-19T14:13:02"/>
    <s v="ccber_user"/>
  </r>
  <r>
    <n v="2"/>
    <x v="1"/>
    <n v="1"/>
    <x v="0"/>
    <s v="Mud"/>
    <m/>
    <m/>
    <m/>
    <m/>
    <x v="0"/>
    <m/>
    <m/>
    <m/>
    <m/>
    <m/>
    <m/>
    <m/>
    <m/>
    <m/>
    <m/>
    <m/>
    <m/>
    <m/>
    <m/>
    <m/>
    <s v="{1294600d-eba2-4d86-95be-c14af77de318}"/>
    <d v="2019-04-19T14:15:49"/>
    <s v="ccber_user"/>
    <d v="2019-04-19T14:15:49"/>
    <s v="ccber_user"/>
  </r>
  <r>
    <n v="3"/>
    <x v="2"/>
    <n v="1"/>
    <x v="0"/>
    <s v="Fence"/>
    <m/>
    <m/>
    <m/>
    <m/>
    <x v="0"/>
    <m/>
    <m/>
    <m/>
    <m/>
    <m/>
    <m/>
    <m/>
    <m/>
    <m/>
    <m/>
    <m/>
    <m/>
    <m/>
    <m/>
    <m/>
    <s v="{d5ff3368-9577-4156-8b29-b65a188d0ef6}"/>
    <d v="2019-04-19T14:18:56"/>
    <s v="ccber_user"/>
    <d v="2019-04-19T14:18:56"/>
    <s v="ccber_user"/>
  </r>
  <r>
    <n v="4"/>
    <x v="3"/>
    <n v="1"/>
    <x v="0"/>
    <s v="Vegetation - Tree"/>
    <m/>
    <m/>
    <m/>
    <m/>
    <x v="0"/>
    <m/>
    <m/>
    <m/>
    <m/>
    <m/>
    <m/>
    <m/>
    <m/>
    <m/>
    <m/>
    <m/>
    <m/>
    <m/>
    <m/>
    <m/>
    <s v="{f2fd0dbf-1ef3-4a2d-821f-89bd05aef481}"/>
    <d v="2019-04-19T14:20:52"/>
    <s v="ccber_user"/>
    <d v="2019-04-19T14:20:52"/>
    <s v="ccber_user"/>
  </r>
  <r>
    <n v="5"/>
    <x v="2"/>
    <n v="2"/>
    <x v="0"/>
    <s v="Vegetation - Tree"/>
    <m/>
    <m/>
    <m/>
    <m/>
    <x v="0"/>
    <m/>
    <m/>
    <m/>
    <m/>
    <m/>
    <m/>
    <m/>
    <m/>
    <m/>
    <m/>
    <m/>
    <m/>
    <m/>
    <m/>
    <m/>
    <s v="{41bdfce6-bdd4-42c3-930c-19cef17df757}"/>
    <d v="2019-04-19T14:21:08"/>
    <s v="ccber_user"/>
    <d v="2019-04-19T14:21:08"/>
    <s v="ccber_user"/>
  </r>
  <r>
    <n v="6"/>
    <x v="4"/>
    <n v="1"/>
    <x v="0"/>
    <s v="Fence"/>
    <m/>
    <m/>
    <m/>
    <m/>
    <x v="0"/>
    <m/>
    <m/>
    <m/>
    <m/>
    <m/>
    <m/>
    <m/>
    <m/>
    <m/>
    <m/>
    <m/>
    <m/>
    <m/>
    <m/>
    <m/>
    <s v="{3542d9f6-73f4-4073-b669-e3d283adcd2f}"/>
    <d v="2019-04-19T14:21:23"/>
    <s v="ccber_user"/>
    <d v="2019-04-19T14:21:23"/>
    <s v="ccber_user"/>
  </r>
  <r>
    <n v="7"/>
    <x v="5"/>
    <n v="2"/>
    <x v="0"/>
    <s v="Mud"/>
    <m/>
    <m/>
    <m/>
    <m/>
    <x v="0"/>
    <m/>
    <m/>
    <m/>
    <m/>
    <m/>
    <m/>
    <m/>
    <m/>
    <m/>
    <m/>
    <m/>
    <m/>
    <m/>
    <m/>
    <m/>
    <s v="{df92980f-8c28-471d-9128-2e60ad617ce3}"/>
    <d v="2019-04-19T14:23:06"/>
    <s v="ccber_user"/>
    <d v="2019-04-19T14:23:06"/>
    <s v="ccber_user"/>
  </r>
  <r>
    <n v="8"/>
    <x v="6"/>
    <n v="8"/>
    <x v="0"/>
    <s v="Mud"/>
    <m/>
    <m/>
    <m/>
    <m/>
    <x v="0"/>
    <m/>
    <m/>
    <m/>
    <m/>
    <m/>
    <m/>
    <m/>
    <m/>
    <m/>
    <m/>
    <m/>
    <m/>
    <m/>
    <m/>
    <m/>
    <s v="{653e5b43-6db7-4008-8240-32b339881e11}"/>
    <d v="2019-04-19T14:23:28"/>
    <s v="ccber_user"/>
    <d v="2019-04-19T14:27:39"/>
    <s v="ccber_user"/>
  </r>
  <r>
    <n v="9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{2682f5d8-b90d-4da8-8e22-ce688405afc1}"/>
    <d v="2019-04-19T14:24:10"/>
    <s v="ccber_user"/>
    <d v="2019-04-19T14:24:10"/>
    <s v="ccber_user"/>
  </r>
  <r>
    <n v="10"/>
    <x v="8"/>
    <n v="1"/>
    <x v="0"/>
    <s v="Vegetation - Shrub"/>
    <m/>
    <m/>
    <m/>
    <m/>
    <x v="0"/>
    <m/>
    <m/>
    <m/>
    <m/>
    <m/>
    <m/>
    <m/>
    <m/>
    <m/>
    <m/>
    <m/>
    <m/>
    <m/>
    <m/>
    <m/>
    <s v="{b783444c-d9ef-46b8-9d48-0ea767d4eb04}"/>
    <d v="2019-04-19T14:24:24"/>
    <s v="ccber_user"/>
    <d v="2019-04-19T14:24:24"/>
    <s v="ccber_user"/>
  </r>
  <r>
    <n v="11"/>
    <x v="9"/>
    <n v="1"/>
    <x v="0"/>
    <s v="Mud"/>
    <m/>
    <m/>
    <m/>
    <m/>
    <x v="0"/>
    <m/>
    <m/>
    <m/>
    <m/>
    <m/>
    <m/>
    <m/>
    <m/>
    <m/>
    <m/>
    <m/>
    <m/>
    <m/>
    <m/>
    <m/>
    <s v="{e175a4c4-a231-4e7a-95c4-49e21964b957}"/>
    <d v="2019-04-19T14:25:45"/>
    <s v="ccber_user"/>
    <d v="2019-04-19T14:27:52"/>
    <s v="ccber_user"/>
  </r>
  <r>
    <n v="12"/>
    <x v="10"/>
    <n v="6"/>
    <x v="0"/>
    <s v="Mud"/>
    <m/>
    <m/>
    <m/>
    <m/>
    <x v="0"/>
    <m/>
    <m/>
    <m/>
    <m/>
    <m/>
    <m/>
    <m/>
    <m/>
    <m/>
    <m/>
    <m/>
    <m/>
    <m/>
    <m/>
    <m/>
    <s v="{e8c205d4-5ba7-4ef3-bf39-9e0d9b4adc85}"/>
    <d v="2019-04-19T14:26:26"/>
    <s v="ccber_user"/>
    <d v="2019-04-19T14:26:26"/>
    <s v="ccber_user"/>
  </r>
  <r>
    <n v="13"/>
    <x v="11"/>
    <n v="2"/>
    <x v="0"/>
    <s v="Water - Wading"/>
    <m/>
    <m/>
    <m/>
    <m/>
    <x v="0"/>
    <m/>
    <m/>
    <m/>
    <m/>
    <m/>
    <m/>
    <m/>
    <m/>
    <m/>
    <m/>
    <m/>
    <m/>
    <m/>
    <m/>
    <m/>
    <s v="{dd3cdbd0-f550-4f8f-83fc-2747bb382089}"/>
    <d v="2019-04-19T14:27:02"/>
    <s v="ccber_user"/>
    <d v="2019-04-19T14:27:02"/>
    <s v="ccber_user"/>
  </r>
  <r>
    <n v="14"/>
    <x v="12"/>
    <n v="1"/>
    <x v="0"/>
    <s v="Mud"/>
    <m/>
    <m/>
    <m/>
    <m/>
    <x v="0"/>
    <m/>
    <m/>
    <m/>
    <m/>
    <m/>
    <m/>
    <m/>
    <m/>
    <m/>
    <m/>
    <m/>
    <m/>
    <m/>
    <m/>
    <m/>
    <s v="{0c1ab9cf-2f1c-438b-b309-444fd01f9c8a}"/>
    <d v="2019-04-19T14:27:19"/>
    <s v="ccber_user"/>
    <d v="2019-04-19T14:27:19"/>
    <s v="ccber_user"/>
  </r>
  <r>
    <n v="15"/>
    <x v="8"/>
    <n v="1"/>
    <x v="0"/>
    <s v="Vegetation - Shrub"/>
    <m/>
    <m/>
    <m/>
    <m/>
    <x v="0"/>
    <m/>
    <m/>
    <m/>
    <m/>
    <m/>
    <m/>
    <m/>
    <m/>
    <m/>
    <m/>
    <m/>
    <m/>
    <m/>
    <m/>
    <m/>
    <s v="{3f8e7779-f9e3-4eb5-9072-a2657721dd96}"/>
    <d v="2019-04-19T14:35:11"/>
    <s v="ccber_user"/>
    <d v="2019-04-19T14:35:11"/>
    <s v="ccber_user"/>
  </r>
  <r>
    <n v="16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27e241a3-715b-4a24-a09a-531b114f4825}"/>
    <d v="2019-04-19T14:37:49"/>
    <s v="ccber_user"/>
    <d v="2019-04-19T14:37:49"/>
    <s v="ccber_user"/>
  </r>
  <r>
    <n v="17"/>
    <x v="13"/>
    <n v="1"/>
    <x v="0"/>
    <s v="Mud"/>
    <m/>
    <m/>
    <m/>
    <m/>
    <x v="0"/>
    <m/>
    <m/>
    <m/>
    <m/>
    <m/>
    <m/>
    <m/>
    <m/>
    <m/>
    <m/>
    <m/>
    <m/>
    <m/>
    <m/>
    <m/>
    <s v="{4f3b95fa-c4c4-4c01-9ac8-56e9c39f50e4}"/>
    <d v="2019-04-19T14:40:56"/>
    <s v="ccber_user"/>
    <d v="2019-04-19T14:40:56"/>
    <s v="ccber_user"/>
  </r>
  <r>
    <n v="18"/>
    <x v="8"/>
    <n v="1"/>
    <x v="0"/>
    <s v="Fence"/>
    <m/>
    <m/>
    <m/>
    <m/>
    <x v="0"/>
    <m/>
    <m/>
    <m/>
    <m/>
    <m/>
    <m/>
    <m/>
    <m/>
    <m/>
    <m/>
    <m/>
    <m/>
    <m/>
    <m/>
    <m/>
    <s v="{b9a0eddc-070f-4f06-94f9-f994fc93e61a}"/>
    <d v="2019-04-19T14:41:37"/>
    <s v="ccber_user"/>
    <d v="2019-04-19T14:41:37"/>
    <s v="ccber_user"/>
  </r>
  <r>
    <n v="19"/>
    <x v="14"/>
    <n v="1"/>
    <x v="0"/>
    <s v="Mud"/>
    <m/>
    <m/>
    <m/>
    <m/>
    <x v="0"/>
    <m/>
    <m/>
    <m/>
    <m/>
    <m/>
    <m/>
    <m/>
    <m/>
    <m/>
    <m/>
    <m/>
    <m/>
    <m/>
    <m/>
    <m/>
    <s v="{fd050c1a-ddcf-41fc-ae3e-9e03071049b2}"/>
    <d v="2019-04-19T14:41:55"/>
    <s v="ccber_user"/>
    <d v="2019-04-19T14:41:55"/>
    <s v="ccber_user"/>
  </r>
  <r>
    <n v="20"/>
    <x v="15"/>
    <n v="1"/>
    <x v="0"/>
    <s v="Water - Floating"/>
    <s v="M"/>
    <m/>
    <m/>
    <m/>
    <x v="0"/>
    <m/>
    <m/>
    <m/>
    <m/>
    <m/>
    <m/>
    <m/>
    <m/>
    <m/>
    <m/>
    <m/>
    <m/>
    <m/>
    <m/>
    <m/>
    <s v="{fb57aa09-c72b-4ce5-89d6-8eeb529df4a0}"/>
    <d v="2019-04-19T14:42:32"/>
    <s v="ccber_user"/>
    <d v="2019-04-19T14:42:32"/>
    <s v="ccber_user"/>
  </r>
  <r>
    <n v="21"/>
    <x v="0"/>
    <n v="1"/>
    <x v="0"/>
    <s v="Bare ground"/>
    <m/>
    <m/>
    <m/>
    <m/>
    <x v="0"/>
    <m/>
    <m/>
    <m/>
    <m/>
    <m/>
    <m/>
    <m/>
    <m/>
    <m/>
    <m/>
    <m/>
    <m/>
    <m/>
    <m/>
    <m/>
    <s v="{41053337-8a17-446c-ae17-3420ecc55739}"/>
    <d v="2019-04-19T14:44:09"/>
    <s v="ccber_user"/>
    <d v="2019-04-19T14:44:09"/>
    <s v="ccber_user"/>
  </r>
  <r>
    <n v="22"/>
    <x v="16"/>
    <n v="1"/>
    <x v="0"/>
    <s v="Vegetation - Tree"/>
    <m/>
    <m/>
    <m/>
    <m/>
    <x v="0"/>
    <m/>
    <m/>
    <m/>
    <m/>
    <m/>
    <m/>
    <m/>
    <m/>
    <m/>
    <m/>
    <m/>
    <m/>
    <m/>
    <m/>
    <m/>
    <s v="{b3772649-9370-4e32-8e1c-e2c44feca2ab}"/>
    <d v="2019-04-19T14:44:50"/>
    <s v="ccber_user"/>
    <d v="2019-04-19T14:44:50"/>
    <s v="ccber_user"/>
  </r>
  <r>
    <n v="23"/>
    <x v="17"/>
    <n v="2"/>
    <x v="0"/>
    <s v="Vegetation - Shrub"/>
    <m/>
    <m/>
    <m/>
    <m/>
    <x v="0"/>
    <m/>
    <m/>
    <m/>
    <m/>
    <m/>
    <m/>
    <m/>
    <m/>
    <m/>
    <m/>
    <m/>
    <m/>
    <m/>
    <m/>
    <m/>
    <s v="{d5d01053-fad7-4dd3-8ea7-d82cfe37f172}"/>
    <d v="2019-04-19T14:48:14"/>
    <s v="ccber_user"/>
    <d v="2019-04-19T14:48:14"/>
    <s v="ccber_user"/>
  </r>
  <r>
    <n v="24"/>
    <x v="4"/>
    <n v="1"/>
    <x v="0"/>
    <s v="Fence"/>
    <m/>
    <m/>
    <s v="Changed Repeat Observation from Yes to No following post-survey review."/>
    <m/>
    <x v="0"/>
    <m/>
    <m/>
    <m/>
    <m/>
    <m/>
    <m/>
    <m/>
    <m/>
    <m/>
    <m/>
    <m/>
    <m/>
    <m/>
    <m/>
    <m/>
    <s v="{5736126e-4c38-487e-8f2c-c2c0a14af6e7}"/>
    <d v="2019-04-19T14:48:41"/>
    <s v="ccber_user"/>
    <d v="2019-04-19T14:48:41"/>
    <s v="ccber_user"/>
  </r>
  <r>
    <n v="25"/>
    <x v="13"/>
    <n v="1"/>
    <x v="0"/>
    <s v="Fence"/>
    <m/>
    <m/>
    <m/>
    <m/>
    <x v="0"/>
    <m/>
    <m/>
    <m/>
    <m/>
    <m/>
    <m/>
    <m/>
    <m/>
    <m/>
    <m/>
    <m/>
    <m/>
    <m/>
    <m/>
    <m/>
    <s v="{41e3f63e-b75f-4fc1-92c2-5000e4d4ca3d}"/>
    <d v="2019-04-19T14:49:41"/>
    <s v="ccber_user"/>
    <d v="2019-04-19T14:49:41"/>
    <s v="ccber_user"/>
  </r>
  <r>
    <n v="26"/>
    <x v="18"/>
    <n v="5"/>
    <x v="0"/>
    <s v="Flyover"/>
    <m/>
    <m/>
    <m/>
    <m/>
    <x v="0"/>
    <m/>
    <m/>
    <m/>
    <m/>
    <m/>
    <m/>
    <m/>
    <m/>
    <m/>
    <m/>
    <m/>
    <m/>
    <m/>
    <m/>
    <m/>
    <s v="{b0a21ec7-e7c6-4cd3-b59d-b4da1899a4df}"/>
    <d v="2019-04-19T14:50:54"/>
    <s v="ccber_user"/>
    <d v="2019-04-19T14:50:54"/>
    <s v="ccber_user"/>
  </r>
  <r>
    <n v="27"/>
    <x v="19"/>
    <n v="1"/>
    <x v="0"/>
    <s v="Vegetation - Tree"/>
    <m/>
    <m/>
    <m/>
    <m/>
    <x v="0"/>
    <m/>
    <m/>
    <m/>
    <m/>
    <m/>
    <m/>
    <m/>
    <m/>
    <m/>
    <m/>
    <m/>
    <m/>
    <m/>
    <m/>
    <m/>
    <s v="{cb15d2dc-b299-41aa-8f4d-926a1b09e543}"/>
    <d v="2019-04-19T14:53:46"/>
    <s v="ccber_user"/>
    <d v="2019-04-19T14:53:46"/>
    <s v="ccber_user"/>
  </r>
  <r>
    <n v="28"/>
    <x v="4"/>
    <n v="1"/>
    <x v="0"/>
    <s v="Fence"/>
    <m/>
    <m/>
    <s v="Changed Repeat Observation from Yes to No following post-survey review."/>
    <m/>
    <x v="0"/>
    <m/>
    <m/>
    <m/>
    <m/>
    <m/>
    <m/>
    <m/>
    <m/>
    <m/>
    <m/>
    <m/>
    <m/>
    <m/>
    <m/>
    <m/>
    <s v="{3589831e-8c43-4152-b133-a784f06a9b2a}"/>
    <d v="2019-04-19T15:01:18"/>
    <s v="ccber_user"/>
    <d v="2019-04-19T15:01:18"/>
    <s v="ccber_user"/>
  </r>
  <r>
    <n v="29"/>
    <x v="5"/>
    <n v="1"/>
    <x v="0"/>
    <s v="Water - Floating"/>
    <s v="M"/>
    <m/>
    <m/>
    <m/>
    <x v="0"/>
    <m/>
    <m/>
    <m/>
    <m/>
    <m/>
    <m/>
    <m/>
    <m/>
    <m/>
    <m/>
    <m/>
    <m/>
    <m/>
    <m/>
    <m/>
    <s v="{77d717ff-557d-489f-a92d-6f8d34597009}"/>
    <d v="2019-04-19T15:04:06"/>
    <s v="ccber_user"/>
    <d v="2019-04-19T15:04:06"/>
    <s v="ccber_user"/>
  </r>
  <r>
    <n v="30"/>
    <x v="10"/>
    <n v="5"/>
    <x v="0"/>
    <s v="Water - Floating"/>
    <m/>
    <m/>
    <m/>
    <m/>
    <x v="0"/>
    <m/>
    <m/>
    <m/>
    <m/>
    <m/>
    <m/>
    <m/>
    <m/>
    <m/>
    <m/>
    <m/>
    <m/>
    <m/>
    <m/>
    <m/>
    <s v="{58048ab1-39a5-4f61-bf3f-c6152460b646}"/>
    <d v="2019-04-19T15:04:28"/>
    <s v="ccber_user"/>
    <d v="2019-04-19T15:04:28"/>
    <s v="ccber_user"/>
  </r>
  <r>
    <n v="31"/>
    <x v="20"/>
    <n v="1"/>
    <x v="0"/>
    <s v="Mud"/>
    <m/>
    <m/>
    <m/>
    <m/>
    <x v="0"/>
    <m/>
    <m/>
    <m/>
    <m/>
    <m/>
    <m/>
    <m/>
    <m/>
    <m/>
    <m/>
    <m/>
    <m/>
    <m/>
    <m/>
    <m/>
    <s v="{75cfe11a-c0a0-4017-897f-bc26bee04c8c}"/>
    <d v="2019-04-19T15:04:50"/>
    <s v="ccber_user"/>
    <d v="2019-04-19T15:04:50"/>
    <s v="ccber_user"/>
  </r>
  <r>
    <n v="32"/>
    <x v="8"/>
    <n v="1"/>
    <x v="0"/>
    <s v="Vegetation - Herbaceous"/>
    <m/>
    <m/>
    <m/>
    <m/>
    <x v="0"/>
    <m/>
    <m/>
    <m/>
    <m/>
    <m/>
    <m/>
    <m/>
    <m/>
    <m/>
    <m/>
    <m/>
    <m/>
    <m/>
    <m/>
    <m/>
    <s v="{d390a490-7198-4276-95f3-11b077d3b3eb}"/>
    <d v="2019-04-19T15:05:09"/>
    <s v="ccber_user"/>
    <d v="2019-04-19T15:05:09"/>
    <s v="ccber_user"/>
  </r>
  <r>
    <n v="33"/>
    <x v="8"/>
    <n v="2"/>
    <x v="0"/>
    <s v="Vegetation - Shrub"/>
    <m/>
    <m/>
    <m/>
    <m/>
    <x v="0"/>
    <m/>
    <m/>
    <m/>
    <m/>
    <m/>
    <m/>
    <m/>
    <m/>
    <m/>
    <m/>
    <m/>
    <m/>
    <m/>
    <m/>
    <m/>
    <s v="{fb6bcd64-d785-4fbf-89b9-99459e509c33}"/>
    <d v="2019-04-19T15:07:00"/>
    <s v="ccber_user"/>
    <d v="2019-04-19T15:07:00"/>
    <s v="ccber_user"/>
  </r>
  <r>
    <n v="34"/>
    <x v="6"/>
    <n v="1"/>
    <x v="0"/>
    <s v="Water - Floating"/>
    <m/>
    <m/>
    <m/>
    <m/>
    <x v="0"/>
    <m/>
    <m/>
    <m/>
    <m/>
    <m/>
    <m/>
    <m/>
    <m/>
    <m/>
    <m/>
    <m/>
    <m/>
    <m/>
    <m/>
    <m/>
    <s v="{58cd8b9a-b92b-47c5-a2a5-9ebe67f2a646}"/>
    <d v="2019-04-19T15:08:42"/>
    <s v="ccber_user"/>
    <d v="2019-04-19T15:08:42"/>
    <s v="ccber_user"/>
  </r>
  <r>
    <n v="35"/>
    <x v="3"/>
    <n v="1"/>
    <x v="0"/>
    <s v="Vegetation - Tree"/>
    <m/>
    <m/>
    <m/>
    <m/>
    <x v="0"/>
    <m/>
    <m/>
    <m/>
    <m/>
    <m/>
    <m/>
    <m/>
    <m/>
    <m/>
    <m/>
    <m/>
    <m/>
    <m/>
    <m/>
    <m/>
    <s v="{7c35f69e-b3aa-4cca-8d5c-de6970291a5d}"/>
    <d v="2019-04-19T15:08:58"/>
    <s v="ccber_user"/>
    <d v="2019-04-19T15:08:58"/>
    <s v="ccber_user"/>
  </r>
  <r>
    <n v="36"/>
    <x v="21"/>
    <n v="1"/>
    <x v="0"/>
    <s v="Mud"/>
    <m/>
    <m/>
    <m/>
    <m/>
    <x v="0"/>
    <m/>
    <m/>
    <m/>
    <m/>
    <m/>
    <m/>
    <m/>
    <m/>
    <m/>
    <m/>
    <m/>
    <m/>
    <m/>
    <m/>
    <m/>
    <s v="{3ea35960-14d4-46d9-9568-6dfa568df865}"/>
    <d v="2019-04-19T15:10:55"/>
    <s v="ccber_user"/>
    <d v="2019-04-19T15:10:55"/>
    <s v="ccber_user"/>
  </r>
  <r>
    <n v="37"/>
    <x v="13"/>
    <n v="1"/>
    <x v="0"/>
    <s v="Bare ground"/>
    <m/>
    <m/>
    <m/>
    <m/>
    <x v="0"/>
    <m/>
    <m/>
    <m/>
    <m/>
    <m/>
    <m/>
    <m/>
    <m/>
    <m/>
    <m/>
    <m/>
    <m/>
    <m/>
    <m/>
    <m/>
    <s v="{885b6df6-8a31-4526-902a-795eebd52001}"/>
    <d v="2019-04-19T15:15:12"/>
    <s v="ccber_user"/>
    <d v="2019-04-19T15:15:12"/>
    <s v="ccber_user"/>
  </r>
  <r>
    <n v="38"/>
    <x v="2"/>
    <n v="1"/>
    <x v="0"/>
    <s v="Vegetation - Tree"/>
    <m/>
    <m/>
    <m/>
    <m/>
    <x v="0"/>
    <m/>
    <m/>
    <m/>
    <m/>
    <m/>
    <m/>
    <m/>
    <m/>
    <m/>
    <m/>
    <m/>
    <m/>
    <m/>
    <m/>
    <m/>
    <s v="{d6e4b958-473f-4ec8-8e56-ef66b0ebfa63}"/>
    <d v="2019-04-19T15:16:05"/>
    <s v="ccber_user"/>
    <d v="2019-04-19T15:16:05"/>
    <s v="ccber_user"/>
  </r>
  <r>
    <n v="39"/>
    <x v="8"/>
    <n v="1"/>
    <x v="0"/>
    <s v="Vegetation - Shrub"/>
    <m/>
    <m/>
    <m/>
    <m/>
    <x v="0"/>
    <m/>
    <m/>
    <m/>
    <m/>
    <m/>
    <m/>
    <m/>
    <m/>
    <m/>
    <m/>
    <m/>
    <m/>
    <m/>
    <m/>
    <m/>
    <s v="{ba8b8446-0926-491d-817a-4f13c16f181f}"/>
    <d v="2019-04-19T15:18:24"/>
    <s v="ccber_user"/>
    <d v="2019-04-19T15:18:24"/>
    <s v="ccber_user"/>
  </r>
  <r>
    <n v="40"/>
    <x v="13"/>
    <n v="1"/>
    <x v="0"/>
    <s v="Vegetation - Tree"/>
    <m/>
    <m/>
    <m/>
    <m/>
    <x v="0"/>
    <m/>
    <m/>
    <m/>
    <m/>
    <m/>
    <m/>
    <m/>
    <m/>
    <m/>
    <m/>
    <m/>
    <m/>
    <m/>
    <m/>
    <m/>
    <s v="{4bfb000d-6e45-416a-aedd-4846509788f2}"/>
    <d v="2019-04-19T15:21:21"/>
    <s v="ccber_user"/>
    <d v="2019-04-19T15:21:21"/>
    <s v="ccber_user"/>
  </r>
  <r>
    <n v="41"/>
    <x v="6"/>
    <n v="2"/>
    <x v="0"/>
    <s v="Water - Wading"/>
    <m/>
    <m/>
    <m/>
    <m/>
    <x v="0"/>
    <m/>
    <m/>
    <m/>
    <m/>
    <m/>
    <m/>
    <m/>
    <m/>
    <m/>
    <m/>
    <m/>
    <m/>
    <m/>
    <m/>
    <m/>
    <s v="{a35fe003-49ba-430e-a291-eb36981dfde1}"/>
    <d v="2019-04-19T15:27:05"/>
    <s v="ccber_user"/>
    <d v="2019-04-19T15:27:05"/>
    <s v="ccber_user"/>
  </r>
  <r>
    <n v="42"/>
    <x v="12"/>
    <n v="1"/>
    <x v="0"/>
    <s v="Mud"/>
    <m/>
    <m/>
    <m/>
    <m/>
    <x v="0"/>
    <m/>
    <m/>
    <m/>
    <m/>
    <m/>
    <m/>
    <m/>
    <m/>
    <m/>
    <m/>
    <m/>
    <m/>
    <m/>
    <m/>
    <m/>
    <s v="{6b3f376d-f797-4cf3-969b-c50e63336114}"/>
    <d v="2019-04-19T15:28:38"/>
    <s v="ccber_user"/>
    <d v="2019-04-19T15:28:38"/>
    <s v="ccber_user"/>
  </r>
  <r>
    <n v="43"/>
    <x v="22"/>
    <n v="1"/>
    <x v="0"/>
    <s v="Mud"/>
    <m/>
    <m/>
    <m/>
    <m/>
    <x v="0"/>
    <m/>
    <m/>
    <m/>
    <m/>
    <m/>
    <m/>
    <m/>
    <m/>
    <m/>
    <m/>
    <m/>
    <m/>
    <m/>
    <m/>
    <m/>
    <s v="{47d90108-5449-42e3-a27e-90d868edaaf6}"/>
    <d v="2019-04-19T15:29:26"/>
    <s v="ccber_user"/>
    <d v="2019-04-19T15:29:26"/>
    <s v="ccber_user"/>
  </r>
  <r>
    <n v="44"/>
    <x v="0"/>
    <n v="1"/>
    <x v="0"/>
    <s v="Bare ground"/>
    <m/>
    <m/>
    <m/>
    <m/>
    <x v="0"/>
    <m/>
    <m/>
    <m/>
    <m/>
    <m/>
    <m/>
    <m/>
    <m/>
    <m/>
    <m/>
    <m/>
    <m/>
    <m/>
    <m/>
    <m/>
    <s v="{82afa223-2bcb-4d24-9993-2ab5a8bfdf3e}"/>
    <d v="2019-04-19T15:30:26"/>
    <s v="ccber_user"/>
    <d v="2019-04-19T15:30:26"/>
    <s v="ccber_user"/>
  </r>
  <r>
    <n v="45"/>
    <x v="8"/>
    <n v="1"/>
    <x v="0"/>
    <s v="Vegetation - Shrub"/>
    <m/>
    <m/>
    <m/>
    <m/>
    <x v="0"/>
    <m/>
    <m/>
    <m/>
    <m/>
    <m/>
    <m/>
    <m/>
    <m/>
    <m/>
    <m/>
    <m/>
    <m/>
    <m/>
    <m/>
    <m/>
    <s v="{d4c34dc6-8ade-4ae7-b9f5-0fcabd5fa6d6}"/>
    <d v="2019-04-19T15:31:47"/>
    <s v="ccber_user"/>
    <d v="2019-04-19T15:31:47"/>
    <s v="ccber_user"/>
  </r>
  <r>
    <n v="46"/>
    <x v="2"/>
    <n v="2"/>
    <x v="0"/>
    <s v="Building"/>
    <m/>
    <s v="Carrying Nest Material"/>
    <m/>
    <m/>
    <x v="0"/>
    <m/>
    <m/>
    <m/>
    <m/>
    <m/>
    <m/>
    <m/>
    <m/>
    <m/>
    <m/>
    <m/>
    <m/>
    <m/>
    <m/>
    <m/>
    <s v="{2b279158-7076-4816-8b6b-537ec18805c0}"/>
    <d v="2019-04-19T15:32:21"/>
    <s v="ccber_user"/>
    <d v="2019-04-19T15:32:21"/>
    <s v="ccber_user"/>
  </r>
  <r>
    <n v="47"/>
    <x v="2"/>
    <n v="1"/>
    <x v="0"/>
    <s v="Vegetation - Tree"/>
    <m/>
    <m/>
    <m/>
    <m/>
    <x v="0"/>
    <m/>
    <m/>
    <m/>
    <m/>
    <m/>
    <m/>
    <m/>
    <m/>
    <m/>
    <m/>
    <m/>
    <m/>
    <m/>
    <m/>
    <m/>
    <s v="{63a5de43-6628-41bb-ae50-94c8426e9d02}"/>
    <d v="2019-04-19T15:33:37"/>
    <s v="ccber_user"/>
    <d v="2019-04-19T15:33:37"/>
    <s v="ccber_user"/>
  </r>
  <r>
    <n v="48"/>
    <x v="2"/>
    <n v="4"/>
    <x v="0"/>
    <s v="Vegetation - Shrub"/>
    <m/>
    <m/>
    <m/>
    <m/>
    <x v="0"/>
    <m/>
    <m/>
    <m/>
    <m/>
    <m/>
    <m/>
    <m/>
    <m/>
    <m/>
    <m/>
    <m/>
    <m/>
    <m/>
    <m/>
    <m/>
    <s v="{8a24af7a-b620-44db-ae08-1e229d7b6e5d}"/>
    <d v="2019-04-19T15:34:21"/>
    <s v="ccber_user"/>
    <d v="2019-04-19T15:34:21"/>
    <s v="ccber_user"/>
  </r>
  <r>
    <n v="49"/>
    <x v="5"/>
    <n v="1"/>
    <x v="0"/>
    <s v="Water - Floating"/>
    <m/>
    <m/>
    <m/>
    <m/>
    <x v="0"/>
    <m/>
    <m/>
    <m/>
    <m/>
    <m/>
    <m/>
    <m/>
    <m/>
    <m/>
    <m/>
    <m/>
    <m/>
    <m/>
    <m/>
    <m/>
    <s v="{62b4ea84-64ec-4bba-afed-2f144eb22ffe}"/>
    <d v="2019-04-19T15:35:04"/>
    <s v="ccber_user"/>
    <d v="2019-04-19T15:35:04"/>
    <s v="ccber_user"/>
  </r>
  <r>
    <n v="50"/>
    <x v="5"/>
    <n v="4"/>
    <x v="0"/>
    <s v="Flyover"/>
    <m/>
    <m/>
    <m/>
    <m/>
    <x v="0"/>
    <m/>
    <m/>
    <m/>
    <m/>
    <m/>
    <m/>
    <m/>
    <m/>
    <m/>
    <m/>
    <m/>
    <m/>
    <m/>
    <m/>
    <m/>
    <s v="{956b7642-5688-4abd-a91e-af013025f90b}"/>
    <d v="2019-04-19T15:35:21"/>
    <s v="ccber_user"/>
    <d v="2019-04-19T15:35:21"/>
    <s v="ccber_user"/>
  </r>
  <r>
    <n v="51"/>
    <x v="6"/>
    <n v="1"/>
    <x v="0"/>
    <s v="Water - Floating"/>
    <m/>
    <m/>
    <m/>
    <m/>
    <x v="0"/>
    <m/>
    <m/>
    <m/>
    <m/>
    <m/>
    <m/>
    <m/>
    <m/>
    <m/>
    <m/>
    <m/>
    <m/>
    <m/>
    <m/>
    <m/>
    <s v="{3b203d1e-6083-4d3c-ade7-1399758901a5}"/>
    <d v="2019-04-19T15:37:22"/>
    <s v="ccber_user"/>
    <d v="2019-04-19T15:37:22"/>
    <s v="ccber_user"/>
  </r>
  <r>
    <n v="52"/>
    <x v="23"/>
    <n v="2"/>
    <x v="0"/>
    <s v="Vegetation - Shrub"/>
    <m/>
    <m/>
    <m/>
    <m/>
    <x v="0"/>
    <m/>
    <m/>
    <m/>
    <m/>
    <m/>
    <m/>
    <m/>
    <m/>
    <m/>
    <m/>
    <m/>
    <m/>
    <m/>
    <m/>
    <m/>
    <s v="{9c67b025-3491-4942-9825-8b8a695bd398}"/>
    <d v="2019-04-19T15:38:35"/>
    <s v="ccber_user"/>
    <d v="2019-04-19T15:38:35"/>
    <s v="ccber_user"/>
  </r>
  <r>
    <n v="53"/>
    <x v="24"/>
    <n v="1"/>
    <x v="0"/>
    <s v="Vegetation - Herbaceous"/>
    <m/>
    <m/>
    <m/>
    <m/>
    <x v="0"/>
    <m/>
    <m/>
    <m/>
    <m/>
    <m/>
    <m/>
    <m/>
    <m/>
    <m/>
    <m/>
    <m/>
    <m/>
    <m/>
    <m/>
    <m/>
    <s v="{ea749610-7c4f-4a38-b1b8-5b6d1453ef96}"/>
    <d v="2019-04-19T15:41:30"/>
    <s v="ccber_user"/>
    <d v="2019-04-19T15:41:30"/>
    <s v="ccber_user"/>
  </r>
  <r>
    <n v="54"/>
    <x v="8"/>
    <n v="2"/>
    <x v="0"/>
    <s v="Vegetation - Shrub"/>
    <m/>
    <m/>
    <m/>
    <m/>
    <x v="0"/>
    <m/>
    <m/>
    <m/>
    <m/>
    <m/>
    <m/>
    <m/>
    <m/>
    <m/>
    <m/>
    <m/>
    <m/>
    <m/>
    <m/>
    <m/>
    <s v="{01622e9f-f57c-4cab-9baf-501872e84d91}"/>
    <d v="2019-04-19T15:41:43"/>
    <s v="ccber_user"/>
    <d v="2019-04-19T15:41:43"/>
    <s v="ccber_user"/>
  </r>
  <r>
    <n v="55"/>
    <x v="18"/>
    <n v="2"/>
    <x v="0"/>
    <s v="Building"/>
    <m/>
    <m/>
    <m/>
    <m/>
    <x v="0"/>
    <m/>
    <m/>
    <m/>
    <m/>
    <m/>
    <m/>
    <m/>
    <m/>
    <m/>
    <m/>
    <m/>
    <m/>
    <m/>
    <m/>
    <m/>
    <s v="{2345e565-be43-4c15-a3af-e9b28411ddd7}"/>
    <d v="2019-04-19T15:42:29"/>
    <s v="ccber_user"/>
    <d v="2019-04-19T15:42:29"/>
    <s v="ccber_user"/>
  </r>
  <r>
    <n v="56"/>
    <x v="2"/>
    <n v="4"/>
    <x v="1"/>
    <s v="Vegetation - Tree"/>
    <m/>
    <m/>
    <m/>
    <m/>
    <x v="0"/>
    <m/>
    <m/>
    <m/>
    <m/>
    <m/>
    <m/>
    <m/>
    <m/>
    <m/>
    <m/>
    <m/>
    <m/>
    <m/>
    <m/>
    <m/>
    <s v="{c626b8a0-2f6d-45ea-8026-2ab966cff2d4}"/>
    <d v="2019-04-19T15:43:01"/>
    <s v="ccber_user"/>
    <d v="2019-04-19T15:43:01"/>
    <s v="ccber_user"/>
  </r>
  <r>
    <n v="57"/>
    <x v="24"/>
    <n v="1"/>
    <x v="0"/>
    <s v="Vegetation - Shrub"/>
    <m/>
    <m/>
    <m/>
    <m/>
    <x v="0"/>
    <m/>
    <m/>
    <m/>
    <m/>
    <m/>
    <m/>
    <m/>
    <m/>
    <m/>
    <m/>
    <m/>
    <m/>
    <m/>
    <m/>
    <m/>
    <s v="{71b99418-901f-40c2-8430-2053ba17732e}"/>
    <d v="2019-04-19T15:45:02"/>
    <s v="ccber_user"/>
    <d v="2019-04-19T15:45:02"/>
    <s v="ccber_user"/>
  </r>
  <r>
    <n v="58"/>
    <x v="7"/>
    <n v="1"/>
    <x v="0"/>
    <s v="Flyover"/>
    <m/>
    <m/>
    <m/>
    <m/>
    <x v="0"/>
    <m/>
    <m/>
    <m/>
    <m/>
    <m/>
    <m/>
    <m/>
    <m/>
    <m/>
    <m/>
    <m/>
    <m/>
    <m/>
    <m/>
    <m/>
    <s v="{0bc42c73-074b-4261-9eb1-2004d2e642a4}"/>
    <d v="2019-04-19T15:47:59"/>
    <s v="ccber_user"/>
    <d v="2019-04-19T15:47:59"/>
    <s v="ccber_user"/>
  </r>
  <r>
    <n v="59"/>
    <x v="19"/>
    <n v="1"/>
    <x v="1"/>
    <s v="Fence"/>
    <m/>
    <m/>
    <m/>
    <m/>
    <x v="0"/>
    <m/>
    <m/>
    <m/>
    <m/>
    <m/>
    <m/>
    <m/>
    <m/>
    <m/>
    <m/>
    <m/>
    <m/>
    <m/>
    <m/>
    <m/>
    <s v="{21885c6d-b333-43e2-8294-1203d89149a4}"/>
    <d v="2019-04-19T15:52:55"/>
    <s v="ccber_user"/>
    <d v="2019-04-19T15:52:55"/>
    <s v="ccber_user"/>
  </r>
  <r>
    <n v="60"/>
    <x v="25"/>
    <n v="1"/>
    <x v="0"/>
    <s v="Vegetation - Shrub"/>
    <m/>
    <m/>
    <m/>
    <m/>
    <x v="0"/>
    <m/>
    <m/>
    <m/>
    <m/>
    <m/>
    <m/>
    <m/>
    <m/>
    <m/>
    <m/>
    <m/>
    <m/>
    <m/>
    <m/>
    <m/>
    <s v="{c6f6a74b-68dd-4bb8-93b8-11921f3d8453}"/>
    <d v="2019-04-19T15:56:26"/>
    <s v="ccber_user"/>
    <d v="2019-04-19T15:56:26"/>
    <s v="ccber_user"/>
  </r>
  <r>
    <n v="61"/>
    <x v="23"/>
    <n v="1"/>
    <x v="0"/>
    <s v="Bare ground"/>
    <m/>
    <m/>
    <m/>
    <m/>
    <x v="0"/>
    <m/>
    <m/>
    <m/>
    <m/>
    <m/>
    <m/>
    <m/>
    <m/>
    <m/>
    <m/>
    <m/>
    <m/>
    <m/>
    <m/>
    <m/>
    <s v="{b3838e13-e18d-43d4-8d40-fc08db266e70}"/>
    <d v="2019-04-19T16:00:30"/>
    <s v="ccber_user"/>
    <d v="2019-04-19T16:00:30"/>
    <s v="ccber_user"/>
  </r>
  <r>
    <n v="62"/>
    <x v="18"/>
    <n v="2"/>
    <x v="0"/>
    <s v="Bridge"/>
    <m/>
    <m/>
    <m/>
    <m/>
    <x v="0"/>
    <m/>
    <m/>
    <m/>
    <m/>
    <m/>
    <m/>
    <m/>
    <m/>
    <m/>
    <m/>
    <m/>
    <m/>
    <m/>
    <m/>
    <m/>
    <s v="{0fcf9522-1324-4460-a86c-fa1fae358bf0}"/>
    <d v="2019-04-19T16:06:09"/>
    <s v="ccber_user"/>
    <d v="2019-04-19T16:06:09"/>
    <s v="ccber_user"/>
  </r>
  <r>
    <n v="63"/>
    <x v="26"/>
    <n v="4"/>
    <x v="0"/>
    <s v="Bare ground"/>
    <m/>
    <s v="Other"/>
    <s v="family with two newborn chicks"/>
    <m/>
    <x v="0"/>
    <m/>
    <s v="922"/>
    <m/>
    <m/>
    <m/>
    <m/>
    <m/>
    <m/>
    <m/>
    <m/>
    <m/>
    <m/>
    <m/>
    <m/>
    <m/>
    <s v="{8bc4a422-47c9-4bd1-a152-f71157d57ff9}"/>
    <d v="2019-04-19T16:15:21"/>
    <s v="ccber_user"/>
    <d v="2019-04-19T16:21:14"/>
    <s v="ccber_user"/>
  </r>
  <r>
    <n v="64"/>
    <x v="27"/>
    <n v="1"/>
    <x v="0"/>
    <s v="Bare ground"/>
    <m/>
    <m/>
    <m/>
    <n v="5.8"/>
    <x v="1"/>
    <s v="7"/>
    <m/>
    <n v="54"/>
    <n v="100"/>
    <s v="Fog"/>
    <s v="Light"/>
    <s v="North"/>
    <m/>
    <m/>
    <m/>
    <m/>
    <m/>
    <m/>
    <m/>
    <m/>
    <s v="{1c7cf5bc-04ab-48a4-9e9c-46bd7fa34e6d}"/>
    <d v="2019-04-19T14:13:57"/>
    <s v="clark@ccber.ucsb.edu_ucsb"/>
    <d v="2019-04-19T14:13:57"/>
    <s v="clark@ccber.ucsb.edu_ucsb"/>
  </r>
  <r>
    <n v="65"/>
    <x v="12"/>
    <n v="1"/>
    <x v="0"/>
    <s v="Mud"/>
    <m/>
    <m/>
    <m/>
    <m/>
    <x v="1"/>
    <m/>
    <m/>
    <m/>
    <m/>
    <m/>
    <m/>
    <m/>
    <m/>
    <m/>
    <m/>
    <m/>
    <m/>
    <m/>
    <m/>
    <m/>
    <s v="{817511b0-2ba0-4f4c-b2e3-1ca7e847c089}"/>
    <d v="2019-04-19T14:15:19"/>
    <s v="clark@ccber.ucsb.edu_ucsb"/>
    <d v="2019-04-19T14:15:19"/>
    <s v="clark@ccber.ucsb.edu_ucsb"/>
  </r>
  <r>
    <n v="66"/>
    <x v="23"/>
    <n v="1"/>
    <x v="0"/>
    <s v="Vegetation - Tree"/>
    <m/>
    <m/>
    <m/>
    <m/>
    <x v="1"/>
    <m/>
    <m/>
    <m/>
    <m/>
    <m/>
    <m/>
    <m/>
    <m/>
    <m/>
    <m/>
    <m/>
    <m/>
    <m/>
    <m/>
    <m/>
    <s v="{adc9c1c8-6ea2-4c2f-8e85-70883e1b6872}"/>
    <d v="2019-04-19T14:22:56"/>
    <s v="clark@ccber.ucsb.edu_ucsb"/>
    <d v="2019-04-19T14:22:56"/>
    <s v="clark@ccber.ucsb.edu_ucsb"/>
  </r>
  <r>
    <n v="67"/>
    <x v="23"/>
    <n v="1"/>
    <x v="0"/>
    <s v="Bare ground"/>
    <m/>
    <m/>
    <m/>
    <m/>
    <x v="1"/>
    <m/>
    <m/>
    <m/>
    <m/>
    <m/>
    <m/>
    <m/>
    <m/>
    <m/>
    <m/>
    <m/>
    <m/>
    <m/>
    <m/>
    <m/>
    <s v="{c2f35ba8-698d-4ba5-a528-db889b41fe45}"/>
    <d v="2019-04-19T14:23:13"/>
    <s v="clark@ccber.ucsb.edu_ucsb"/>
    <d v="2019-04-19T14:23:13"/>
    <s v="clark@ccber.ucsb.edu_ucsb"/>
  </r>
  <r>
    <n v="68"/>
    <x v="28"/>
    <n v="1"/>
    <x v="0"/>
    <s v="Vegetation - Tree"/>
    <m/>
    <m/>
    <m/>
    <m/>
    <x v="1"/>
    <m/>
    <m/>
    <m/>
    <m/>
    <m/>
    <m/>
    <m/>
    <m/>
    <m/>
    <m/>
    <m/>
    <m/>
    <m/>
    <m/>
    <m/>
    <s v="{37a0e55e-0bbc-48b9-a6e6-a4eea00f639a}"/>
    <d v="2019-04-19T14:24:53"/>
    <s v="clark@ccber.ucsb.edu_ucsb"/>
    <d v="2019-04-19T14:24:53"/>
    <s v="clark@ccber.ucsb.edu_ucsb"/>
  </r>
  <r>
    <n v="69"/>
    <x v="25"/>
    <n v="1"/>
    <x v="0"/>
    <s v="Vegetation - Tree"/>
    <m/>
    <m/>
    <m/>
    <m/>
    <x v="1"/>
    <m/>
    <m/>
    <m/>
    <m/>
    <m/>
    <m/>
    <m/>
    <m/>
    <m/>
    <m/>
    <m/>
    <m/>
    <m/>
    <m/>
    <m/>
    <s v="{ddf0760d-32ef-4519-a56b-0a8a70681024}"/>
    <d v="2019-04-19T14:25:16"/>
    <s v="clark@ccber.ucsb.edu_ucsb"/>
    <d v="2019-04-19T14:25:16"/>
    <s v="clark@ccber.ucsb.edu_ucsb"/>
  </r>
  <r>
    <n v="70"/>
    <x v="17"/>
    <n v="1"/>
    <x v="0"/>
    <s v="Vegetation - Tree"/>
    <m/>
    <m/>
    <m/>
    <m/>
    <x v="1"/>
    <m/>
    <m/>
    <m/>
    <m/>
    <m/>
    <m/>
    <m/>
    <m/>
    <m/>
    <m/>
    <m/>
    <m/>
    <m/>
    <m/>
    <m/>
    <s v="{d97aeb6b-5462-44dd-b88a-324096526eb8}"/>
    <d v="2019-04-19T14:25:27"/>
    <s v="clark@ccber.ucsb.edu_ucsb"/>
    <d v="2019-04-19T14:25:27"/>
    <s v="clark@ccber.ucsb.edu_ucsb"/>
  </r>
  <r>
    <n v="71"/>
    <x v="25"/>
    <n v="1"/>
    <x v="0"/>
    <s v="Vegetation - Tree"/>
    <m/>
    <m/>
    <m/>
    <m/>
    <x v="1"/>
    <m/>
    <m/>
    <m/>
    <m/>
    <m/>
    <m/>
    <m/>
    <m/>
    <m/>
    <m/>
    <m/>
    <m/>
    <m/>
    <m/>
    <m/>
    <s v="{c391641b-486b-4330-8da3-845b6ccefe13}"/>
    <d v="2019-04-19T14:27:36"/>
    <s v="clark@ccber.ucsb.edu_ucsb"/>
    <d v="2019-04-19T14:27:36"/>
    <s v="clark@ccber.ucsb.edu_ucsb"/>
  </r>
  <r>
    <n v="72"/>
    <x v="12"/>
    <n v="1"/>
    <x v="0"/>
    <s v="Bare ground"/>
    <m/>
    <m/>
    <m/>
    <m/>
    <x v="1"/>
    <m/>
    <m/>
    <m/>
    <m/>
    <m/>
    <m/>
    <m/>
    <m/>
    <m/>
    <m/>
    <m/>
    <m/>
    <m/>
    <m/>
    <m/>
    <s v="{c9b1586d-650a-436d-b211-e5531c59dd89}"/>
    <d v="2019-04-19T14:29:19"/>
    <s v="clark@ccber.ucsb.edu_ucsb"/>
    <d v="2019-04-19T14:29:19"/>
    <s v="clark@ccber.ucsb.edu_ucsb"/>
  </r>
  <r>
    <n v="73"/>
    <x v="12"/>
    <n v="1"/>
    <x v="0"/>
    <s v="Bare ground"/>
    <m/>
    <m/>
    <m/>
    <m/>
    <x v="1"/>
    <m/>
    <m/>
    <m/>
    <m/>
    <m/>
    <m/>
    <m/>
    <m/>
    <m/>
    <m/>
    <m/>
    <m/>
    <m/>
    <m/>
    <m/>
    <s v="{2763f7e7-c1c9-4891-9601-56b5c3917fa8}"/>
    <d v="2019-04-19T14:41:05"/>
    <s v="clark@ccber.ucsb.edu_ucsb"/>
    <d v="2019-04-19T14:41:05"/>
    <s v="clark@ccber.ucsb.edu_ucsb"/>
  </r>
  <r>
    <n v="74"/>
    <x v="29"/>
    <n v="17"/>
    <x v="0"/>
    <s v="Vegetation - Herbaceous"/>
    <m/>
    <m/>
    <m/>
    <m/>
    <x v="1"/>
    <m/>
    <m/>
    <m/>
    <m/>
    <m/>
    <m/>
    <m/>
    <m/>
    <m/>
    <m/>
    <m/>
    <m/>
    <m/>
    <m/>
    <m/>
    <s v="{52401b5d-ef16-40da-a7b2-99b6c14e6242}"/>
    <d v="2019-04-19T14:43:37"/>
    <s v="clark@ccber.ucsb.edu_ucsb"/>
    <d v="2019-04-19T14:43:37"/>
    <s v="clark@ccber.ucsb.edu_ucsb"/>
  </r>
  <r>
    <n v="75"/>
    <x v="14"/>
    <n v="1"/>
    <x v="0"/>
    <s v="Water - Wading"/>
    <m/>
    <m/>
    <m/>
    <m/>
    <x v="1"/>
    <m/>
    <m/>
    <m/>
    <m/>
    <m/>
    <m/>
    <m/>
    <m/>
    <m/>
    <m/>
    <m/>
    <m/>
    <m/>
    <m/>
    <m/>
    <s v="{91c012a0-5ce6-48ef-bea2-4e7eace661f0}"/>
    <d v="2019-04-19T14:45:17"/>
    <s v="clark@ccber.ucsb.edu_ucsb"/>
    <d v="2019-04-19T14:45:17"/>
    <s v="clark@ccber.ucsb.edu_ucsb"/>
  </r>
  <r>
    <n v="76"/>
    <x v="0"/>
    <n v="1"/>
    <x v="0"/>
    <s v="Flyover"/>
    <m/>
    <m/>
    <m/>
    <m/>
    <x v="1"/>
    <m/>
    <m/>
    <m/>
    <m/>
    <m/>
    <m/>
    <m/>
    <m/>
    <m/>
    <m/>
    <m/>
    <m/>
    <m/>
    <m/>
    <m/>
    <s v="{9de42ab6-9e00-40bf-9c11-7026350bd7f6}"/>
    <d v="2019-04-19T14:46:12"/>
    <s v="clark@ccber.ucsb.edu_ucsb"/>
    <d v="2019-04-19T14:46:12"/>
    <s v="clark@ccber.ucsb.edu_ucsb"/>
  </r>
  <r>
    <n v="77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739f417f-dcf8-407f-aae7-69a7212d025b}"/>
    <d v="2019-04-19T14:50:03"/>
    <s v="clark@ccber.ucsb.edu_ucsb"/>
    <d v="2019-04-19T14:50:03"/>
    <s v="clark@ccber.ucsb.edu_ucsb"/>
  </r>
  <r>
    <n v="78"/>
    <x v="12"/>
    <n v="3"/>
    <x v="0"/>
    <s v="Bare ground"/>
    <m/>
    <m/>
    <m/>
    <m/>
    <x v="1"/>
    <m/>
    <m/>
    <m/>
    <m/>
    <m/>
    <m/>
    <m/>
    <m/>
    <m/>
    <m/>
    <m/>
    <m/>
    <m/>
    <m/>
    <m/>
    <s v="{8ed4edc0-e95e-4b62-89ca-2dd0cab8c4c5}"/>
    <d v="2019-04-19T15:00:29"/>
    <s v="clark@ccber.ucsb.edu_ucsb"/>
    <d v="2019-04-19T15:02:20"/>
    <s v="clark@ccber.ucsb.edu_ucsb"/>
  </r>
  <r>
    <n v="79"/>
    <x v="31"/>
    <n v="1"/>
    <x v="0"/>
    <s v="Vegetation - Herbaceous"/>
    <m/>
    <m/>
    <m/>
    <m/>
    <x v="1"/>
    <m/>
    <m/>
    <m/>
    <m/>
    <m/>
    <m/>
    <m/>
    <m/>
    <m/>
    <m/>
    <m/>
    <m/>
    <m/>
    <m/>
    <m/>
    <s v="{3838df2e-34cc-402f-8710-c3dd118852cc}"/>
    <d v="2019-04-19T15:02:12"/>
    <s v="clark@ccber.ucsb.edu_ucsb"/>
    <d v="2019-04-19T15:02:12"/>
    <s v="clark@ccber.ucsb.edu_ucsb"/>
  </r>
  <r>
    <n v="80"/>
    <x v="25"/>
    <n v="1"/>
    <x v="0"/>
    <s v="Vegetation - Tree"/>
    <m/>
    <m/>
    <m/>
    <m/>
    <x v="1"/>
    <m/>
    <m/>
    <m/>
    <m/>
    <m/>
    <m/>
    <m/>
    <m/>
    <m/>
    <m/>
    <m/>
    <m/>
    <m/>
    <m/>
    <m/>
    <s v="{448ee0cd-e100-4632-91b2-c95d23cc835f}"/>
    <d v="2019-04-19T15:07:55"/>
    <s v="clark@ccber.ucsb.edu_ucsb"/>
    <d v="2019-04-19T15:07:55"/>
    <s v="clark@ccber.ucsb.edu_ucsb"/>
  </r>
  <r>
    <n v="81"/>
    <x v="23"/>
    <n v="1"/>
    <x v="0"/>
    <s v="Vegetation - Tree"/>
    <m/>
    <m/>
    <m/>
    <m/>
    <x v="1"/>
    <m/>
    <m/>
    <m/>
    <m/>
    <m/>
    <m/>
    <m/>
    <m/>
    <m/>
    <m/>
    <m/>
    <m/>
    <m/>
    <m/>
    <m/>
    <s v="{cc940c6a-6e68-4f57-933d-fd9e582a6610}"/>
    <d v="2019-04-19T15:08:15"/>
    <s v="clark@ccber.ucsb.edu_ucsb"/>
    <d v="2019-04-19T15:08:15"/>
    <s v="clark@ccber.ucsb.edu_ucsb"/>
  </r>
  <r>
    <n v="82"/>
    <x v="8"/>
    <n v="1"/>
    <x v="0"/>
    <s v="Vegetation - Tree"/>
    <m/>
    <m/>
    <m/>
    <m/>
    <x v="1"/>
    <m/>
    <m/>
    <m/>
    <m/>
    <m/>
    <m/>
    <m/>
    <m/>
    <m/>
    <m/>
    <m/>
    <m/>
    <m/>
    <m/>
    <m/>
    <s v="{62cfa497-b665-43e4-b5da-5fac4fd94f55}"/>
    <d v="2019-04-19T15:08:28"/>
    <s v="clark@ccber.ucsb.edu_ucsb"/>
    <d v="2019-04-19T15:08:28"/>
    <s v="clark@ccber.ucsb.edu_ucsb"/>
  </r>
  <r>
    <n v="83"/>
    <x v="21"/>
    <n v="1"/>
    <x v="0"/>
    <s v="Water - Wading"/>
    <m/>
    <m/>
    <m/>
    <m/>
    <x v="1"/>
    <m/>
    <m/>
    <m/>
    <m/>
    <m/>
    <m/>
    <m/>
    <m/>
    <m/>
    <m/>
    <m/>
    <m/>
    <m/>
    <m/>
    <m/>
    <s v="{57b5bd35-aa42-4582-94f2-2d6751f522ce}"/>
    <d v="2019-04-19T15:10:39"/>
    <s v="clark@ccber.ucsb.edu_ucsb"/>
    <d v="2019-04-19T15:10:39"/>
    <s v="clark@ccber.ucsb.edu_ucsb"/>
  </r>
  <r>
    <n v="84"/>
    <x v="1"/>
    <n v="1"/>
    <x v="0"/>
    <s v="Water - Wading"/>
    <m/>
    <m/>
    <m/>
    <m/>
    <x v="1"/>
    <m/>
    <m/>
    <m/>
    <m/>
    <m/>
    <m/>
    <m/>
    <m/>
    <m/>
    <m/>
    <m/>
    <m/>
    <m/>
    <m/>
    <m/>
    <s v="{ec036783-902c-4233-baa8-a4973b990613}"/>
    <d v="2019-04-19T15:10:59"/>
    <s v="clark@ccber.ucsb.edu_ucsb"/>
    <d v="2019-04-19T15:10:59"/>
    <s v="clark@ccber.ucsb.edu_ucsb"/>
  </r>
  <r>
    <n v="85"/>
    <x v="12"/>
    <n v="1"/>
    <x v="0"/>
    <s v="Bare ground"/>
    <m/>
    <m/>
    <m/>
    <m/>
    <x v="1"/>
    <m/>
    <m/>
    <m/>
    <m/>
    <m/>
    <m/>
    <m/>
    <m/>
    <m/>
    <m/>
    <m/>
    <m/>
    <m/>
    <m/>
    <m/>
    <s v="{fe907209-0832-4654-827b-8edf2782713c}"/>
    <d v="2019-04-19T15:13:24"/>
    <s v="clark@ccber.ucsb.edu_ucsb"/>
    <d v="2019-04-19T15:13:24"/>
    <s v="clark@ccber.ucsb.edu_ucsb"/>
  </r>
  <r>
    <n v="86"/>
    <x v="24"/>
    <n v="2"/>
    <x v="0"/>
    <m/>
    <m/>
    <m/>
    <m/>
    <m/>
    <x v="1"/>
    <m/>
    <m/>
    <m/>
    <m/>
    <m/>
    <m/>
    <m/>
    <m/>
    <m/>
    <m/>
    <m/>
    <m/>
    <m/>
    <m/>
    <m/>
    <s v="{8209df3c-db9b-4a7d-ab75-a189044dd042}"/>
    <d v="2019-04-19T15:14:19"/>
    <s v="clark@ccber.ucsb.edu_ucsb"/>
    <d v="2019-04-19T15:14:19"/>
    <s v="clark@ccber.ucsb.edu_ucsb"/>
  </r>
  <r>
    <n v="87"/>
    <x v="18"/>
    <n v="3"/>
    <x v="0"/>
    <s v="Flyover"/>
    <m/>
    <m/>
    <m/>
    <m/>
    <x v="1"/>
    <m/>
    <m/>
    <m/>
    <m/>
    <m/>
    <m/>
    <m/>
    <m/>
    <m/>
    <m/>
    <m/>
    <m/>
    <m/>
    <m/>
    <m/>
    <s v="{f27e70d3-9012-427e-b769-fcffa2f4305b}"/>
    <d v="2019-04-19T15:16:57"/>
    <s v="clark@ccber.ucsb.edu_ucsb"/>
    <d v="2019-04-19T15:16:57"/>
    <s v="clark@ccber.ucsb.edu_ucsb"/>
  </r>
  <r>
    <n v="88"/>
    <x v="18"/>
    <n v="5"/>
    <x v="0"/>
    <s v="Vegetation - Tree"/>
    <m/>
    <m/>
    <m/>
    <m/>
    <x v="1"/>
    <m/>
    <m/>
    <m/>
    <m/>
    <m/>
    <m/>
    <m/>
    <m/>
    <m/>
    <m/>
    <m/>
    <m/>
    <m/>
    <m/>
    <m/>
    <s v="{3c195052-dd1c-4cf5-a355-1cf977975649}"/>
    <d v="2019-04-19T15:19:21"/>
    <s v="clark@ccber.ucsb.edu_ucsb"/>
    <d v="2019-04-19T15:19:21"/>
    <s v="clark@ccber.ucsb.edu_ucsb"/>
  </r>
  <r>
    <n v="89"/>
    <x v="32"/>
    <n v="2"/>
    <x v="0"/>
    <m/>
    <m/>
    <m/>
    <m/>
    <m/>
    <x v="1"/>
    <m/>
    <m/>
    <m/>
    <m/>
    <m/>
    <m/>
    <m/>
    <m/>
    <m/>
    <m/>
    <m/>
    <m/>
    <m/>
    <m/>
    <m/>
    <s v="{d2a8616a-2988-4a13-a6eb-de46b647ae7b}"/>
    <d v="2019-04-19T15:19:52"/>
    <s v="clark@ccber.ucsb.edu_ucsb"/>
    <d v="2019-04-19T15:19:52"/>
    <s v="clark@ccber.ucsb.edu_ucsb"/>
  </r>
  <r>
    <n v="90"/>
    <x v="12"/>
    <n v="4"/>
    <x v="0"/>
    <s v="Bare ground"/>
    <m/>
    <s v="Other"/>
    <s v="adult with 3 chicks. Changed Repeat Observation from Yes to No following post-survey review."/>
    <m/>
    <x v="1"/>
    <m/>
    <m/>
    <m/>
    <m/>
    <m/>
    <m/>
    <m/>
    <m/>
    <m/>
    <m/>
    <m/>
    <m/>
    <m/>
    <m/>
    <m/>
    <s v="{03cabf89-4063-4d8a-844c-9e4583401759}"/>
    <d v="2019-04-19T15:22:13"/>
    <s v="clark@ccber.ucsb.edu_ucsb"/>
    <d v="2019-04-19T15:22:13"/>
    <s v="clark@ccber.ucsb.edu_ucsb"/>
  </r>
  <r>
    <n v="91"/>
    <x v="33"/>
    <n v="1"/>
    <x v="0"/>
    <s v="Vegetation - Tree"/>
    <m/>
    <m/>
    <m/>
    <m/>
    <x v="1"/>
    <m/>
    <m/>
    <m/>
    <m/>
    <m/>
    <m/>
    <m/>
    <m/>
    <m/>
    <m/>
    <m/>
    <m/>
    <m/>
    <m/>
    <m/>
    <s v="{34854a89-dde6-481b-857b-04421c16fc5c}"/>
    <d v="2019-04-19T15:25:43"/>
    <s v="clark@ccber.ucsb.edu_ucsb"/>
    <d v="2019-04-19T15:25:43"/>
    <s v="clark@ccber.ucsb.edu_ucsb"/>
  </r>
  <r>
    <n v="92"/>
    <x v="23"/>
    <n v="1"/>
    <x v="0"/>
    <s v="Vegetation - Tree"/>
    <m/>
    <m/>
    <m/>
    <m/>
    <x v="1"/>
    <m/>
    <m/>
    <m/>
    <m/>
    <m/>
    <m/>
    <m/>
    <m/>
    <m/>
    <m/>
    <m/>
    <m/>
    <m/>
    <m/>
    <m/>
    <s v="{1a5c411c-ebf9-4506-812c-00708fc31055}"/>
    <d v="2019-04-19T15:26:04"/>
    <s v="clark@ccber.ucsb.edu_ucsb"/>
    <d v="2019-04-19T15:26:04"/>
    <s v="clark@ccber.ucsb.edu_ucsb"/>
  </r>
  <r>
    <n v="93"/>
    <x v="25"/>
    <n v="1"/>
    <x v="0"/>
    <s v="Vegetation - Tree"/>
    <m/>
    <m/>
    <m/>
    <m/>
    <x v="1"/>
    <m/>
    <m/>
    <m/>
    <m/>
    <m/>
    <m/>
    <m/>
    <m/>
    <m/>
    <m/>
    <m/>
    <m/>
    <m/>
    <m/>
    <m/>
    <s v="{e2c6c5e6-8913-472e-b475-91a75e868afd}"/>
    <d v="2019-04-19T15:26:16"/>
    <s v="clark@ccber.ucsb.edu_ucsb"/>
    <d v="2019-04-19T15:26:16"/>
    <s v="clark@ccber.ucsb.edu_ucsb"/>
  </r>
  <r>
    <n v="94"/>
    <x v="33"/>
    <n v="2"/>
    <x v="0"/>
    <s v="Habitat Feature - Snag"/>
    <m/>
    <s v="Copulation"/>
    <m/>
    <m/>
    <x v="1"/>
    <m/>
    <m/>
    <m/>
    <m/>
    <m/>
    <m/>
    <m/>
    <m/>
    <m/>
    <m/>
    <m/>
    <m/>
    <m/>
    <m/>
    <m/>
    <s v="{633e1855-445e-4c6a-8aab-b0324b15bfb3}"/>
    <d v="2019-04-19T15:30:21"/>
    <s v="clark@ccber.ucsb.edu_ucsb"/>
    <d v="2019-04-19T15:30:21"/>
    <s v="clark@ccber.ucsb.edu_ucsb"/>
  </r>
  <r>
    <n v="95"/>
    <x v="14"/>
    <n v="2"/>
    <x v="0"/>
    <m/>
    <m/>
    <m/>
    <m/>
    <m/>
    <x v="1"/>
    <m/>
    <m/>
    <m/>
    <m/>
    <m/>
    <m/>
    <m/>
    <m/>
    <m/>
    <m/>
    <m/>
    <m/>
    <m/>
    <m/>
    <m/>
    <s v="{fc17bd7f-7599-4148-bb84-b4802f65243f}"/>
    <d v="2019-04-19T15:30:36"/>
    <s v="clark@ccber.ucsb.edu_ucsb"/>
    <d v="2019-04-19T15:30:36"/>
    <s v="clark@ccber.ucsb.edu_ucsb"/>
  </r>
  <r>
    <n v="96"/>
    <x v="12"/>
    <n v="1"/>
    <x v="0"/>
    <s v="Bare ground"/>
    <m/>
    <m/>
    <m/>
    <m/>
    <x v="1"/>
    <m/>
    <m/>
    <m/>
    <m/>
    <m/>
    <m/>
    <m/>
    <m/>
    <m/>
    <m/>
    <m/>
    <m/>
    <m/>
    <m/>
    <m/>
    <s v="{8d2c7724-0814-4eab-975d-8c412dbe5ce6}"/>
    <d v="2019-04-19T15:36:47"/>
    <s v="clark@ccber.ucsb.edu_ucsb"/>
    <d v="2019-04-19T15:36:47"/>
    <s v="clark@ccber.ucsb.edu_ucsb"/>
  </r>
  <r>
    <n v="97"/>
    <x v="23"/>
    <n v="1"/>
    <x v="0"/>
    <s v="Vegetation - Shrub"/>
    <m/>
    <m/>
    <m/>
    <m/>
    <x v="1"/>
    <m/>
    <m/>
    <m/>
    <m/>
    <m/>
    <m/>
    <m/>
    <m/>
    <m/>
    <m/>
    <m/>
    <m/>
    <m/>
    <m/>
    <m/>
    <s v="{decc9d5c-edd5-4635-b813-48eec4b2a067}"/>
    <d v="2019-04-19T15:37:22"/>
    <s v="clark@ccber.ucsb.edu_ucsb"/>
    <d v="2019-04-19T15:37:22"/>
    <s v="clark@ccber.ucsb.edu_ucsb"/>
  </r>
  <r>
    <n v="98"/>
    <x v="34"/>
    <n v="1"/>
    <x v="0"/>
    <s v="Vegetation - Tree"/>
    <m/>
    <m/>
    <m/>
    <m/>
    <x v="1"/>
    <m/>
    <m/>
    <m/>
    <m/>
    <m/>
    <m/>
    <m/>
    <m/>
    <m/>
    <m/>
    <m/>
    <m/>
    <m/>
    <m/>
    <m/>
    <s v="{8cd151bc-15a8-4bd6-abd7-0fd3f083ede2}"/>
    <d v="2019-04-19T15:37:33"/>
    <s v="clark@ccber.ucsb.edu_ucsb"/>
    <d v="2019-04-19T15:37:33"/>
    <s v="clark@ccber.ucsb.edu_ucsb"/>
  </r>
  <r>
    <n v="99"/>
    <x v="0"/>
    <n v="15"/>
    <x v="0"/>
    <s v="Vegetation - Tree"/>
    <m/>
    <m/>
    <m/>
    <m/>
    <x v="1"/>
    <m/>
    <m/>
    <m/>
    <m/>
    <m/>
    <m/>
    <m/>
    <m/>
    <m/>
    <m/>
    <m/>
    <m/>
    <m/>
    <m/>
    <m/>
    <s v="{2ffce823-7605-4f34-96d6-51a62369e2d8}"/>
    <d v="2019-04-19T15:37:51"/>
    <s v="clark@ccber.ucsb.edu_ucsb"/>
    <d v="2019-04-19T15:39:50"/>
    <s v="clark@ccber.ucsb.edu_ucsb"/>
  </r>
  <r>
    <n v="100"/>
    <x v="8"/>
    <n v="2"/>
    <x v="0"/>
    <s v="Vegetation - Shrub"/>
    <m/>
    <m/>
    <m/>
    <m/>
    <x v="1"/>
    <m/>
    <m/>
    <m/>
    <m/>
    <m/>
    <m/>
    <m/>
    <m/>
    <m/>
    <m/>
    <m/>
    <m/>
    <m/>
    <m/>
    <m/>
    <s v="{a2301f65-0b6d-4718-9604-1f66ba0cf98e}"/>
    <d v="2019-04-19T15:39:14"/>
    <s v="clark@ccber.ucsb.edu_ucsb"/>
    <d v="2019-04-19T15:43:33"/>
    <s v="clark@ccber.ucsb.edu_ucsb"/>
  </r>
  <r>
    <n v="101"/>
    <x v="17"/>
    <n v="4"/>
    <x v="0"/>
    <s v="Vegetation - Shrub"/>
    <m/>
    <m/>
    <m/>
    <m/>
    <x v="1"/>
    <m/>
    <m/>
    <m/>
    <m/>
    <m/>
    <m/>
    <m/>
    <m/>
    <m/>
    <m/>
    <m/>
    <m/>
    <m/>
    <m/>
    <m/>
    <s v="{2d57edf3-8dab-4bfb-b393-8699669339db}"/>
    <d v="2019-04-19T15:39:28"/>
    <s v="clark@ccber.ucsb.edu_ucsb"/>
    <d v="2019-04-19T15:39:28"/>
    <s v="clark@ccber.ucsb.edu_ucsb"/>
  </r>
  <r>
    <n v="102"/>
    <x v="35"/>
    <n v="1"/>
    <x v="0"/>
    <s v="Vegetation - Tree"/>
    <m/>
    <m/>
    <m/>
    <m/>
    <x v="1"/>
    <m/>
    <m/>
    <m/>
    <m/>
    <m/>
    <m/>
    <m/>
    <m/>
    <m/>
    <m/>
    <m/>
    <m/>
    <m/>
    <m/>
    <m/>
    <s v="{f18ee48b-81e1-46d0-b0d5-6a50006e30eb}"/>
    <d v="2019-04-19T15:40:06"/>
    <s v="clark@ccber.ucsb.edu_ucsb"/>
    <d v="2019-04-19T15:40:06"/>
    <s v="clark@ccber.ucsb.edu_ucsb"/>
  </r>
  <r>
    <n v="103"/>
    <x v="30"/>
    <n v="1"/>
    <x v="0"/>
    <s v="Vegetation - Herbaceous"/>
    <m/>
    <m/>
    <m/>
    <m/>
    <x v="1"/>
    <m/>
    <m/>
    <m/>
    <m/>
    <m/>
    <m/>
    <m/>
    <m/>
    <m/>
    <m/>
    <m/>
    <m/>
    <m/>
    <m/>
    <m/>
    <s v="{f87456ee-d99b-4ef1-a4e5-7785890bb4ef}"/>
    <d v="2019-04-19T15:40:26"/>
    <s v="clark@ccber.ucsb.edu_ucsb"/>
    <d v="2019-04-19T15:40:26"/>
    <s v="clark@ccber.ucsb.edu_ucsb"/>
  </r>
  <r>
    <n v="104"/>
    <x v="36"/>
    <n v="1"/>
    <x v="0"/>
    <s v="Vegetation - Tree"/>
    <m/>
    <m/>
    <m/>
    <m/>
    <x v="1"/>
    <m/>
    <m/>
    <m/>
    <m/>
    <m/>
    <m/>
    <m/>
    <m/>
    <m/>
    <m/>
    <m/>
    <m/>
    <m/>
    <m/>
    <m/>
    <s v="{f464c5a4-be57-4934-b721-d9752a41f6f0}"/>
    <d v="2019-04-19T15:40:58"/>
    <s v="clark@ccber.ucsb.edu_ucsb"/>
    <d v="2019-04-19T15:40:58"/>
    <s v="clark@ccber.ucsb.edu_ucsb"/>
  </r>
  <r>
    <n v="105"/>
    <x v="37"/>
    <n v="1"/>
    <x v="0"/>
    <s v="Vegetation - Tree"/>
    <m/>
    <m/>
    <m/>
    <m/>
    <x v="1"/>
    <m/>
    <m/>
    <m/>
    <m/>
    <m/>
    <m/>
    <m/>
    <m/>
    <m/>
    <m/>
    <m/>
    <m/>
    <m/>
    <m/>
    <m/>
    <s v="{ced7f315-e1eb-42ca-bf72-52eb11177987}"/>
    <d v="2019-04-19T15:42:37"/>
    <s v="clark@ccber.ucsb.edu_ucsb"/>
    <d v="2019-04-19T15:42:37"/>
    <s v="clark@ccber.ucsb.edu_ucsb"/>
  </r>
  <r>
    <n v="106"/>
    <x v="38"/>
    <n v="2"/>
    <x v="0"/>
    <s v="Vegetation - Tree"/>
    <m/>
    <m/>
    <m/>
    <m/>
    <x v="1"/>
    <m/>
    <m/>
    <m/>
    <m/>
    <m/>
    <m/>
    <m/>
    <m/>
    <m/>
    <m/>
    <m/>
    <m/>
    <m/>
    <m/>
    <m/>
    <s v="{8a03964d-f061-4a2c-828b-d1e22c45548d}"/>
    <d v="2019-04-19T15:43:00"/>
    <s v="clark@ccber.ucsb.edu_ucsb"/>
    <d v="2019-04-19T15:43:00"/>
    <s v="clark@ccber.ucsb.edu_ucsb"/>
  </r>
  <r>
    <n v="107"/>
    <x v="39"/>
    <n v="1"/>
    <x v="0"/>
    <s v="Vegetation - Tree"/>
    <m/>
    <m/>
    <m/>
    <m/>
    <x v="1"/>
    <m/>
    <m/>
    <m/>
    <m/>
    <m/>
    <m/>
    <m/>
    <m/>
    <m/>
    <m/>
    <m/>
    <m/>
    <m/>
    <m/>
    <m/>
    <s v="{f16e0620-3ab7-48e8-90c6-f1f642d074c9}"/>
    <d v="2019-04-19T15:43:13"/>
    <s v="clark@ccber.ucsb.edu_ucsb"/>
    <d v="2019-04-19T15:43:13"/>
    <s v="clark@ccber.ucsb.edu_ucsb"/>
  </r>
  <r>
    <n v="108"/>
    <x v="38"/>
    <n v="1"/>
    <x v="0"/>
    <s v="Vegetation - Herbaceous"/>
    <m/>
    <m/>
    <m/>
    <m/>
    <x v="1"/>
    <m/>
    <m/>
    <m/>
    <m/>
    <m/>
    <m/>
    <m/>
    <m/>
    <m/>
    <m/>
    <m/>
    <m/>
    <m/>
    <m/>
    <m/>
    <s v="{1af3822f-65c2-4974-befb-aeb820d05127}"/>
    <d v="2019-04-19T15:44:33"/>
    <s v="clark@ccber.ucsb.edu_ucsb"/>
    <d v="2019-04-19T15:44:33"/>
    <s v="clark@ccber.ucsb.edu_ucsb"/>
  </r>
  <r>
    <n v="109"/>
    <x v="40"/>
    <n v="1"/>
    <x v="0"/>
    <m/>
    <m/>
    <m/>
    <m/>
    <m/>
    <x v="1"/>
    <m/>
    <m/>
    <m/>
    <m/>
    <m/>
    <m/>
    <m/>
    <m/>
    <m/>
    <m/>
    <m/>
    <m/>
    <m/>
    <m/>
    <m/>
    <s v="{5d2a7a6b-b65c-482a-8503-3ce33392580c}"/>
    <d v="2019-04-19T15:45:13"/>
    <s v="clark@ccber.ucsb.edu_ucsb"/>
    <d v="2019-04-19T15:45:13"/>
    <s v="clark@ccber.ucsb.edu_ucsb"/>
  </r>
  <r>
    <n v="110"/>
    <x v="16"/>
    <n v="5"/>
    <x v="0"/>
    <s v="Vegetation - Herbaceous"/>
    <m/>
    <m/>
    <m/>
    <m/>
    <x v="1"/>
    <m/>
    <m/>
    <m/>
    <m/>
    <m/>
    <m/>
    <m/>
    <m/>
    <m/>
    <m/>
    <m/>
    <m/>
    <m/>
    <m/>
    <m/>
    <s v="{ed12aa4c-54a6-4a94-992f-de8201468764}"/>
    <d v="2019-04-19T15:45:41"/>
    <s v="clark@ccber.ucsb.edu_ucsb"/>
    <d v="2019-04-19T15:45:41"/>
    <s v="clark@ccber.ucsb.edu_ucsb"/>
  </r>
  <r>
    <n v="111"/>
    <x v="8"/>
    <n v="2"/>
    <x v="0"/>
    <s v="Vegetation - Herbaceous"/>
    <m/>
    <m/>
    <m/>
    <m/>
    <x v="1"/>
    <m/>
    <m/>
    <m/>
    <m/>
    <m/>
    <m/>
    <m/>
    <m/>
    <m/>
    <m/>
    <m/>
    <m/>
    <m/>
    <m/>
    <m/>
    <s v="{394aa05a-202f-4d12-a66d-19ecfac461f2}"/>
    <d v="2019-04-19T15:46:09"/>
    <s v="clark@ccber.ucsb.edu_ucsb"/>
    <d v="2019-04-19T15:46:09"/>
    <s v="clark@ccber.ucsb.edu_ucsb"/>
  </r>
  <r>
    <n v="112"/>
    <x v="2"/>
    <n v="2"/>
    <x v="0"/>
    <m/>
    <m/>
    <m/>
    <m/>
    <m/>
    <x v="1"/>
    <m/>
    <m/>
    <m/>
    <m/>
    <m/>
    <m/>
    <m/>
    <m/>
    <m/>
    <m/>
    <m/>
    <m/>
    <m/>
    <m/>
    <m/>
    <s v="{5deed98c-7d6c-4657-a696-39da6584a4d8}"/>
    <d v="2019-04-19T15:49:23"/>
    <s v="clark@ccber.ucsb.edu_ucsb"/>
    <d v="2019-04-19T15:49:23"/>
    <s v="clark@ccber.ucsb.edu_ucsb"/>
  </r>
  <r>
    <n v="113"/>
    <x v="15"/>
    <n v="2"/>
    <x v="0"/>
    <s v="Water - Floating"/>
    <m/>
    <m/>
    <m/>
    <m/>
    <x v="1"/>
    <m/>
    <m/>
    <m/>
    <m/>
    <m/>
    <m/>
    <m/>
    <m/>
    <m/>
    <m/>
    <m/>
    <m/>
    <m/>
    <m/>
    <m/>
    <s v="{65508c1c-92b9-4fcd-830d-039cf3cb9734}"/>
    <d v="2019-04-19T15:50:13"/>
    <s v="clark@ccber.ucsb.edu_ucsb"/>
    <d v="2019-04-19T15:50:13"/>
    <s v="clark@ccber.ucsb.edu_ucsb"/>
  </r>
  <r>
    <n v="114"/>
    <x v="5"/>
    <n v="2"/>
    <x v="0"/>
    <s v="Water - Floating"/>
    <m/>
    <m/>
    <m/>
    <m/>
    <x v="1"/>
    <m/>
    <m/>
    <m/>
    <m/>
    <m/>
    <m/>
    <m/>
    <m/>
    <m/>
    <m/>
    <m/>
    <m/>
    <m/>
    <m/>
    <m/>
    <s v="{e5ecb2e5-2a36-4cb5-949e-bc41ac611c5f}"/>
    <d v="2019-04-19T15:50:51"/>
    <s v="clark@ccber.ucsb.edu_ucsb"/>
    <d v="2019-04-19T15:50:51"/>
    <s v="clark@ccber.ucsb.edu_ucsb"/>
  </r>
  <r>
    <n v="115"/>
    <x v="6"/>
    <n v="1"/>
    <x v="0"/>
    <s v="Water - Floating"/>
    <m/>
    <m/>
    <m/>
    <m/>
    <x v="1"/>
    <m/>
    <m/>
    <m/>
    <m/>
    <m/>
    <m/>
    <m/>
    <m/>
    <m/>
    <m/>
    <m/>
    <m/>
    <m/>
    <m/>
    <m/>
    <s v="{2504f379-56a7-4718-991d-2c9386e25674}"/>
    <d v="2019-04-19T15:51:28"/>
    <s v="clark@ccber.ucsb.edu_ucsb"/>
    <d v="2019-04-19T15:51:28"/>
    <s v="clark@ccber.ucsb.edu_ucsb"/>
  </r>
  <r>
    <n v="116"/>
    <x v="19"/>
    <n v="1"/>
    <x v="0"/>
    <s v="Vegetation - Tree"/>
    <m/>
    <m/>
    <m/>
    <m/>
    <x v="1"/>
    <m/>
    <m/>
    <m/>
    <m/>
    <m/>
    <m/>
    <m/>
    <m/>
    <m/>
    <m/>
    <m/>
    <m/>
    <m/>
    <m/>
    <m/>
    <s v="{06c5c951-85ce-4396-b011-b3b75005ca14}"/>
    <d v="2019-04-19T15:52:37"/>
    <s v="clark@ccber.ucsb.edu_ucsb"/>
    <d v="2019-04-19T15:52:37"/>
    <s v="clark@ccber.ucsb.edu_ucsb"/>
  </r>
  <r>
    <n v="117"/>
    <x v="1"/>
    <n v="1"/>
    <x v="0"/>
    <m/>
    <m/>
    <m/>
    <m/>
    <m/>
    <x v="1"/>
    <m/>
    <m/>
    <m/>
    <m/>
    <m/>
    <m/>
    <m/>
    <m/>
    <m/>
    <m/>
    <m/>
    <m/>
    <m/>
    <m/>
    <m/>
    <s v="{afe17867-91c2-428f-8046-0936e7e30348}"/>
    <d v="2019-04-19T15:55:26"/>
    <s v="clark@ccber.ucsb.edu_ucsb"/>
    <d v="2019-04-19T15:55:26"/>
    <s v="clark@ccber.ucsb.edu_ucsb"/>
  </r>
  <r>
    <n v="118"/>
    <x v="12"/>
    <n v="3"/>
    <x v="0"/>
    <s v="Bare ground"/>
    <m/>
    <m/>
    <m/>
    <m/>
    <x v="1"/>
    <m/>
    <m/>
    <m/>
    <m/>
    <m/>
    <m/>
    <m/>
    <m/>
    <m/>
    <m/>
    <m/>
    <m/>
    <m/>
    <m/>
    <m/>
    <s v="{8e91b709-a4b9-44f5-a385-ebd6ce8e61f3}"/>
    <d v="2019-04-19T15:56:34"/>
    <s v="clark@ccber.ucsb.edu_ucsb"/>
    <d v="2019-04-19T15:56:34"/>
    <s v="clark@ccber.ucsb.edu_ucsb"/>
  </r>
  <r>
    <n v="119"/>
    <x v="41"/>
    <n v="150"/>
    <x v="0"/>
    <s v="Air"/>
    <m/>
    <s v="Nest Building"/>
    <m/>
    <m/>
    <x v="1"/>
    <m/>
    <m/>
    <m/>
    <m/>
    <m/>
    <m/>
    <m/>
    <m/>
    <m/>
    <m/>
    <m/>
    <m/>
    <m/>
    <m/>
    <m/>
    <s v="{6b756847-6e46-44a8-9e7a-85b1a0d9c489}"/>
    <d v="2019-04-19T15:58:03"/>
    <s v="clark@ccber.ucsb.edu_ucsb"/>
    <d v="2019-04-19T15:58:03"/>
    <s v="clark@ccber.ucsb.edu_ucsb"/>
  </r>
  <r>
    <m/>
    <x v="42"/>
    <m/>
    <x v="2"/>
    <m/>
    <m/>
    <m/>
    <m/>
    <m/>
    <x v="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8" firstHeaderRow="1" firstDataRow="3" firstDataCol="1"/>
  <pivotFields count="30">
    <pivotField showAll="0"/>
    <pivotField axis="axisRow" showAll="0">
      <items count="44">
        <item x="39"/>
        <item x="6"/>
        <item x="0"/>
        <item x="29"/>
        <item x="25"/>
        <item x="13"/>
        <item x="11"/>
        <item x="17"/>
        <item x="9"/>
        <item x="23"/>
        <item x="26"/>
        <item x="4"/>
        <item x="15"/>
        <item x="41"/>
        <item x="24"/>
        <item x="19"/>
        <item x="16"/>
        <item x="7"/>
        <item x="21"/>
        <item x="1"/>
        <item x="2"/>
        <item x="32"/>
        <item x="28"/>
        <item x="12"/>
        <item x="33"/>
        <item x="22"/>
        <item x="38"/>
        <item x="5"/>
        <item x="34"/>
        <item x="3"/>
        <item x="36"/>
        <item x="37"/>
        <item x="40"/>
        <item x="35"/>
        <item x="18"/>
        <item x="27"/>
        <item x="30"/>
        <item x="14"/>
        <item x="8"/>
        <item x="20"/>
        <item x="10"/>
        <item x="31"/>
        <item h="1" x="42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m="1" x="3"/>
        <item m="1"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3"/>
    <field x="9"/>
  </colFields>
  <colItems count="6">
    <i>
      <x/>
      <x v="3"/>
    </i>
    <i r="1">
      <x v="4"/>
    </i>
    <i t="default">
      <x/>
    </i>
    <i>
      <x v="1"/>
      <x v="3"/>
    </i>
    <i t="default">
      <x v="1"/>
    </i>
    <i t="grand">
      <x/>
    </i>
  </colItems>
  <dataFields count="1">
    <dataField name="Sum of Count" fld="2" baseField="1" baseItem="0"/>
  </dataFields>
  <formats count="61">
    <format dxfId="60">
      <pivotArea outline="0" collapsedLevelsAreSubtotals="1" fieldPosition="0">
        <references count="1">
          <reference field="3" count="2" selected="0" defaultSubtotal="1">
            <x v="0"/>
            <x v="1"/>
          </reference>
        </references>
      </pivotArea>
    </format>
    <format dxfId="59">
      <pivotArea field="3" type="button" dataOnly="0" labelOnly="1" outline="0" axis="axisCol" fieldPosition="0"/>
    </format>
    <format dxfId="58">
      <pivotArea field="9" type="button" dataOnly="0" labelOnly="1" outline="0" axis="axisCol" fieldPosition="1"/>
    </format>
    <format dxfId="57">
      <pivotArea type="topRight" dataOnly="0" labelOnly="1" outline="0" fieldPosition="0"/>
    </format>
    <format dxfId="56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55">
      <pivotArea dataOnly="0" labelOnly="1" fieldPosition="0">
        <references count="1">
          <reference field="3" count="2" defaultSubtotal="1">
            <x v="0"/>
            <x v="1"/>
          </reference>
        </references>
      </pivotArea>
    </format>
    <format dxfId="54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53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5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51">
      <pivotArea type="topRight" dataOnly="0" labelOnly="1" outline="0" offset="B1:D1" fieldPosition="0"/>
    </format>
    <format dxfId="50">
      <pivotArea dataOnly="0" labelOnly="1" fieldPosition="0">
        <references count="1">
          <reference field="3" count="1">
            <x v="1"/>
          </reference>
        </references>
      </pivotArea>
    </format>
    <format dxfId="49">
      <pivotArea dataOnly="0" labelOnly="1" fieldPosition="0">
        <references count="1">
          <reference field="3" count="1" defaultSubtotal="1">
            <x v="1"/>
          </reference>
        </references>
      </pivotArea>
    </format>
    <format dxfId="48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47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46">
      <pivotArea type="topRight" dataOnly="0" labelOnly="1" outline="0" offset="A1" fieldPosition="0"/>
    </format>
    <format dxfId="4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4">
      <pivotArea collapsedLevelsAreSubtotals="1" fieldPosition="0">
        <references count="2">
          <reference field="1" count="0"/>
          <reference field="3" count="2" selected="0" defaultSubtotal="1">
            <x v="0"/>
            <x v="1"/>
          </reference>
        </references>
      </pivotArea>
    </format>
    <format dxfId="43">
      <pivotArea dataOnly="0" labelOnly="1" fieldPosition="0">
        <references count="1">
          <reference field="1" count="0"/>
        </references>
      </pivotArea>
    </format>
    <format dxfId="4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41">
      <pivotArea outline="0" collapsedLevelsAreSubtotals="1" fieldPosition="0">
        <references count="2"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40">
      <pivotArea field="3" type="button" dataOnly="0" labelOnly="1" outline="0" axis="axisCol" fieldPosition="0"/>
    </format>
    <format dxfId="39">
      <pivotArea field="9" type="button" dataOnly="0" labelOnly="1" outline="0" axis="axisCol" fieldPosition="1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36">
      <pivotArea dataOnly="0" labelOnly="1" fieldPosition="0">
        <references count="1">
          <reference field="3" count="1" defaultSubtotal="1">
            <x v="0"/>
          </reference>
        </references>
      </pivotArea>
    </format>
    <format dxfId="35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34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33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2">
      <pivotArea outline="0" collapsedLevelsAreSubtotals="1" fieldPosition="0">
        <references count="2"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31">
      <pivotArea field="3" type="button" dataOnly="0" labelOnly="1" outline="0" axis="axisCol" fieldPosition="0"/>
    </format>
    <format dxfId="30">
      <pivotArea field="9" type="button" dataOnly="0" labelOnly="1" outline="0" axis="axisCol" fieldPosition="1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2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6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25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24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23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22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21">
      <pivotArea outline="0" collapsedLevelsAreSubtotals="1" fieldPosition="0">
        <references count="2">
          <reference field="3" count="1" selected="0">
            <x v="1"/>
          </reference>
          <reference field="9" count="2" selected="0">
            <x v="3"/>
            <x v="4"/>
          </reference>
        </references>
      </pivotArea>
    </format>
    <format dxfId="20">
      <pivotArea dataOnly="0" labelOnly="1" fieldPosition="0">
        <references count="2">
          <reference field="3" count="1" selected="0">
            <x v="1"/>
          </reference>
          <reference field="9" count="2">
            <x v="3"/>
            <x v="4"/>
          </reference>
        </references>
      </pivotArea>
    </format>
    <format dxfId="19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8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2" selected="0">
            <x v="3"/>
            <x v="4"/>
          </reference>
        </references>
      </pivotArea>
    </format>
    <format dxfId="17">
      <pivotArea outline="0" collapsedLevelsAreSubtotals="1" fieldPosition="0">
        <references count="1">
          <reference field="3" count="2" selected="0" defaultSubtotal="1">
            <x v="0"/>
            <x v="1"/>
          </reference>
        </references>
      </pivotArea>
    </format>
    <format dxfId="16">
      <pivotArea field="3" type="button" dataOnly="0" labelOnly="1" outline="0" axis="axisCol" fieldPosition="0"/>
    </format>
    <format dxfId="15">
      <pivotArea field="9" type="button" dataOnly="0" labelOnly="1" outline="0" axis="axisCol" fieldPosition="1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12">
      <pivotArea dataOnly="0" labelOnly="1" fieldPosition="0">
        <references count="1">
          <reference field="3" count="2" defaultSubtotal="1">
            <x v="0"/>
            <x v="1"/>
          </reference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2">
            <x v="3"/>
            <x v="4"/>
          </reference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2">
            <x v="3"/>
            <x v="4"/>
          </reference>
        </references>
      </pivotArea>
    </format>
    <format dxfId="9">
      <pivotArea outline="0" collapsedLevelsAreSubtotals="1" fieldPosition="0">
        <references count="1">
          <reference field="3" count="2" selected="0" defaultSubtotal="1">
            <x v="0"/>
            <x v="1"/>
          </reference>
        </references>
      </pivotArea>
    </format>
    <format dxfId="8">
      <pivotArea field="3" type="button" dataOnly="0" labelOnly="1" outline="0" axis="axisCol" fieldPosition="0"/>
    </format>
    <format dxfId="7">
      <pivotArea field="9" type="button" dataOnly="0" labelOnly="1" outline="0" axis="axisCol" fieldPosition="1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4">
      <pivotArea dataOnly="0" labelOnly="1" fieldPosition="0">
        <references count="1">
          <reference field="3" count="2" defaultSubtotal="1">
            <x v="0"/>
            <x v="1"/>
          </reference>
        </references>
      </pivotArea>
    </format>
    <format dxfId="3">
      <pivotArea dataOnly="0" labelOnly="1" fieldPosition="0">
        <references count="2">
          <reference field="3" count="1" selected="0">
            <x v="0"/>
          </reference>
          <reference field="9" count="2">
            <x v="3"/>
            <x v="4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9" count="2">
            <x v="3"/>
            <x v="4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1" selected="0" defaultSubtotal="1">
            <x v="1"/>
          </reference>
        </references>
      </pivotArea>
    </format>
    <format dxfId="0">
      <pivotArea collapsedLevelsAreSubtotals="1" fieldPosition="0">
        <references count="3">
          <reference field="1" count="0"/>
          <reference field="3" count="1" selected="0">
            <x v="0"/>
          </reference>
          <reference field="9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workbookViewId="0">
      <selection activeCell="D2" sqref="D2"/>
    </sheetView>
  </sheetViews>
  <sheetFormatPr defaultRowHeight="15" x14ac:dyDescent="0.25"/>
  <cols>
    <col min="1" max="1" width="12.7109375" bestFit="1" customWidth="1"/>
    <col min="2" max="2" width="23.140625" bestFit="1" customWidth="1"/>
    <col min="5" max="5" width="18.140625" bestFit="1" customWidth="1"/>
    <col min="6" max="6" width="23.85546875" bestFit="1" customWidth="1"/>
    <col min="7" max="7" width="22.42578125" bestFit="1" customWidth="1"/>
    <col min="8" max="8" width="21.7109375" bestFit="1" customWidth="1"/>
    <col min="9" max="9" width="24.7109375" bestFit="1" customWidth="1"/>
  </cols>
  <sheetData>
    <row r="1" spans="1:17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5">
      <c r="A2">
        <v>5.8</v>
      </c>
      <c r="B2" t="s">
        <v>221</v>
      </c>
      <c r="C2" t="s">
        <v>33</v>
      </c>
      <c r="D2" t="s">
        <v>140</v>
      </c>
      <c r="E2">
        <v>55</v>
      </c>
      <c r="F2">
        <v>100</v>
      </c>
      <c r="G2" t="s">
        <v>34</v>
      </c>
      <c r="H2" t="s">
        <v>35</v>
      </c>
    </row>
    <row r="3" spans="1:17" x14ac:dyDescent="0.25">
      <c r="C3" t="s">
        <v>143</v>
      </c>
      <c r="E3">
        <v>54</v>
      </c>
      <c r="F3">
        <v>100</v>
      </c>
      <c r="G3" t="s">
        <v>144</v>
      </c>
      <c r="H3" t="s">
        <v>35</v>
      </c>
      <c r="I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0"/>
  <sheetViews>
    <sheetView tabSelected="1" workbookViewId="0">
      <selection activeCell="D18" sqref="D18"/>
    </sheetView>
  </sheetViews>
  <sheetFormatPr defaultRowHeight="15" x14ac:dyDescent="0.25"/>
  <cols>
    <col min="2" max="2" width="15.42578125" style="7" bestFit="1" customWidth="1"/>
    <col min="3" max="3" width="15.42578125" style="7" customWidth="1"/>
    <col min="4" max="4" width="25" bestFit="1" customWidth="1"/>
    <col min="7" max="7" width="23.28515625" bestFit="1" customWidth="1"/>
    <col min="9" max="9" width="21" bestFit="1" customWidth="1"/>
    <col min="10" max="10" width="29.7109375" bestFit="1" customWidth="1"/>
    <col min="12" max="12" width="26.28515625" bestFit="1" customWidth="1"/>
    <col min="29" max="29" width="18.28515625" bestFit="1" customWidth="1"/>
    <col min="31" max="31" width="18.28515625" bestFit="1" customWidth="1"/>
  </cols>
  <sheetData>
    <row r="1" spans="1:32" ht="15.75" x14ac:dyDescent="0.25">
      <c r="A1" s="1" t="s">
        <v>0</v>
      </c>
      <c r="B1" s="30" t="s">
        <v>241</v>
      </c>
      <c r="C1" s="30" t="s">
        <v>240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107</v>
      </c>
      <c r="B2" s="32">
        <v>43574</v>
      </c>
      <c r="C2" s="31">
        <f>AC2-(7/24)</f>
        <v>43574.363344907419</v>
      </c>
      <c r="D2" t="s">
        <v>203</v>
      </c>
      <c r="E2">
        <v>1</v>
      </c>
      <c r="F2" t="s">
        <v>31</v>
      </c>
      <c r="G2" t="s">
        <v>44</v>
      </c>
      <c r="L2" t="s">
        <v>231</v>
      </c>
      <c r="AB2" t="s">
        <v>204</v>
      </c>
      <c r="AC2" s="2">
        <v>43574.655011574083</v>
      </c>
      <c r="AD2" t="s">
        <v>147</v>
      </c>
      <c r="AE2" s="2">
        <v>43574.655011574083</v>
      </c>
      <c r="AF2" t="s">
        <v>147</v>
      </c>
    </row>
    <row r="3" spans="1:32" x14ac:dyDescent="0.25">
      <c r="A3">
        <v>8</v>
      </c>
      <c r="B3" s="32">
        <v>43574</v>
      </c>
      <c r="C3" s="31">
        <f>AC3-(7/24)</f>
        <v>43574.307962962965</v>
      </c>
      <c r="D3" t="s">
        <v>51</v>
      </c>
      <c r="E3">
        <v>8</v>
      </c>
      <c r="F3" t="s">
        <v>31</v>
      </c>
      <c r="G3" t="s">
        <v>39</v>
      </c>
      <c r="L3" t="s">
        <v>230</v>
      </c>
      <c r="AB3" t="s">
        <v>52</v>
      </c>
      <c r="AC3" s="2">
        <v>43574.599629629629</v>
      </c>
      <c r="AD3" t="s">
        <v>37</v>
      </c>
      <c r="AE3" s="2">
        <v>43574.602534722217</v>
      </c>
      <c r="AF3" t="s">
        <v>37</v>
      </c>
    </row>
    <row r="4" spans="1:32" x14ac:dyDescent="0.25">
      <c r="A4">
        <v>34</v>
      </c>
      <c r="B4" s="32">
        <v>43574</v>
      </c>
      <c r="C4" s="31">
        <f>AC4-(7/24)</f>
        <v>43574.339375000003</v>
      </c>
      <c r="D4" t="s">
        <v>51</v>
      </c>
      <c r="E4">
        <v>1</v>
      </c>
      <c r="F4" t="s">
        <v>31</v>
      </c>
      <c r="G4" t="s">
        <v>76</v>
      </c>
      <c r="L4" t="s">
        <v>230</v>
      </c>
      <c r="AB4" t="s">
        <v>100</v>
      </c>
      <c r="AC4" s="2">
        <v>43574.631041666667</v>
      </c>
      <c r="AD4" t="s">
        <v>37</v>
      </c>
      <c r="AE4" s="2">
        <v>43574.631041666667</v>
      </c>
      <c r="AF4" t="s">
        <v>37</v>
      </c>
    </row>
    <row r="5" spans="1:32" x14ac:dyDescent="0.25">
      <c r="A5">
        <v>41</v>
      </c>
      <c r="B5" s="32">
        <v>43574</v>
      </c>
      <c r="C5" s="31">
        <f>AC5-(7/24)</f>
        <v>43574.352141203708</v>
      </c>
      <c r="D5" t="s">
        <v>51</v>
      </c>
      <c r="E5">
        <v>2</v>
      </c>
      <c r="F5" t="s">
        <v>31</v>
      </c>
      <c r="G5" t="s">
        <v>64</v>
      </c>
      <c r="L5" t="s">
        <v>230</v>
      </c>
      <c r="AB5" t="s">
        <v>108</v>
      </c>
      <c r="AC5" s="2">
        <v>43574.643807870372</v>
      </c>
      <c r="AD5" t="s">
        <v>37</v>
      </c>
      <c r="AE5" s="2">
        <v>43574.643807870372</v>
      </c>
      <c r="AF5" t="s">
        <v>37</v>
      </c>
    </row>
    <row r="6" spans="1:32" x14ac:dyDescent="0.25">
      <c r="A6">
        <v>51</v>
      </c>
      <c r="B6" s="32">
        <v>43574</v>
      </c>
      <c r="C6" s="31">
        <f>AC6-(7/24)</f>
        <v>43574.359282407408</v>
      </c>
      <c r="D6" t="s">
        <v>51</v>
      </c>
      <c r="E6">
        <v>1</v>
      </c>
      <c r="F6" t="s">
        <v>31</v>
      </c>
      <c r="G6" t="s">
        <v>76</v>
      </c>
      <c r="L6" t="s">
        <v>230</v>
      </c>
      <c r="AB6" t="s">
        <v>121</v>
      </c>
      <c r="AC6" s="2">
        <v>43574.650949074072</v>
      </c>
      <c r="AD6" t="s">
        <v>37</v>
      </c>
      <c r="AE6" s="2">
        <v>43574.650949074072</v>
      </c>
      <c r="AF6" t="s">
        <v>37</v>
      </c>
    </row>
    <row r="7" spans="1:32" x14ac:dyDescent="0.25">
      <c r="A7">
        <v>115</v>
      </c>
      <c r="B7" s="32">
        <v>43574</v>
      </c>
      <c r="C7" s="31">
        <f>AC7-(7/24)</f>
        <v>43574.369074074079</v>
      </c>
      <c r="D7" t="s">
        <v>51</v>
      </c>
      <c r="E7">
        <v>1</v>
      </c>
      <c r="F7" t="s">
        <v>31</v>
      </c>
      <c r="G7" t="s">
        <v>76</v>
      </c>
      <c r="L7" t="s">
        <v>231</v>
      </c>
      <c r="AB7" t="s">
        <v>213</v>
      </c>
      <c r="AC7" s="2">
        <v>43574.660740740743</v>
      </c>
      <c r="AD7" t="s">
        <v>147</v>
      </c>
      <c r="AE7" s="2">
        <v>43574.660740740743</v>
      </c>
      <c r="AF7" t="s">
        <v>147</v>
      </c>
    </row>
    <row r="8" spans="1:32" x14ac:dyDescent="0.25">
      <c r="A8">
        <v>1</v>
      </c>
      <c r="B8" s="32">
        <v>43574</v>
      </c>
      <c r="C8" s="31">
        <f>AC8-(7/24)</f>
        <v>43574.300717592596</v>
      </c>
      <c r="D8" t="s">
        <v>30</v>
      </c>
      <c r="E8">
        <v>1</v>
      </c>
      <c r="F8" t="s">
        <v>31</v>
      </c>
      <c r="G8" t="s">
        <v>32</v>
      </c>
      <c r="K8">
        <v>58</v>
      </c>
      <c r="L8" t="s">
        <v>230</v>
      </c>
      <c r="M8" t="s">
        <v>33</v>
      </c>
      <c r="O8">
        <v>55</v>
      </c>
      <c r="P8">
        <v>100</v>
      </c>
      <c r="Q8" t="s">
        <v>34</v>
      </c>
      <c r="R8" t="s">
        <v>35</v>
      </c>
      <c r="AB8" t="s">
        <v>36</v>
      </c>
      <c r="AC8" s="2">
        <v>43574.59238425926</v>
      </c>
      <c r="AD8" t="s">
        <v>37</v>
      </c>
      <c r="AE8" s="2">
        <v>43574.59238425926</v>
      </c>
      <c r="AF8" t="s">
        <v>37</v>
      </c>
    </row>
    <row r="9" spans="1:32" x14ac:dyDescent="0.25">
      <c r="A9">
        <v>21</v>
      </c>
      <c r="B9" s="32">
        <v>43574</v>
      </c>
      <c r="C9" s="31">
        <f>AC9-(7/24)</f>
        <v>43574.322326388894</v>
      </c>
      <c r="D9" t="s">
        <v>30</v>
      </c>
      <c r="E9">
        <v>1</v>
      </c>
      <c r="F9" t="s">
        <v>31</v>
      </c>
      <c r="G9" t="s">
        <v>79</v>
      </c>
      <c r="L9" t="s">
        <v>230</v>
      </c>
      <c r="AB9" t="s">
        <v>80</v>
      </c>
      <c r="AC9" s="2">
        <v>43574.613993055558</v>
      </c>
      <c r="AD9" t="s">
        <v>37</v>
      </c>
      <c r="AE9" s="2">
        <v>43574.613993055558</v>
      </c>
      <c r="AF9" t="s">
        <v>37</v>
      </c>
    </row>
    <row r="10" spans="1:32" x14ac:dyDescent="0.25">
      <c r="A10">
        <v>44</v>
      </c>
      <c r="B10" s="32">
        <v>43574</v>
      </c>
      <c r="C10" s="31">
        <f>AC10-(7/24)</f>
        <v>43574.354467592595</v>
      </c>
      <c r="D10" t="s">
        <v>30</v>
      </c>
      <c r="E10">
        <v>1</v>
      </c>
      <c r="F10" t="s">
        <v>31</v>
      </c>
      <c r="G10" t="s">
        <v>79</v>
      </c>
      <c r="L10" t="s">
        <v>230</v>
      </c>
      <c r="AB10" t="s">
        <v>112</v>
      </c>
      <c r="AC10" s="2">
        <v>43574.646134259259</v>
      </c>
      <c r="AD10" t="s">
        <v>37</v>
      </c>
      <c r="AE10" s="2">
        <v>43574.646134259259</v>
      </c>
      <c r="AF10" t="s">
        <v>37</v>
      </c>
    </row>
    <row r="11" spans="1:32" x14ac:dyDescent="0.25">
      <c r="A11">
        <v>76</v>
      </c>
      <c r="B11" s="32">
        <v>43574</v>
      </c>
      <c r="C11" s="31">
        <f>AC11-(7/24)</f>
        <v>43574.323750000003</v>
      </c>
      <c r="D11" t="s">
        <v>30</v>
      </c>
      <c r="E11">
        <v>1</v>
      </c>
      <c r="F11" t="s">
        <v>31</v>
      </c>
      <c r="G11" t="s">
        <v>89</v>
      </c>
      <c r="L11" t="s">
        <v>231</v>
      </c>
      <c r="AB11" t="s">
        <v>161</v>
      </c>
      <c r="AC11" s="2">
        <v>43574.615416666667</v>
      </c>
      <c r="AD11" t="s">
        <v>147</v>
      </c>
      <c r="AE11" s="2">
        <v>43574.615416666667</v>
      </c>
      <c r="AF11" t="s">
        <v>147</v>
      </c>
    </row>
    <row r="12" spans="1:32" x14ac:dyDescent="0.25">
      <c r="A12">
        <v>99</v>
      </c>
      <c r="B12" s="32">
        <v>43574</v>
      </c>
      <c r="C12" s="31">
        <f>AC12-(7/24)</f>
        <v>43574.359618055569</v>
      </c>
      <c r="D12" t="s">
        <v>30</v>
      </c>
      <c r="E12">
        <v>15</v>
      </c>
      <c r="F12" t="s">
        <v>31</v>
      </c>
      <c r="G12" t="s">
        <v>44</v>
      </c>
      <c r="L12" t="s">
        <v>231</v>
      </c>
      <c r="AB12" t="s">
        <v>191</v>
      </c>
      <c r="AC12" s="2">
        <v>43574.651284722233</v>
      </c>
      <c r="AD12" t="s">
        <v>147</v>
      </c>
      <c r="AE12" s="2">
        <v>43574.652662037042</v>
      </c>
      <c r="AF12" t="s">
        <v>147</v>
      </c>
    </row>
    <row r="13" spans="1:32" x14ac:dyDescent="0.25">
      <c r="A13">
        <v>74</v>
      </c>
      <c r="B13" s="32">
        <v>43574</v>
      </c>
      <c r="C13" s="31">
        <f>AC13-(7/24)</f>
        <v>43574.321956018539</v>
      </c>
      <c r="D13" t="s">
        <v>158</v>
      </c>
      <c r="E13">
        <v>17</v>
      </c>
      <c r="F13" t="s">
        <v>31</v>
      </c>
      <c r="G13" t="s">
        <v>54</v>
      </c>
      <c r="L13" t="s">
        <v>231</v>
      </c>
      <c r="AB13" t="s">
        <v>159</v>
      </c>
      <c r="AC13" s="2">
        <v>43574.613622685203</v>
      </c>
      <c r="AD13" t="s">
        <v>147</v>
      </c>
      <c r="AE13" s="2">
        <v>43574.613622685203</v>
      </c>
      <c r="AF13" t="s">
        <v>147</v>
      </c>
    </row>
    <row r="14" spans="1:32" x14ac:dyDescent="0.25">
      <c r="A14">
        <v>60</v>
      </c>
      <c r="B14" s="32">
        <v>43574</v>
      </c>
      <c r="C14" s="31">
        <f>AC14-(7/24)</f>
        <v>43574.372523148159</v>
      </c>
      <c r="D14" t="s">
        <v>132</v>
      </c>
      <c r="E14">
        <v>1</v>
      </c>
      <c r="F14" t="s">
        <v>31</v>
      </c>
      <c r="G14" t="s">
        <v>57</v>
      </c>
      <c r="L14" t="s">
        <v>230</v>
      </c>
      <c r="AB14" t="s">
        <v>133</v>
      </c>
      <c r="AC14" s="2">
        <v>43574.664189814823</v>
      </c>
      <c r="AD14" t="s">
        <v>37</v>
      </c>
      <c r="AE14" s="2">
        <v>43574.664189814823</v>
      </c>
      <c r="AF14" t="s">
        <v>37</v>
      </c>
    </row>
    <row r="15" spans="1:32" x14ac:dyDescent="0.25">
      <c r="A15">
        <v>69</v>
      </c>
      <c r="B15" s="32">
        <v>43574</v>
      </c>
      <c r="C15" s="31">
        <f>AC15-(7/24)</f>
        <v>43574.309212962966</v>
      </c>
      <c r="D15" t="s">
        <v>132</v>
      </c>
      <c r="E15">
        <v>1</v>
      </c>
      <c r="F15" t="s">
        <v>31</v>
      </c>
      <c r="G15" t="s">
        <v>44</v>
      </c>
      <c r="L15" t="s">
        <v>231</v>
      </c>
      <c r="AB15" t="s">
        <v>153</v>
      </c>
      <c r="AC15" s="2">
        <v>43574.60087962963</v>
      </c>
      <c r="AD15" t="s">
        <v>147</v>
      </c>
      <c r="AE15" s="2">
        <v>43574.60087962963</v>
      </c>
      <c r="AF15" t="s">
        <v>147</v>
      </c>
    </row>
    <row r="16" spans="1:32" x14ac:dyDescent="0.25">
      <c r="A16">
        <v>71</v>
      </c>
      <c r="B16" s="32">
        <v>43574</v>
      </c>
      <c r="C16" s="31">
        <f>AC16-(7/24)</f>
        <v>43574.310833333337</v>
      </c>
      <c r="D16" t="s">
        <v>132</v>
      </c>
      <c r="E16">
        <v>1</v>
      </c>
      <c r="F16" t="s">
        <v>31</v>
      </c>
      <c r="G16" t="s">
        <v>44</v>
      </c>
      <c r="L16" t="s">
        <v>231</v>
      </c>
      <c r="AB16" t="s">
        <v>155</v>
      </c>
      <c r="AC16" s="2">
        <v>43574.602500000001</v>
      </c>
      <c r="AD16" t="s">
        <v>147</v>
      </c>
      <c r="AE16" s="2">
        <v>43574.602500000001</v>
      </c>
      <c r="AF16" t="s">
        <v>147</v>
      </c>
    </row>
    <row r="17" spans="1:32" x14ac:dyDescent="0.25">
      <c r="A17">
        <v>80</v>
      </c>
      <c r="B17" s="32">
        <v>43574</v>
      </c>
      <c r="C17" s="31">
        <f>AC17-(7/24)</f>
        <v>43574.338831018518</v>
      </c>
      <c r="D17" t="s">
        <v>132</v>
      </c>
      <c r="E17">
        <v>1</v>
      </c>
      <c r="F17" t="s">
        <v>31</v>
      </c>
      <c r="G17" t="s">
        <v>44</v>
      </c>
      <c r="L17" t="s">
        <v>231</v>
      </c>
      <c r="AB17" t="s">
        <v>167</v>
      </c>
      <c r="AC17" s="2">
        <v>43574.630497685182</v>
      </c>
      <c r="AD17" t="s">
        <v>147</v>
      </c>
      <c r="AE17" s="2">
        <v>43574.630497685182</v>
      </c>
      <c r="AF17" t="s">
        <v>147</v>
      </c>
    </row>
    <row r="18" spans="1:32" x14ac:dyDescent="0.25">
      <c r="A18">
        <v>93</v>
      </c>
      <c r="B18" s="32">
        <v>43574</v>
      </c>
      <c r="C18" s="31">
        <f>AC18-(7/24)</f>
        <v>43574.351574074077</v>
      </c>
      <c r="D18" t="s">
        <v>132</v>
      </c>
      <c r="E18">
        <v>1</v>
      </c>
      <c r="F18" t="s">
        <v>31</v>
      </c>
      <c r="G18" t="s">
        <v>44</v>
      </c>
      <c r="L18" t="s">
        <v>231</v>
      </c>
      <c r="AB18" t="s">
        <v>182</v>
      </c>
      <c r="AC18" s="2">
        <v>43574.643240740741</v>
      </c>
      <c r="AD18" t="s">
        <v>147</v>
      </c>
      <c r="AE18" s="2">
        <v>43574.643240740741</v>
      </c>
      <c r="AF18" t="s">
        <v>147</v>
      </c>
    </row>
    <row r="19" spans="1:32" x14ac:dyDescent="0.25">
      <c r="A19">
        <v>17</v>
      </c>
      <c r="B19" s="32">
        <v>43574</v>
      </c>
      <c r="C19" s="31">
        <f>AC19-(7/24)</f>
        <v>43574.320092592599</v>
      </c>
      <c r="D19" t="s">
        <v>70</v>
      </c>
      <c r="E19">
        <v>1</v>
      </c>
      <c r="F19" t="s">
        <v>31</v>
      </c>
      <c r="G19" t="s">
        <v>39</v>
      </c>
      <c r="L19" t="s">
        <v>230</v>
      </c>
      <c r="AB19" t="s">
        <v>71</v>
      </c>
      <c r="AC19" s="2">
        <v>43574.611759259264</v>
      </c>
      <c r="AD19" t="s">
        <v>37</v>
      </c>
      <c r="AE19" s="2">
        <v>43574.611759259264</v>
      </c>
      <c r="AF19" t="s">
        <v>37</v>
      </c>
    </row>
    <row r="20" spans="1:32" x14ac:dyDescent="0.25">
      <c r="A20">
        <v>25</v>
      </c>
      <c r="B20" s="32">
        <v>43574</v>
      </c>
      <c r="C20" s="31">
        <f>AC20-(7/24)</f>
        <v>43574.326168981483</v>
      </c>
      <c r="D20" t="s">
        <v>70</v>
      </c>
      <c r="E20">
        <v>1</v>
      </c>
      <c r="F20" t="s">
        <v>31</v>
      </c>
      <c r="G20" t="s">
        <v>32</v>
      </c>
      <c r="L20" t="s">
        <v>230</v>
      </c>
      <c r="AB20" t="s">
        <v>87</v>
      </c>
      <c r="AC20" s="2">
        <v>43574.617835648147</v>
      </c>
      <c r="AD20" t="s">
        <v>37</v>
      </c>
      <c r="AE20" s="2">
        <v>43574.617835648147</v>
      </c>
      <c r="AF20" t="s">
        <v>37</v>
      </c>
    </row>
    <row r="21" spans="1:32" x14ac:dyDescent="0.25">
      <c r="A21">
        <v>37</v>
      </c>
      <c r="B21" s="32">
        <v>43574</v>
      </c>
      <c r="C21" s="31">
        <f>AC21-(7/24)</f>
        <v>43574.343888888892</v>
      </c>
      <c r="D21" t="s">
        <v>70</v>
      </c>
      <c r="E21">
        <v>1</v>
      </c>
      <c r="F21" t="s">
        <v>31</v>
      </c>
      <c r="G21" t="s">
        <v>79</v>
      </c>
      <c r="L21" t="s">
        <v>230</v>
      </c>
      <c r="AB21" t="s">
        <v>104</v>
      </c>
      <c r="AC21" s="2">
        <v>43574.635555555556</v>
      </c>
      <c r="AD21" t="s">
        <v>37</v>
      </c>
      <c r="AE21" s="2">
        <v>43574.635555555556</v>
      </c>
      <c r="AF21" t="s">
        <v>37</v>
      </c>
    </row>
    <row r="22" spans="1:32" x14ac:dyDescent="0.25">
      <c r="A22">
        <v>40</v>
      </c>
      <c r="B22" s="32">
        <v>43574</v>
      </c>
      <c r="C22" s="31">
        <f>AC22-(7/24)</f>
        <v>43574.348159722227</v>
      </c>
      <c r="D22" t="s">
        <v>70</v>
      </c>
      <c r="E22">
        <v>1</v>
      </c>
      <c r="F22" t="s">
        <v>31</v>
      </c>
      <c r="G22" t="s">
        <v>44</v>
      </c>
      <c r="L22" t="s">
        <v>230</v>
      </c>
      <c r="AB22" t="s">
        <v>107</v>
      </c>
      <c r="AC22" s="2">
        <v>43574.639826388891</v>
      </c>
      <c r="AD22" t="s">
        <v>37</v>
      </c>
      <c r="AE22" s="2">
        <v>43574.639826388891</v>
      </c>
      <c r="AF22" t="s">
        <v>37</v>
      </c>
    </row>
    <row r="23" spans="1:32" x14ac:dyDescent="0.25">
      <c r="A23">
        <v>13</v>
      </c>
      <c r="B23" s="32">
        <v>43574</v>
      </c>
      <c r="C23" s="31">
        <f>AC23-(7/24)</f>
        <v>43574.310439814828</v>
      </c>
      <c r="D23" t="s">
        <v>63</v>
      </c>
      <c r="E23">
        <v>2</v>
      </c>
      <c r="F23" t="s">
        <v>31</v>
      </c>
      <c r="G23" t="s">
        <v>64</v>
      </c>
      <c r="L23" t="s">
        <v>230</v>
      </c>
      <c r="AB23" t="s">
        <v>65</v>
      </c>
      <c r="AC23" s="2">
        <v>43574.602106481492</v>
      </c>
      <c r="AD23" t="s">
        <v>37</v>
      </c>
      <c r="AE23" s="2">
        <v>43574.602106481492</v>
      </c>
      <c r="AF23" t="s">
        <v>37</v>
      </c>
    </row>
    <row r="24" spans="1:32" x14ac:dyDescent="0.25">
      <c r="A24">
        <v>23</v>
      </c>
      <c r="B24" s="32">
        <v>43574</v>
      </c>
      <c r="C24" s="31">
        <f>AC24-(7/24)</f>
        <v>43574.325162037043</v>
      </c>
      <c r="D24" t="s">
        <v>83</v>
      </c>
      <c r="E24">
        <v>2</v>
      </c>
      <c r="F24" t="s">
        <v>31</v>
      </c>
      <c r="G24" t="s">
        <v>57</v>
      </c>
      <c r="L24" t="s">
        <v>230</v>
      </c>
      <c r="AB24" t="s">
        <v>84</v>
      </c>
      <c r="AC24" s="2">
        <v>43574.616828703707</v>
      </c>
      <c r="AD24" t="s">
        <v>37</v>
      </c>
      <c r="AE24" s="2">
        <v>43574.616828703707</v>
      </c>
      <c r="AF24" t="s">
        <v>37</v>
      </c>
    </row>
    <row r="25" spans="1:32" x14ac:dyDescent="0.25">
      <c r="A25">
        <v>70</v>
      </c>
      <c r="B25" s="32">
        <v>43574</v>
      </c>
      <c r="C25" s="31">
        <f>AC25-(7/24)</f>
        <v>43574.309340277789</v>
      </c>
      <c r="D25" t="s">
        <v>83</v>
      </c>
      <c r="E25">
        <v>1</v>
      </c>
      <c r="F25" t="s">
        <v>31</v>
      </c>
      <c r="G25" t="s">
        <v>44</v>
      </c>
      <c r="L25" t="s">
        <v>231</v>
      </c>
      <c r="AB25" t="s">
        <v>154</v>
      </c>
      <c r="AC25" s="2">
        <v>43574.601006944453</v>
      </c>
      <c r="AD25" t="s">
        <v>147</v>
      </c>
      <c r="AE25" s="2">
        <v>43574.601006944453</v>
      </c>
      <c r="AF25" t="s">
        <v>147</v>
      </c>
    </row>
    <row r="26" spans="1:32" x14ac:dyDescent="0.25">
      <c r="A26">
        <v>101</v>
      </c>
      <c r="B26" s="32">
        <v>43574</v>
      </c>
      <c r="C26" s="31">
        <f>AC26-(7/24)</f>
        <v>43574.360740740733</v>
      </c>
      <c r="D26" t="s">
        <v>83</v>
      </c>
      <c r="E26">
        <v>4</v>
      </c>
      <c r="F26" t="s">
        <v>31</v>
      </c>
      <c r="G26" t="s">
        <v>57</v>
      </c>
      <c r="L26" t="s">
        <v>231</v>
      </c>
      <c r="AB26" t="s">
        <v>193</v>
      </c>
      <c r="AC26" s="2">
        <v>43574.652407407397</v>
      </c>
      <c r="AD26" t="s">
        <v>147</v>
      </c>
      <c r="AE26" s="2">
        <v>43574.652407407397</v>
      </c>
      <c r="AF26" t="s">
        <v>147</v>
      </c>
    </row>
    <row r="27" spans="1:32" x14ac:dyDescent="0.25">
      <c r="A27">
        <v>11</v>
      </c>
      <c r="B27" s="32">
        <v>43574</v>
      </c>
      <c r="C27" s="31">
        <f>AC27-(7/24)</f>
        <v>43574.309548611112</v>
      </c>
      <c r="D27" t="s">
        <v>59</v>
      </c>
      <c r="E27">
        <v>1</v>
      </c>
      <c r="F27" t="s">
        <v>31</v>
      </c>
      <c r="G27" t="s">
        <v>39</v>
      </c>
      <c r="L27" t="s">
        <v>230</v>
      </c>
      <c r="AB27" t="s">
        <v>60</v>
      </c>
      <c r="AC27" s="2">
        <v>43574.601215277777</v>
      </c>
      <c r="AD27" t="s">
        <v>37</v>
      </c>
      <c r="AE27" s="2">
        <v>43574.602685185193</v>
      </c>
      <c r="AF27" t="s">
        <v>37</v>
      </c>
    </row>
    <row r="28" spans="1:32" x14ac:dyDescent="0.25">
      <c r="A28">
        <v>52</v>
      </c>
      <c r="B28" s="32">
        <v>43574</v>
      </c>
      <c r="C28" s="31">
        <f>AC28-(7/24)</f>
        <v>43574.360127314816</v>
      </c>
      <c r="D28" t="s">
        <v>122</v>
      </c>
      <c r="E28">
        <v>2</v>
      </c>
      <c r="F28" t="s">
        <v>31</v>
      </c>
      <c r="G28" t="s">
        <v>57</v>
      </c>
      <c r="L28" t="s">
        <v>230</v>
      </c>
      <c r="AB28" t="s">
        <v>123</v>
      </c>
      <c r="AC28" s="2">
        <v>43574.65179398148</v>
      </c>
      <c r="AD28" t="s">
        <v>37</v>
      </c>
      <c r="AE28" s="2">
        <v>43574.65179398148</v>
      </c>
      <c r="AF28" t="s">
        <v>37</v>
      </c>
    </row>
    <row r="29" spans="1:32" x14ac:dyDescent="0.25">
      <c r="A29">
        <v>61</v>
      </c>
      <c r="B29" s="32">
        <v>43574</v>
      </c>
      <c r="C29" s="31">
        <f>AC29-(7/24)</f>
        <v>43574.375347222223</v>
      </c>
      <c r="D29" t="s">
        <v>122</v>
      </c>
      <c r="E29">
        <v>1</v>
      </c>
      <c r="F29" t="s">
        <v>31</v>
      </c>
      <c r="G29" t="s">
        <v>79</v>
      </c>
      <c r="L29" t="s">
        <v>230</v>
      </c>
      <c r="AB29" t="s">
        <v>134</v>
      </c>
      <c r="AC29" s="2">
        <v>43574.667013888888</v>
      </c>
      <c r="AD29" t="s">
        <v>37</v>
      </c>
      <c r="AE29" s="2">
        <v>43574.667013888888</v>
      </c>
      <c r="AF29" t="s">
        <v>37</v>
      </c>
    </row>
    <row r="30" spans="1:32" x14ac:dyDescent="0.25">
      <c r="A30">
        <v>66</v>
      </c>
      <c r="B30" s="32">
        <v>43574</v>
      </c>
      <c r="C30" s="31">
        <f>AC30-(7/24)</f>
        <v>43574.307592592595</v>
      </c>
      <c r="D30" t="s">
        <v>122</v>
      </c>
      <c r="E30">
        <v>1</v>
      </c>
      <c r="F30" t="s">
        <v>31</v>
      </c>
      <c r="G30" t="s">
        <v>44</v>
      </c>
      <c r="L30" t="s">
        <v>231</v>
      </c>
      <c r="AB30" t="s">
        <v>149</v>
      </c>
      <c r="AC30" s="2">
        <v>43574.599259259259</v>
      </c>
      <c r="AD30" t="s">
        <v>147</v>
      </c>
      <c r="AE30" s="2">
        <v>43574.599259259259</v>
      </c>
      <c r="AF30" t="s">
        <v>147</v>
      </c>
    </row>
    <row r="31" spans="1:32" x14ac:dyDescent="0.25">
      <c r="A31">
        <v>67</v>
      </c>
      <c r="B31" s="32">
        <v>43574</v>
      </c>
      <c r="C31" s="31">
        <f>AC31-(7/24)</f>
        <v>43574.307789351857</v>
      </c>
      <c r="D31" t="s">
        <v>122</v>
      </c>
      <c r="E31">
        <v>1</v>
      </c>
      <c r="F31" t="s">
        <v>31</v>
      </c>
      <c r="G31" t="s">
        <v>79</v>
      </c>
      <c r="L31" t="s">
        <v>231</v>
      </c>
      <c r="AB31" t="s">
        <v>150</v>
      </c>
      <c r="AC31" s="2">
        <v>43574.599456018521</v>
      </c>
      <c r="AD31" t="s">
        <v>147</v>
      </c>
      <c r="AE31" s="2">
        <v>43574.599456018521</v>
      </c>
      <c r="AF31" t="s">
        <v>147</v>
      </c>
    </row>
    <row r="32" spans="1:32" x14ac:dyDescent="0.25">
      <c r="A32">
        <v>81</v>
      </c>
      <c r="B32" s="32">
        <v>43574</v>
      </c>
      <c r="C32" s="31">
        <f>AC32-(7/24)</f>
        <v>43574.339062500003</v>
      </c>
      <c r="D32" t="s">
        <v>122</v>
      </c>
      <c r="E32">
        <v>1</v>
      </c>
      <c r="F32" t="s">
        <v>31</v>
      </c>
      <c r="G32" t="s">
        <v>44</v>
      </c>
      <c r="L32" t="s">
        <v>231</v>
      </c>
      <c r="AB32" t="s">
        <v>168</v>
      </c>
      <c r="AC32" s="2">
        <v>43574.630729166667</v>
      </c>
      <c r="AD32" t="s">
        <v>147</v>
      </c>
      <c r="AE32" s="2">
        <v>43574.630729166667</v>
      </c>
      <c r="AF32" t="s">
        <v>147</v>
      </c>
    </row>
    <row r="33" spans="1:32" x14ac:dyDescent="0.25">
      <c r="A33">
        <v>92</v>
      </c>
      <c r="B33" s="32">
        <v>43574</v>
      </c>
      <c r="C33" s="31">
        <f>AC33-(7/24)</f>
        <v>43574.351435185185</v>
      </c>
      <c r="D33" t="s">
        <v>122</v>
      </c>
      <c r="E33">
        <v>1</v>
      </c>
      <c r="F33" t="s">
        <v>31</v>
      </c>
      <c r="G33" t="s">
        <v>44</v>
      </c>
      <c r="L33" t="s">
        <v>231</v>
      </c>
      <c r="AB33" t="s">
        <v>181</v>
      </c>
      <c r="AC33" s="2">
        <v>43574.643101851849</v>
      </c>
      <c r="AD33" t="s">
        <v>147</v>
      </c>
      <c r="AE33" s="2">
        <v>43574.643101851849</v>
      </c>
      <c r="AF33" t="s">
        <v>147</v>
      </c>
    </row>
    <row r="34" spans="1:32" x14ac:dyDescent="0.25">
      <c r="A34">
        <v>97</v>
      </c>
      <c r="B34" s="32">
        <v>43574</v>
      </c>
      <c r="C34" s="31">
        <f>AC34-(7/24)</f>
        <v>43574.359282407408</v>
      </c>
      <c r="D34" t="s">
        <v>122</v>
      </c>
      <c r="E34">
        <v>1</v>
      </c>
      <c r="F34" t="s">
        <v>31</v>
      </c>
      <c r="G34" t="s">
        <v>57</v>
      </c>
      <c r="L34" t="s">
        <v>231</v>
      </c>
      <c r="AB34" t="s">
        <v>188</v>
      </c>
      <c r="AC34" s="2">
        <v>43574.650949074072</v>
      </c>
      <c r="AD34" t="s">
        <v>147</v>
      </c>
      <c r="AE34" s="2">
        <v>43574.650949074072</v>
      </c>
      <c r="AF34" t="s">
        <v>147</v>
      </c>
    </row>
    <row r="35" spans="1:32" x14ac:dyDescent="0.25">
      <c r="A35">
        <v>63</v>
      </c>
      <c r="B35" s="32">
        <v>43574</v>
      </c>
      <c r="C35" s="31">
        <f>AC35-(7/24)</f>
        <v>43574.385659722226</v>
      </c>
      <c r="D35" t="s">
        <v>137</v>
      </c>
      <c r="E35">
        <v>4</v>
      </c>
      <c r="F35" t="s">
        <v>31</v>
      </c>
      <c r="G35" t="s">
        <v>79</v>
      </c>
      <c r="I35" t="s">
        <v>138</v>
      </c>
      <c r="J35" t="s">
        <v>139</v>
      </c>
      <c r="L35" t="s">
        <v>230</v>
      </c>
      <c r="N35" t="s">
        <v>140</v>
      </c>
      <c r="AB35" t="s">
        <v>141</v>
      </c>
      <c r="AC35" s="2">
        <v>43574.67732638889</v>
      </c>
      <c r="AD35" t="s">
        <v>37</v>
      </c>
      <c r="AE35" s="2">
        <v>43574.681412037047</v>
      </c>
      <c r="AF35" t="s">
        <v>37</v>
      </c>
    </row>
    <row r="36" spans="1:32" x14ac:dyDescent="0.25">
      <c r="A36">
        <v>6</v>
      </c>
      <c r="B36" s="32">
        <v>43574</v>
      </c>
      <c r="C36" s="31">
        <f>AC36-(7/24)</f>
        <v>43574.306516203716</v>
      </c>
      <c r="D36" t="s">
        <v>47</v>
      </c>
      <c r="E36">
        <v>1</v>
      </c>
      <c r="F36" t="s">
        <v>31</v>
      </c>
      <c r="G36" t="s">
        <v>32</v>
      </c>
      <c r="L36" t="s">
        <v>230</v>
      </c>
      <c r="AB36" t="s">
        <v>48</v>
      </c>
      <c r="AC36" s="2">
        <v>43574.598182870381</v>
      </c>
      <c r="AD36" t="s">
        <v>37</v>
      </c>
      <c r="AE36" s="2">
        <v>43574.598182870381</v>
      </c>
      <c r="AF36" t="s">
        <v>37</v>
      </c>
    </row>
    <row r="37" spans="1:32" x14ac:dyDescent="0.25">
      <c r="A37">
        <v>24</v>
      </c>
      <c r="B37" s="32">
        <v>43574</v>
      </c>
      <c r="C37" s="31">
        <f>AC37-(7/24)</f>
        <v>43574.325474537036</v>
      </c>
      <c r="D37" t="s">
        <v>47</v>
      </c>
      <c r="E37">
        <v>1</v>
      </c>
      <c r="F37" t="s">
        <v>31</v>
      </c>
      <c r="G37" t="s">
        <v>32</v>
      </c>
      <c r="J37" t="s">
        <v>238</v>
      </c>
      <c r="L37" t="s">
        <v>230</v>
      </c>
      <c r="AB37" t="s">
        <v>86</v>
      </c>
      <c r="AC37" s="2">
        <v>43574.6171412037</v>
      </c>
      <c r="AD37" t="s">
        <v>37</v>
      </c>
      <c r="AE37" s="2">
        <v>43574.6171412037</v>
      </c>
      <c r="AF37" t="s">
        <v>37</v>
      </c>
    </row>
    <row r="38" spans="1:32" x14ac:dyDescent="0.25">
      <c r="A38">
        <v>28</v>
      </c>
      <c r="B38" s="32">
        <v>43574</v>
      </c>
      <c r="C38" s="31">
        <f>AC38-(7/24)</f>
        <v>43574.334236111114</v>
      </c>
      <c r="D38" t="s">
        <v>47</v>
      </c>
      <c r="E38">
        <v>1</v>
      </c>
      <c r="F38" t="s">
        <v>31</v>
      </c>
      <c r="G38" t="s">
        <v>32</v>
      </c>
      <c r="J38" t="s">
        <v>238</v>
      </c>
      <c r="L38" t="s">
        <v>230</v>
      </c>
      <c r="AB38" t="s">
        <v>93</v>
      </c>
      <c r="AC38" s="2">
        <v>43574.625902777778</v>
      </c>
      <c r="AD38" t="s">
        <v>37</v>
      </c>
      <c r="AE38" s="2">
        <v>43574.625902777778</v>
      </c>
      <c r="AF38" t="s">
        <v>37</v>
      </c>
    </row>
    <row r="39" spans="1:32" x14ac:dyDescent="0.25">
      <c r="A39">
        <v>20</v>
      </c>
      <c r="B39" s="32">
        <v>43574</v>
      </c>
      <c r="C39" s="31">
        <f>AC39-(7/24)</f>
        <v>43574.321203703708</v>
      </c>
      <c r="D39" t="s">
        <v>75</v>
      </c>
      <c r="E39">
        <v>1</v>
      </c>
      <c r="F39" t="s">
        <v>31</v>
      </c>
      <c r="G39" t="s">
        <v>76</v>
      </c>
      <c r="H39" t="s">
        <v>77</v>
      </c>
      <c r="L39" t="s">
        <v>230</v>
      </c>
      <c r="AB39" t="s">
        <v>78</v>
      </c>
      <c r="AC39" s="2">
        <v>43574.612870370373</v>
      </c>
      <c r="AD39" t="s">
        <v>37</v>
      </c>
      <c r="AE39" s="2">
        <v>43574.612870370373</v>
      </c>
      <c r="AF39" t="s">
        <v>37</v>
      </c>
    </row>
    <row r="40" spans="1:32" x14ac:dyDescent="0.25">
      <c r="A40">
        <v>113</v>
      </c>
      <c r="B40" s="32">
        <v>43574</v>
      </c>
      <c r="C40" s="31">
        <f>AC40-(7/24)</f>
        <v>43574.368206018538</v>
      </c>
      <c r="D40" t="s">
        <v>75</v>
      </c>
      <c r="E40">
        <v>2</v>
      </c>
      <c r="F40" t="s">
        <v>31</v>
      </c>
      <c r="G40" t="s">
        <v>76</v>
      </c>
      <c r="L40" t="s">
        <v>231</v>
      </c>
      <c r="AB40" t="s">
        <v>211</v>
      </c>
      <c r="AC40" s="2">
        <v>43574.659872685203</v>
      </c>
      <c r="AD40" t="s">
        <v>147</v>
      </c>
      <c r="AE40" s="2">
        <v>43574.659872685203</v>
      </c>
      <c r="AF40" t="s">
        <v>147</v>
      </c>
    </row>
    <row r="41" spans="1:32" x14ac:dyDescent="0.25">
      <c r="A41">
        <v>119</v>
      </c>
      <c r="B41" s="32">
        <v>43574</v>
      </c>
      <c r="C41" s="31">
        <f>AC41-(7/24)</f>
        <v>43574.373645833337</v>
      </c>
      <c r="D41" t="s">
        <v>217</v>
      </c>
      <c r="E41">
        <v>150</v>
      </c>
      <c r="F41" t="s">
        <v>31</v>
      </c>
      <c r="G41" t="s">
        <v>218</v>
      </c>
      <c r="I41" t="s">
        <v>219</v>
      </c>
      <c r="L41" t="s">
        <v>231</v>
      </c>
      <c r="AB41" t="s">
        <v>220</v>
      </c>
      <c r="AC41" s="2">
        <v>43574.665312500001</v>
      </c>
      <c r="AD41" t="s">
        <v>147</v>
      </c>
      <c r="AE41" s="2">
        <v>43574.665312500001</v>
      </c>
      <c r="AF41" t="s">
        <v>147</v>
      </c>
    </row>
    <row r="42" spans="1:32" x14ac:dyDescent="0.25">
      <c r="A42">
        <v>53</v>
      </c>
      <c r="B42" s="32">
        <v>43574</v>
      </c>
      <c r="C42" s="31">
        <f>AC42-(7/24)</f>
        <v>43574.362152777772</v>
      </c>
      <c r="D42" t="s">
        <v>124</v>
      </c>
      <c r="E42">
        <v>1</v>
      </c>
      <c r="F42" t="s">
        <v>31</v>
      </c>
      <c r="G42" t="s">
        <v>54</v>
      </c>
      <c r="L42" t="s">
        <v>230</v>
      </c>
      <c r="AB42" t="s">
        <v>125</v>
      </c>
      <c r="AC42" s="2">
        <v>43574.653819444437</v>
      </c>
      <c r="AD42" t="s">
        <v>37</v>
      </c>
      <c r="AE42" s="2">
        <v>43574.653819444437</v>
      </c>
      <c r="AF42" t="s">
        <v>37</v>
      </c>
    </row>
    <row r="43" spans="1:32" x14ac:dyDescent="0.25">
      <c r="A43">
        <v>57</v>
      </c>
      <c r="B43" s="32">
        <v>43574</v>
      </c>
      <c r="C43" s="31">
        <f>AC43-(7/24)</f>
        <v>43574.364606481489</v>
      </c>
      <c r="D43" t="s">
        <v>124</v>
      </c>
      <c r="E43">
        <v>1</v>
      </c>
      <c r="F43" t="s">
        <v>31</v>
      </c>
      <c r="G43" t="s">
        <v>57</v>
      </c>
      <c r="L43" t="s">
        <v>230</v>
      </c>
      <c r="AB43" t="s">
        <v>129</v>
      </c>
      <c r="AC43" s="2">
        <v>43574.656273148154</v>
      </c>
      <c r="AD43" t="s">
        <v>37</v>
      </c>
      <c r="AE43" s="2">
        <v>43574.656273148154</v>
      </c>
      <c r="AF43" t="s">
        <v>37</v>
      </c>
    </row>
    <row r="44" spans="1:32" x14ac:dyDescent="0.25">
      <c r="A44">
        <v>86</v>
      </c>
      <c r="B44" s="32">
        <v>43574</v>
      </c>
      <c r="C44" s="31">
        <f>AC44-(7/24)</f>
        <v>43574.343275462976</v>
      </c>
      <c r="D44" t="s">
        <v>124</v>
      </c>
      <c r="E44">
        <v>2</v>
      </c>
      <c r="F44" t="s">
        <v>31</v>
      </c>
      <c r="L44" t="s">
        <v>231</v>
      </c>
      <c r="AB44" t="s">
        <v>173</v>
      </c>
      <c r="AC44" s="2">
        <v>43574.63494212964</v>
      </c>
      <c r="AD44" t="s">
        <v>147</v>
      </c>
      <c r="AE44" s="2">
        <v>43574.63494212964</v>
      </c>
      <c r="AF44" t="s">
        <v>147</v>
      </c>
    </row>
    <row r="45" spans="1:32" x14ac:dyDescent="0.25">
      <c r="A45">
        <v>27</v>
      </c>
      <c r="B45" s="32">
        <v>43574</v>
      </c>
      <c r="C45" s="31">
        <f>AC45-(7/24)</f>
        <v>43574.329004629639</v>
      </c>
      <c r="D45" t="s">
        <v>91</v>
      </c>
      <c r="E45">
        <v>1</v>
      </c>
      <c r="F45" t="s">
        <v>31</v>
      </c>
      <c r="G45" t="s">
        <v>44</v>
      </c>
      <c r="L45" t="s">
        <v>230</v>
      </c>
      <c r="AB45" t="s">
        <v>92</v>
      </c>
      <c r="AC45" s="2">
        <v>43574.620671296303</v>
      </c>
      <c r="AD45" t="s">
        <v>37</v>
      </c>
      <c r="AE45" s="2">
        <v>43574.620671296303</v>
      </c>
      <c r="AF45" t="s">
        <v>37</v>
      </c>
    </row>
    <row r="46" spans="1:32" x14ac:dyDescent="0.25">
      <c r="A46">
        <v>59</v>
      </c>
      <c r="B46" s="32">
        <v>43574</v>
      </c>
      <c r="C46" s="31">
        <f>AC46-(7/24)</f>
        <v>43574.370081018518</v>
      </c>
      <c r="D46" t="s">
        <v>91</v>
      </c>
      <c r="E46">
        <v>1</v>
      </c>
      <c r="F46" t="s">
        <v>85</v>
      </c>
      <c r="G46" t="s">
        <v>32</v>
      </c>
      <c r="L46" t="s">
        <v>230</v>
      </c>
      <c r="AB46" t="s">
        <v>131</v>
      </c>
      <c r="AC46" s="2">
        <v>43574.661747685182</v>
      </c>
      <c r="AD46" t="s">
        <v>37</v>
      </c>
      <c r="AE46" s="2">
        <v>43574.661747685182</v>
      </c>
      <c r="AF46" t="s">
        <v>37</v>
      </c>
    </row>
    <row r="47" spans="1:32" x14ac:dyDescent="0.25">
      <c r="A47">
        <v>116</v>
      </c>
      <c r="B47" s="32">
        <v>43574</v>
      </c>
      <c r="C47" s="31">
        <f>AC47-(7/24)</f>
        <v>43574.369872685187</v>
      </c>
      <c r="D47" t="s">
        <v>91</v>
      </c>
      <c r="E47">
        <v>1</v>
      </c>
      <c r="F47" t="s">
        <v>31</v>
      </c>
      <c r="G47" t="s">
        <v>44</v>
      </c>
      <c r="L47" t="s">
        <v>231</v>
      </c>
      <c r="AB47" t="s">
        <v>214</v>
      </c>
      <c r="AC47" s="2">
        <v>43574.661539351851</v>
      </c>
      <c r="AD47" t="s">
        <v>147</v>
      </c>
      <c r="AE47" s="2">
        <v>43574.661539351851</v>
      </c>
      <c r="AF47" t="s">
        <v>147</v>
      </c>
    </row>
    <row r="48" spans="1:32" x14ac:dyDescent="0.25">
      <c r="A48">
        <v>22</v>
      </c>
      <c r="B48" s="32">
        <v>43574</v>
      </c>
      <c r="C48" s="31">
        <f>AC48-(7/24)</f>
        <v>43574.322800925926</v>
      </c>
      <c r="D48" t="s">
        <v>81</v>
      </c>
      <c r="E48">
        <v>1</v>
      </c>
      <c r="F48" t="s">
        <v>31</v>
      </c>
      <c r="G48" t="s">
        <v>44</v>
      </c>
      <c r="L48" t="s">
        <v>230</v>
      </c>
      <c r="AB48" t="s">
        <v>82</v>
      </c>
      <c r="AC48" s="2">
        <v>43574.61446759259</v>
      </c>
      <c r="AD48" t="s">
        <v>37</v>
      </c>
      <c r="AE48" s="2">
        <v>43574.61446759259</v>
      </c>
      <c r="AF48" t="s">
        <v>37</v>
      </c>
    </row>
    <row r="49" spans="1:32" x14ac:dyDescent="0.25">
      <c r="A49">
        <v>110</v>
      </c>
      <c r="B49" s="32">
        <v>43574</v>
      </c>
      <c r="C49" s="31">
        <f>AC49-(7/24)</f>
        <v>43574.365057870375</v>
      </c>
      <c r="D49" t="s">
        <v>81</v>
      </c>
      <c r="E49">
        <v>5</v>
      </c>
      <c r="F49" t="s">
        <v>31</v>
      </c>
      <c r="G49" t="s">
        <v>54</v>
      </c>
      <c r="L49" t="s">
        <v>231</v>
      </c>
      <c r="AB49" t="s">
        <v>208</v>
      </c>
      <c r="AC49" s="2">
        <v>43574.656724537039</v>
      </c>
      <c r="AD49" t="s">
        <v>147</v>
      </c>
      <c r="AE49" s="2">
        <v>43574.656724537039</v>
      </c>
      <c r="AF49" t="s">
        <v>147</v>
      </c>
    </row>
    <row r="50" spans="1:32" x14ac:dyDescent="0.25">
      <c r="A50">
        <v>9</v>
      </c>
      <c r="B50" s="32">
        <v>43574</v>
      </c>
      <c r="C50" s="31">
        <f>AC50-(7/24)</f>
        <v>43574.308449074073</v>
      </c>
      <c r="D50" t="s">
        <v>53</v>
      </c>
      <c r="E50">
        <v>1</v>
      </c>
      <c r="F50" t="s">
        <v>31</v>
      </c>
      <c r="G50" t="s">
        <v>54</v>
      </c>
      <c r="L50" t="s">
        <v>230</v>
      </c>
      <c r="AB50" t="s">
        <v>55</v>
      </c>
      <c r="AC50" s="2">
        <v>43574.600115740737</v>
      </c>
      <c r="AD50" t="s">
        <v>37</v>
      </c>
      <c r="AE50" s="2">
        <v>43574.600115740737</v>
      </c>
      <c r="AF50" t="s">
        <v>37</v>
      </c>
    </row>
    <row r="51" spans="1:32" x14ac:dyDescent="0.25">
      <c r="A51">
        <v>58</v>
      </c>
      <c r="B51" s="32">
        <v>43574</v>
      </c>
      <c r="C51" s="31">
        <f>AC51-(7/24)</f>
        <v>43574.366655092599</v>
      </c>
      <c r="D51" t="s">
        <v>53</v>
      </c>
      <c r="E51">
        <v>1</v>
      </c>
      <c r="F51" t="s">
        <v>31</v>
      </c>
      <c r="G51" t="s">
        <v>89</v>
      </c>
      <c r="L51" t="s">
        <v>230</v>
      </c>
      <c r="AB51" t="s">
        <v>130</v>
      </c>
      <c r="AC51" s="2">
        <v>43574.658321759263</v>
      </c>
      <c r="AD51" t="s">
        <v>37</v>
      </c>
      <c r="AE51" s="2">
        <v>43574.658321759263</v>
      </c>
      <c r="AF51" t="s">
        <v>37</v>
      </c>
    </row>
    <row r="52" spans="1:32" x14ac:dyDescent="0.25">
      <c r="A52">
        <v>36</v>
      </c>
      <c r="B52" s="32">
        <v>43574</v>
      </c>
      <c r="C52" s="31">
        <f>AC52-(7/24)</f>
        <v>43574.340914351858</v>
      </c>
      <c r="D52" t="s">
        <v>102</v>
      </c>
      <c r="E52">
        <v>1</v>
      </c>
      <c r="F52" t="s">
        <v>31</v>
      </c>
      <c r="G52" t="s">
        <v>39</v>
      </c>
      <c r="L52" t="s">
        <v>230</v>
      </c>
      <c r="AB52" t="s">
        <v>103</v>
      </c>
      <c r="AC52" s="2">
        <v>43574.632581018523</v>
      </c>
      <c r="AD52" t="s">
        <v>37</v>
      </c>
      <c r="AE52" s="2">
        <v>43574.632581018523</v>
      </c>
      <c r="AF52" t="s">
        <v>37</v>
      </c>
    </row>
    <row r="53" spans="1:32" x14ac:dyDescent="0.25">
      <c r="A53">
        <v>83</v>
      </c>
      <c r="B53" s="32">
        <v>43574</v>
      </c>
      <c r="C53" s="31">
        <f>AC53-(7/24)</f>
        <v>43574.340729166666</v>
      </c>
      <c r="D53" t="s">
        <v>102</v>
      </c>
      <c r="E53">
        <v>1</v>
      </c>
      <c r="F53" t="s">
        <v>31</v>
      </c>
      <c r="G53" t="s">
        <v>64</v>
      </c>
      <c r="L53" t="s">
        <v>231</v>
      </c>
      <c r="AB53" t="s">
        <v>170</v>
      </c>
      <c r="AC53" s="2">
        <v>43574.632395833331</v>
      </c>
      <c r="AD53" t="s">
        <v>147</v>
      </c>
      <c r="AE53" s="2">
        <v>43574.632395833331</v>
      </c>
      <c r="AF53" t="s">
        <v>147</v>
      </c>
    </row>
    <row r="54" spans="1:32" x14ac:dyDescent="0.25">
      <c r="A54">
        <v>2</v>
      </c>
      <c r="B54" s="32">
        <v>43574</v>
      </c>
      <c r="C54" s="31">
        <f>AC54-(7/24)</f>
        <v>43574.302650462967</v>
      </c>
      <c r="D54" t="s">
        <v>38</v>
      </c>
      <c r="E54">
        <v>1</v>
      </c>
      <c r="F54" t="s">
        <v>31</v>
      </c>
      <c r="G54" t="s">
        <v>39</v>
      </c>
      <c r="L54" t="s">
        <v>230</v>
      </c>
      <c r="AB54" t="s">
        <v>40</v>
      </c>
      <c r="AC54" s="2">
        <v>43574.594317129631</v>
      </c>
      <c r="AD54" t="s">
        <v>37</v>
      </c>
      <c r="AE54" s="2">
        <v>43574.594317129631</v>
      </c>
      <c r="AF54" t="s">
        <v>37</v>
      </c>
    </row>
    <row r="55" spans="1:32" x14ac:dyDescent="0.25">
      <c r="A55">
        <v>84</v>
      </c>
      <c r="B55" s="32">
        <v>43574</v>
      </c>
      <c r="C55" s="31">
        <f>AC55-(7/24)</f>
        <v>43574.340960648158</v>
      </c>
      <c r="D55" t="s">
        <v>38</v>
      </c>
      <c r="E55">
        <v>1</v>
      </c>
      <c r="F55" t="s">
        <v>31</v>
      </c>
      <c r="G55" t="s">
        <v>64</v>
      </c>
      <c r="L55" t="s">
        <v>231</v>
      </c>
      <c r="AB55" t="s">
        <v>171</v>
      </c>
      <c r="AC55" s="2">
        <v>43574.632627314822</v>
      </c>
      <c r="AD55" t="s">
        <v>147</v>
      </c>
      <c r="AE55" s="2">
        <v>43574.632627314822</v>
      </c>
      <c r="AF55" t="s">
        <v>147</v>
      </c>
    </row>
    <row r="56" spans="1:32" x14ac:dyDescent="0.25">
      <c r="A56">
        <v>117</v>
      </c>
      <c r="B56" s="32">
        <v>43574</v>
      </c>
      <c r="C56" s="31">
        <f>AC56-(7/24)</f>
        <v>43574.371828703705</v>
      </c>
      <c r="D56" t="s">
        <v>38</v>
      </c>
      <c r="E56">
        <v>1</v>
      </c>
      <c r="F56" t="s">
        <v>31</v>
      </c>
      <c r="L56" t="s">
        <v>231</v>
      </c>
      <c r="AB56" t="s">
        <v>215</v>
      </c>
      <c r="AC56" s="2">
        <v>43574.663495370369</v>
      </c>
      <c r="AD56" t="s">
        <v>147</v>
      </c>
      <c r="AE56" s="2">
        <v>43574.663495370369</v>
      </c>
      <c r="AF56" t="s">
        <v>147</v>
      </c>
    </row>
    <row r="57" spans="1:32" x14ac:dyDescent="0.25">
      <c r="A57">
        <v>3</v>
      </c>
      <c r="B57" s="32">
        <v>43574</v>
      </c>
      <c r="C57" s="31">
        <f>AC57-(7/24)</f>
        <v>43574.304814814815</v>
      </c>
      <c r="D57" t="s">
        <v>41</v>
      </c>
      <c r="E57">
        <v>1</v>
      </c>
      <c r="F57" t="s">
        <v>31</v>
      </c>
      <c r="G57" t="s">
        <v>32</v>
      </c>
      <c r="L57" t="s">
        <v>230</v>
      </c>
      <c r="AB57" t="s">
        <v>42</v>
      </c>
      <c r="AC57" s="2">
        <v>43574.59648148148</v>
      </c>
      <c r="AD57" t="s">
        <v>37</v>
      </c>
      <c r="AE57" s="2">
        <v>43574.59648148148</v>
      </c>
      <c r="AF57" t="s">
        <v>37</v>
      </c>
    </row>
    <row r="58" spans="1:32" x14ac:dyDescent="0.25">
      <c r="A58">
        <v>5</v>
      </c>
      <c r="B58" s="32">
        <v>43574</v>
      </c>
      <c r="C58" s="31">
        <f>AC58-(7/24)</f>
        <v>43574.306342592594</v>
      </c>
      <c r="D58" t="s">
        <v>41</v>
      </c>
      <c r="E58">
        <v>2</v>
      </c>
      <c r="F58" t="s">
        <v>31</v>
      </c>
      <c r="G58" t="s">
        <v>44</v>
      </c>
      <c r="L58" t="s">
        <v>230</v>
      </c>
      <c r="AB58" t="s">
        <v>46</v>
      </c>
      <c r="AC58" s="2">
        <v>43574.598009259258</v>
      </c>
      <c r="AD58" t="s">
        <v>37</v>
      </c>
      <c r="AE58" s="2">
        <v>43574.598009259258</v>
      </c>
      <c r="AF58" t="s">
        <v>37</v>
      </c>
    </row>
    <row r="59" spans="1:32" x14ac:dyDescent="0.25">
      <c r="A59">
        <v>38</v>
      </c>
      <c r="B59" s="32">
        <v>43574</v>
      </c>
      <c r="C59" s="31">
        <f>AC59-(7/24)</f>
        <v>43574.344502314816</v>
      </c>
      <c r="D59" t="s">
        <v>41</v>
      </c>
      <c r="E59">
        <v>1</v>
      </c>
      <c r="F59" t="s">
        <v>31</v>
      </c>
      <c r="G59" t="s">
        <v>44</v>
      </c>
      <c r="L59" t="s">
        <v>230</v>
      </c>
      <c r="AB59" t="s">
        <v>105</v>
      </c>
      <c r="AC59" s="2">
        <v>43574.63616898148</v>
      </c>
      <c r="AD59" t="s">
        <v>37</v>
      </c>
      <c r="AE59" s="2">
        <v>43574.63616898148</v>
      </c>
      <c r="AF59" t="s">
        <v>37</v>
      </c>
    </row>
    <row r="60" spans="1:32" x14ac:dyDescent="0.25">
      <c r="A60">
        <v>46</v>
      </c>
      <c r="B60" s="32">
        <v>43574</v>
      </c>
      <c r="C60" s="31">
        <f>AC60-(7/24)</f>
        <v>43574.355798611119</v>
      </c>
      <c r="D60" t="s">
        <v>41</v>
      </c>
      <c r="E60">
        <v>2</v>
      </c>
      <c r="F60" t="s">
        <v>31</v>
      </c>
      <c r="G60" t="s">
        <v>114</v>
      </c>
      <c r="I60" t="s">
        <v>115</v>
      </c>
      <c r="L60" t="s">
        <v>230</v>
      </c>
      <c r="AB60" t="s">
        <v>116</v>
      </c>
      <c r="AC60" s="2">
        <v>43574.647465277783</v>
      </c>
      <c r="AD60" t="s">
        <v>37</v>
      </c>
      <c r="AE60" s="2">
        <v>43574.647465277783</v>
      </c>
      <c r="AF60" t="s">
        <v>37</v>
      </c>
    </row>
    <row r="61" spans="1:32" x14ac:dyDescent="0.25">
      <c r="A61">
        <v>47</v>
      </c>
      <c r="B61" s="32">
        <v>43574</v>
      </c>
      <c r="C61" s="31">
        <f>AC61-(7/24)</f>
        <v>43574.356678240743</v>
      </c>
      <c r="D61" t="s">
        <v>41</v>
      </c>
      <c r="E61">
        <v>1</v>
      </c>
      <c r="F61" t="s">
        <v>31</v>
      </c>
      <c r="G61" t="s">
        <v>44</v>
      </c>
      <c r="L61" t="s">
        <v>230</v>
      </c>
      <c r="AB61" t="s">
        <v>117</v>
      </c>
      <c r="AC61" s="2">
        <v>43574.648344907408</v>
      </c>
      <c r="AD61" t="s">
        <v>37</v>
      </c>
      <c r="AE61" s="2">
        <v>43574.648344907408</v>
      </c>
      <c r="AF61" t="s">
        <v>37</v>
      </c>
    </row>
    <row r="62" spans="1:32" x14ac:dyDescent="0.25">
      <c r="A62">
        <v>48</v>
      </c>
      <c r="B62" s="32">
        <v>43574</v>
      </c>
      <c r="C62" s="31">
        <f>AC62-(7/24)</f>
        <v>43574.357187500013</v>
      </c>
      <c r="D62" t="s">
        <v>41</v>
      </c>
      <c r="E62">
        <v>4</v>
      </c>
      <c r="F62" t="s">
        <v>31</v>
      </c>
      <c r="G62" t="s">
        <v>57</v>
      </c>
      <c r="L62" t="s">
        <v>230</v>
      </c>
      <c r="AB62" t="s">
        <v>118</v>
      </c>
      <c r="AC62" s="2">
        <v>43574.648854166677</v>
      </c>
      <c r="AD62" t="s">
        <v>37</v>
      </c>
      <c r="AE62" s="2">
        <v>43574.648854166677</v>
      </c>
      <c r="AF62" t="s">
        <v>37</v>
      </c>
    </row>
    <row r="63" spans="1:32" x14ac:dyDescent="0.25">
      <c r="A63">
        <v>56</v>
      </c>
      <c r="B63" s="32">
        <v>43574</v>
      </c>
      <c r="C63" s="31">
        <f>AC63-(7/24)</f>
        <v>43574.363206018519</v>
      </c>
      <c r="D63" t="s">
        <v>41</v>
      </c>
      <c r="E63">
        <v>4</v>
      </c>
      <c r="F63" t="s">
        <v>85</v>
      </c>
      <c r="G63" t="s">
        <v>44</v>
      </c>
      <c r="L63" t="s">
        <v>230</v>
      </c>
      <c r="AB63" t="s">
        <v>128</v>
      </c>
      <c r="AC63" s="2">
        <v>43574.654872685183</v>
      </c>
      <c r="AD63" t="s">
        <v>37</v>
      </c>
      <c r="AE63" s="2">
        <v>43574.654872685183</v>
      </c>
      <c r="AF63" t="s">
        <v>37</v>
      </c>
    </row>
    <row r="64" spans="1:32" x14ac:dyDescent="0.25">
      <c r="A64">
        <v>112</v>
      </c>
      <c r="B64" s="32">
        <v>43574</v>
      </c>
      <c r="C64" s="31">
        <f>AC64-(7/24)</f>
        <v>43574.367627314816</v>
      </c>
      <c r="D64" t="s">
        <v>41</v>
      </c>
      <c r="E64">
        <v>2</v>
      </c>
      <c r="F64" t="s">
        <v>31</v>
      </c>
      <c r="L64" t="s">
        <v>231</v>
      </c>
      <c r="AB64" t="s">
        <v>210</v>
      </c>
      <c r="AC64" s="2">
        <v>43574.65929398148</v>
      </c>
      <c r="AD64" t="s">
        <v>147</v>
      </c>
      <c r="AE64" s="2">
        <v>43574.65929398148</v>
      </c>
      <c r="AF64" t="s">
        <v>147</v>
      </c>
    </row>
    <row r="65" spans="1:32" x14ac:dyDescent="0.25">
      <c r="A65">
        <v>89</v>
      </c>
      <c r="B65" s="32">
        <v>43574</v>
      </c>
      <c r="C65" s="31">
        <f>AC65-(7/24)</f>
        <v>43574.347129629634</v>
      </c>
      <c r="D65" t="s">
        <v>176</v>
      </c>
      <c r="E65">
        <v>2</v>
      </c>
      <c r="F65" t="s">
        <v>31</v>
      </c>
      <c r="L65" t="s">
        <v>231</v>
      </c>
      <c r="AB65" t="s">
        <v>177</v>
      </c>
      <c r="AC65" s="2">
        <v>43574.638796296298</v>
      </c>
      <c r="AD65" t="s">
        <v>147</v>
      </c>
      <c r="AE65" s="2">
        <v>43574.638796296298</v>
      </c>
      <c r="AF65" t="s">
        <v>147</v>
      </c>
    </row>
    <row r="66" spans="1:32" x14ac:dyDescent="0.25">
      <c r="A66">
        <v>68</v>
      </c>
      <c r="B66" s="32">
        <v>43574</v>
      </c>
      <c r="C66" s="31">
        <f>AC66-(7/24)</f>
        <v>43574.308946759258</v>
      </c>
      <c r="D66" t="s">
        <v>151</v>
      </c>
      <c r="E66">
        <v>1</v>
      </c>
      <c r="F66" t="s">
        <v>31</v>
      </c>
      <c r="G66" t="s">
        <v>44</v>
      </c>
      <c r="L66" t="s">
        <v>231</v>
      </c>
      <c r="AB66" t="s">
        <v>152</v>
      </c>
      <c r="AC66" s="2">
        <v>43574.600613425922</v>
      </c>
      <c r="AD66" t="s">
        <v>147</v>
      </c>
      <c r="AE66" s="2">
        <v>43574.600613425922</v>
      </c>
      <c r="AF66" t="s">
        <v>147</v>
      </c>
    </row>
    <row r="67" spans="1:32" x14ac:dyDescent="0.25">
      <c r="A67">
        <v>14</v>
      </c>
      <c r="B67" s="32">
        <v>43574</v>
      </c>
      <c r="C67" s="31">
        <f>AC67-(7/24)</f>
        <v>43574.310636574075</v>
      </c>
      <c r="D67" t="s">
        <v>66</v>
      </c>
      <c r="E67">
        <v>1</v>
      </c>
      <c r="F67" t="s">
        <v>31</v>
      </c>
      <c r="G67" t="s">
        <v>39</v>
      </c>
      <c r="L67" t="s">
        <v>230</v>
      </c>
      <c r="AB67" t="s">
        <v>67</v>
      </c>
      <c r="AC67" s="2">
        <v>43574.602303240739</v>
      </c>
      <c r="AD67" t="s">
        <v>37</v>
      </c>
      <c r="AE67" s="2">
        <v>43574.602303240739</v>
      </c>
      <c r="AF67" t="s">
        <v>37</v>
      </c>
    </row>
    <row r="68" spans="1:32" x14ac:dyDescent="0.25">
      <c r="A68">
        <v>16</v>
      </c>
      <c r="B68" s="32">
        <v>43574</v>
      </c>
      <c r="C68" s="31">
        <f>AC68-(7/24)</f>
        <v>43574.317928240744</v>
      </c>
      <c r="D68" t="s">
        <v>66</v>
      </c>
      <c r="E68">
        <v>1</v>
      </c>
      <c r="F68" t="s">
        <v>31</v>
      </c>
      <c r="G68" t="s">
        <v>54</v>
      </c>
      <c r="L68" t="s">
        <v>230</v>
      </c>
      <c r="AB68" t="s">
        <v>69</v>
      </c>
      <c r="AC68" s="2">
        <v>43574.609594907408</v>
      </c>
      <c r="AD68" t="s">
        <v>37</v>
      </c>
      <c r="AE68" s="2">
        <v>43574.609594907408</v>
      </c>
      <c r="AF68" t="s">
        <v>37</v>
      </c>
    </row>
    <row r="69" spans="1:32" x14ac:dyDescent="0.25">
      <c r="A69">
        <v>42</v>
      </c>
      <c r="B69" s="32">
        <v>43574</v>
      </c>
      <c r="C69" s="31">
        <f>AC69-(7/24)</f>
        <v>43574.353217592594</v>
      </c>
      <c r="D69" t="s">
        <v>66</v>
      </c>
      <c r="E69">
        <v>1</v>
      </c>
      <c r="F69" t="s">
        <v>31</v>
      </c>
      <c r="G69" t="s">
        <v>39</v>
      </c>
      <c r="L69" t="s">
        <v>230</v>
      </c>
      <c r="AB69" t="s">
        <v>109</v>
      </c>
      <c r="AC69" s="2">
        <v>43574.644884259258</v>
      </c>
      <c r="AD69" t="s">
        <v>37</v>
      </c>
      <c r="AE69" s="2">
        <v>43574.644884259258</v>
      </c>
      <c r="AF69" t="s">
        <v>37</v>
      </c>
    </row>
    <row r="70" spans="1:32" x14ac:dyDescent="0.25">
      <c r="A70">
        <v>65</v>
      </c>
      <c r="B70" s="32">
        <v>43574</v>
      </c>
      <c r="C70" s="31">
        <f>AC70-(7/24)</f>
        <v>43574.302303240744</v>
      </c>
      <c r="D70" t="s">
        <v>66</v>
      </c>
      <c r="E70">
        <v>1</v>
      </c>
      <c r="F70" t="s">
        <v>31</v>
      </c>
      <c r="G70" t="s">
        <v>39</v>
      </c>
      <c r="L70" t="s">
        <v>231</v>
      </c>
      <c r="AB70" t="s">
        <v>148</v>
      </c>
      <c r="AC70" s="2">
        <v>43574.593969907408</v>
      </c>
      <c r="AD70" t="s">
        <v>147</v>
      </c>
      <c r="AE70" s="2">
        <v>43574.593969907408</v>
      </c>
      <c r="AF70" t="s">
        <v>147</v>
      </c>
    </row>
    <row r="71" spans="1:32" x14ac:dyDescent="0.25">
      <c r="A71">
        <v>72</v>
      </c>
      <c r="B71" s="32">
        <v>43574</v>
      </c>
      <c r="C71" s="31">
        <f>AC71-(7/24)</f>
        <v>43574.312025462976</v>
      </c>
      <c r="D71" t="s">
        <v>66</v>
      </c>
      <c r="E71">
        <v>1</v>
      </c>
      <c r="F71" t="s">
        <v>31</v>
      </c>
      <c r="G71" t="s">
        <v>79</v>
      </c>
      <c r="L71" t="s">
        <v>231</v>
      </c>
      <c r="AB71" t="s">
        <v>156</v>
      </c>
      <c r="AC71" s="2">
        <v>43574.60369212964</v>
      </c>
      <c r="AD71" t="s">
        <v>147</v>
      </c>
      <c r="AE71" s="2">
        <v>43574.60369212964</v>
      </c>
      <c r="AF71" t="s">
        <v>147</v>
      </c>
    </row>
    <row r="72" spans="1:32" x14ac:dyDescent="0.25">
      <c r="A72">
        <v>73</v>
      </c>
      <c r="B72" s="32">
        <v>43574</v>
      </c>
      <c r="C72" s="31">
        <f>AC72-(7/24)</f>
        <v>43574.320196759269</v>
      </c>
      <c r="D72" t="s">
        <v>66</v>
      </c>
      <c r="E72">
        <v>1</v>
      </c>
      <c r="F72" t="s">
        <v>31</v>
      </c>
      <c r="G72" t="s">
        <v>79</v>
      </c>
      <c r="L72" t="s">
        <v>231</v>
      </c>
      <c r="AB72" t="s">
        <v>157</v>
      </c>
      <c r="AC72" s="2">
        <v>43574.611863425933</v>
      </c>
      <c r="AD72" t="s">
        <v>147</v>
      </c>
      <c r="AE72" s="2">
        <v>43574.611863425933</v>
      </c>
      <c r="AF72" t="s">
        <v>147</v>
      </c>
    </row>
    <row r="73" spans="1:32" x14ac:dyDescent="0.25">
      <c r="A73">
        <v>78</v>
      </c>
      <c r="B73" s="32">
        <v>43574</v>
      </c>
      <c r="C73" s="31">
        <f>AC73-(7/24)</f>
        <v>43574.333668981482</v>
      </c>
      <c r="D73" t="s">
        <v>66</v>
      </c>
      <c r="E73">
        <v>3</v>
      </c>
      <c r="F73" t="s">
        <v>31</v>
      </c>
      <c r="G73" t="s">
        <v>79</v>
      </c>
      <c r="L73" t="s">
        <v>231</v>
      </c>
      <c r="AB73" t="s">
        <v>164</v>
      </c>
      <c r="AC73" s="2">
        <v>43574.625335648147</v>
      </c>
      <c r="AD73" t="s">
        <v>147</v>
      </c>
      <c r="AE73" s="2">
        <v>43574.626620370371</v>
      </c>
      <c r="AF73" t="s">
        <v>147</v>
      </c>
    </row>
    <row r="74" spans="1:32" x14ac:dyDescent="0.25">
      <c r="A74">
        <v>85</v>
      </c>
      <c r="B74" s="32">
        <v>43574</v>
      </c>
      <c r="C74" s="31">
        <f>AC74-(7/24)</f>
        <v>43574.342638888898</v>
      </c>
      <c r="D74" t="s">
        <v>66</v>
      </c>
      <c r="E74">
        <v>1</v>
      </c>
      <c r="F74" t="s">
        <v>31</v>
      </c>
      <c r="G74" t="s">
        <v>79</v>
      </c>
      <c r="L74" t="s">
        <v>231</v>
      </c>
      <c r="AB74" t="s">
        <v>172</v>
      </c>
      <c r="AC74" s="2">
        <v>43574.634305555563</v>
      </c>
      <c r="AD74" t="s">
        <v>147</v>
      </c>
      <c r="AE74" s="2">
        <v>43574.634305555563</v>
      </c>
      <c r="AF74" t="s">
        <v>147</v>
      </c>
    </row>
    <row r="75" spans="1:32" x14ac:dyDescent="0.25">
      <c r="A75">
        <v>90</v>
      </c>
      <c r="B75" s="32">
        <v>43574</v>
      </c>
      <c r="C75" s="31">
        <f>AC75-(7/24)</f>
        <v>43574.348761574074</v>
      </c>
      <c r="D75" t="s">
        <v>66</v>
      </c>
      <c r="E75">
        <v>4</v>
      </c>
      <c r="F75" t="s">
        <v>31</v>
      </c>
      <c r="G75" t="s">
        <v>79</v>
      </c>
      <c r="I75" t="s">
        <v>138</v>
      </c>
      <c r="J75" t="s">
        <v>239</v>
      </c>
      <c r="L75" t="s">
        <v>231</v>
      </c>
      <c r="AB75" t="s">
        <v>178</v>
      </c>
      <c r="AC75" s="2">
        <v>43574.640428240738</v>
      </c>
      <c r="AD75" t="s">
        <v>147</v>
      </c>
      <c r="AE75" s="2">
        <v>43574.640428240738</v>
      </c>
      <c r="AF75" t="s">
        <v>147</v>
      </c>
    </row>
    <row r="76" spans="1:32" x14ac:dyDescent="0.25">
      <c r="A76">
        <v>96</v>
      </c>
      <c r="B76" s="32">
        <v>43574</v>
      </c>
      <c r="C76" s="31">
        <f>AC76-(7/24)</f>
        <v>43574.358877314815</v>
      </c>
      <c r="D76" t="s">
        <v>66</v>
      </c>
      <c r="E76">
        <v>1</v>
      </c>
      <c r="F76" t="s">
        <v>31</v>
      </c>
      <c r="G76" t="s">
        <v>79</v>
      </c>
      <c r="L76" t="s">
        <v>231</v>
      </c>
      <c r="AB76" t="s">
        <v>187</v>
      </c>
      <c r="AC76" s="2">
        <v>43574.650543981479</v>
      </c>
      <c r="AD76" t="s">
        <v>147</v>
      </c>
      <c r="AE76" s="2">
        <v>43574.650543981479</v>
      </c>
      <c r="AF76" t="s">
        <v>147</v>
      </c>
    </row>
    <row r="77" spans="1:32" x14ac:dyDescent="0.25">
      <c r="A77">
        <v>118</v>
      </c>
      <c r="B77" s="32">
        <v>43574</v>
      </c>
      <c r="C77" s="31">
        <f>AC77-(7/24)</f>
        <v>43574.372615740744</v>
      </c>
      <c r="D77" t="s">
        <v>66</v>
      </c>
      <c r="E77">
        <v>3</v>
      </c>
      <c r="F77" t="s">
        <v>31</v>
      </c>
      <c r="G77" t="s">
        <v>79</v>
      </c>
      <c r="L77" t="s">
        <v>231</v>
      </c>
      <c r="AB77" t="s">
        <v>216</v>
      </c>
      <c r="AC77" s="2">
        <v>43574.664282407408</v>
      </c>
      <c r="AD77" t="s">
        <v>147</v>
      </c>
      <c r="AE77" s="2">
        <v>43574.664282407408</v>
      </c>
      <c r="AF77" t="s">
        <v>147</v>
      </c>
    </row>
    <row r="78" spans="1:32" x14ac:dyDescent="0.25">
      <c r="A78">
        <v>91</v>
      </c>
      <c r="B78" s="32">
        <v>43574</v>
      </c>
      <c r="C78" s="31">
        <f>AC78-(7/24)</f>
        <v>43574.351192129623</v>
      </c>
      <c r="D78" t="s">
        <v>179</v>
      </c>
      <c r="E78">
        <v>1</v>
      </c>
      <c r="F78" t="s">
        <v>31</v>
      </c>
      <c r="G78" t="s">
        <v>44</v>
      </c>
      <c r="L78" t="s">
        <v>231</v>
      </c>
      <c r="AB78" t="s">
        <v>180</v>
      </c>
      <c r="AC78" s="2">
        <v>43574.642858796287</v>
      </c>
      <c r="AD78" t="s">
        <v>147</v>
      </c>
      <c r="AE78" s="2">
        <v>43574.642858796287</v>
      </c>
      <c r="AF78" t="s">
        <v>147</v>
      </c>
    </row>
    <row r="79" spans="1:32" x14ac:dyDescent="0.25">
      <c r="A79">
        <v>94</v>
      </c>
      <c r="B79" s="32">
        <v>43574</v>
      </c>
      <c r="C79" s="31">
        <f>AC79-(7/24)</f>
        <v>43574.354409722226</v>
      </c>
      <c r="D79" t="s">
        <v>179</v>
      </c>
      <c r="E79">
        <v>2</v>
      </c>
      <c r="F79" t="s">
        <v>31</v>
      </c>
      <c r="G79" t="s">
        <v>183</v>
      </c>
      <c r="I79" t="s">
        <v>184</v>
      </c>
      <c r="L79" t="s">
        <v>231</v>
      </c>
      <c r="AB79" t="s">
        <v>185</v>
      </c>
      <c r="AC79" s="2">
        <v>43574.64607638889</v>
      </c>
      <c r="AD79" t="s">
        <v>147</v>
      </c>
      <c r="AE79" s="2">
        <v>43574.64607638889</v>
      </c>
      <c r="AF79" t="s">
        <v>147</v>
      </c>
    </row>
    <row r="80" spans="1:32" x14ac:dyDescent="0.25">
      <c r="A80">
        <v>43</v>
      </c>
      <c r="B80" s="32">
        <v>43574</v>
      </c>
      <c r="C80" s="31">
        <f>AC80-(7/24)</f>
        <v>43574.353773148148</v>
      </c>
      <c r="D80" t="s">
        <v>110</v>
      </c>
      <c r="E80">
        <v>1</v>
      </c>
      <c r="F80" t="s">
        <v>31</v>
      </c>
      <c r="G80" t="s">
        <v>39</v>
      </c>
      <c r="L80" t="s">
        <v>230</v>
      </c>
      <c r="AB80" t="s">
        <v>111</v>
      </c>
      <c r="AC80" s="2">
        <v>43574.645439814813</v>
      </c>
      <c r="AD80" t="s">
        <v>37</v>
      </c>
      <c r="AE80" s="2">
        <v>43574.645439814813</v>
      </c>
      <c r="AF80" t="s">
        <v>37</v>
      </c>
    </row>
    <row r="81" spans="1:32" x14ac:dyDescent="0.25">
      <c r="A81">
        <v>106</v>
      </c>
      <c r="B81" s="32">
        <v>43574</v>
      </c>
      <c r="C81" s="31">
        <f>AC81-(7/24)</f>
        <v>43574.363194444442</v>
      </c>
      <c r="D81" t="s">
        <v>201</v>
      </c>
      <c r="E81">
        <v>2</v>
      </c>
      <c r="F81" t="s">
        <v>31</v>
      </c>
      <c r="G81" t="s">
        <v>44</v>
      </c>
      <c r="L81" t="s">
        <v>231</v>
      </c>
      <c r="AB81" t="s">
        <v>202</v>
      </c>
      <c r="AC81" s="2">
        <v>43574.654861111107</v>
      </c>
      <c r="AD81" t="s">
        <v>147</v>
      </c>
      <c r="AE81" s="2">
        <v>43574.654861111107</v>
      </c>
      <c r="AF81" t="s">
        <v>147</v>
      </c>
    </row>
    <row r="82" spans="1:32" x14ac:dyDescent="0.25">
      <c r="A82">
        <v>108</v>
      </c>
      <c r="B82" s="32">
        <v>43574</v>
      </c>
      <c r="C82" s="31">
        <f>AC82-(7/24)</f>
        <v>43574.364270833335</v>
      </c>
      <c r="D82" t="s">
        <v>201</v>
      </c>
      <c r="E82">
        <v>1</v>
      </c>
      <c r="F82" t="s">
        <v>31</v>
      </c>
      <c r="G82" t="s">
        <v>54</v>
      </c>
      <c r="L82" t="s">
        <v>231</v>
      </c>
      <c r="AB82" t="s">
        <v>205</v>
      </c>
      <c r="AC82" s="2">
        <v>43574.6559375</v>
      </c>
      <c r="AD82" t="s">
        <v>147</v>
      </c>
      <c r="AE82" s="2">
        <v>43574.6559375</v>
      </c>
      <c r="AF82" t="s">
        <v>147</v>
      </c>
    </row>
    <row r="83" spans="1:32" x14ac:dyDescent="0.25">
      <c r="A83">
        <v>7</v>
      </c>
      <c r="B83" s="32">
        <v>43574</v>
      </c>
      <c r="C83" s="31">
        <f>AC83-(7/24)</f>
        <v>43574.307708333334</v>
      </c>
      <c r="D83" t="s">
        <v>49</v>
      </c>
      <c r="E83">
        <v>2</v>
      </c>
      <c r="F83" t="s">
        <v>31</v>
      </c>
      <c r="G83" t="s">
        <v>39</v>
      </c>
      <c r="L83" t="s">
        <v>230</v>
      </c>
      <c r="AB83" t="s">
        <v>50</v>
      </c>
      <c r="AC83" s="2">
        <v>43574.599374999998</v>
      </c>
      <c r="AD83" t="s">
        <v>37</v>
      </c>
      <c r="AE83" s="2">
        <v>43574.599374999998</v>
      </c>
      <c r="AF83" t="s">
        <v>37</v>
      </c>
    </row>
    <row r="84" spans="1:32" x14ac:dyDescent="0.25">
      <c r="A84">
        <v>29</v>
      </c>
      <c r="B84" s="32">
        <v>43574</v>
      </c>
      <c r="C84" s="31">
        <f>AC84-(7/24)</f>
        <v>43574.336180555569</v>
      </c>
      <c r="D84" t="s">
        <v>49</v>
      </c>
      <c r="E84">
        <v>1</v>
      </c>
      <c r="F84" t="s">
        <v>31</v>
      </c>
      <c r="G84" t="s">
        <v>76</v>
      </c>
      <c r="H84" t="s">
        <v>77</v>
      </c>
      <c r="L84" t="s">
        <v>230</v>
      </c>
      <c r="AB84" t="s">
        <v>94</v>
      </c>
      <c r="AC84" s="2">
        <v>43574.627847222233</v>
      </c>
      <c r="AD84" t="s">
        <v>37</v>
      </c>
      <c r="AE84" s="2">
        <v>43574.627847222233</v>
      </c>
      <c r="AF84" t="s">
        <v>37</v>
      </c>
    </row>
    <row r="85" spans="1:32" x14ac:dyDescent="0.25">
      <c r="A85">
        <v>49</v>
      </c>
      <c r="B85" s="32">
        <v>43574</v>
      </c>
      <c r="C85" s="31">
        <f>AC85-(7/24)</f>
        <v>43574.357685185183</v>
      </c>
      <c r="D85" t="s">
        <v>49</v>
      </c>
      <c r="E85">
        <v>1</v>
      </c>
      <c r="F85" t="s">
        <v>31</v>
      </c>
      <c r="G85" t="s">
        <v>76</v>
      </c>
      <c r="L85" t="s">
        <v>230</v>
      </c>
      <c r="AB85" t="s">
        <v>119</v>
      </c>
      <c r="AC85" s="2">
        <v>43574.649351851847</v>
      </c>
      <c r="AD85" t="s">
        <v>37</v>
      </c>
      <c r="AE85" s="2">
        <v>43574.649351851847</v>
      </c>
      <c r="AF85" t="s">
        <v>37</v>
      </c>
    </row>
    <row r="86" spans="1:32" x14ac:dyDescent="0.25">
      <c r="A86">
        <v>50</v>
      </c>
      <c r="B86" s="32">
        <v>43574</v>
      </c>
      <c r="C86" s="31">
        <f>AC86-(7/24)</f>
        <v>43574.357881944445</v>
      </c>
      <c r="D86" t="s">
        <v>49</v>
      </c>
      <c r="E86">
        <v>4</v>
      </c>
      <c r="F86" t="s">
        <v>31</v>
      </c>
      <c r="G86" t="s">
        <v>89</v>
      </c>
      <c r="L86" t="s">
        <v>230</v>
      </c>
      <c r="AB86" t="s">
        <v>120</v>
      </c>
      <c r="AC86" s="2">
        <v>43574.649548611109</v>
      </c>
      <c r="AD86" t="s">
        <v>37</v>
      </c>
      <c r="AE86" s="2">
        <v>43574.649548611109</v>
      </c>
      <c r="AF86" t="s">
        <v>37</v>
      </c>
    </row>
    <row r="87" spans="1:32" x14ac:dyDescent="0.25">
      <c r="A87">
        <v>114</v>
      </c>
      <c r="B87" s="32">
        <v>43574</v>
      </c>
      <c r="C87" s="31">
        <f>AC87-(7/24)</f>
        <v>43574.368645833332</v>
      </c>
      <c r="D87" t="s">
        <v>49</v>
      </c>
      <c r="E87">
        <v>2</v>
      </c>
      <c r="F87" t="s">
        <v>31</v>
      </c>
      <c r="G87" t="s">
        <v>76</v>
      </c>
      <c r="L87" t="s">
        <v>231</v>
      </c>
      <c r="AB87" t="s">
        <v>212</v>
      </c>
      <c r="AC87" s="2">
        <v>43574.660312499997</v>
      </c>
      <c r="AD87" t="s">
        <v>147</v>
      </c>
      <c r="AE87" s="2">
        <v>43574.660312499997</v>
      </c>
      <c r="AF87" t="s">
        <v>147</v>
      </c>
    </row>
    <row r="88" spans="1:32" x14ac:dyDescent="0.25">
      <c r="A88">
        <v>98</v>
      </c>
      <c r="B88" s="32">
        <v>43574</v>
      </c>
      <c r="C88" s="31">
        <f>AC88-(7/24)</f>
        <v>43574.359409722223</v>
      </c>
      <c r="D88" t="s">
        <v>189</v>
      </c>
      <c r="E88">
        <v>1</v>
      </c>
      <c r="F88" t="s">
        <v>31</v>
      </c>
      <c r="G88" t="s">
        <v>44</v>
      </c>
      <c r="L88" t="s">
        <v>231</v>
      </c>
      <c r="AB88" t="s">
        <v>190</v>
      </c>
      <c r="AC88" s="2">
        <v>43574.651076388887</v>
      </c>
      <c r="AD88" t="s">
        <v>147</v>
      </c>
      <c r="AE88" s="2">
        <v>43574.651076388887</v>
      </c>
      <c r="AF88" t="s">
        <v>147</v>
      </c>
    </row>
    <row r="89" spans="1:32" x14ac:dyDescent="0.25">
      <c r="A89">
        <v>4</v>
      </c>
      <c r="B89" s="32">
        <v>43574</v>
      </c>
      <c r="C89" s="31">
        <f>AC89-(7/24)</f>
        <v>43574.306157407409</v>
      </c>
      <c r="D89" t="s">
        <v>43</v>
      </c>
      <c r="E89">
        <v>1</v>
      </c>
      <c r="F89" t="s">
        <v>31</v>
      </c>
      <c r="G89" t="s">
        <v>44</v>
      </c>
      <c r="L89" t="s">
        <v>230</v>
      </c>
      <c r="AB89" t="s">
        <v>45</v>
      </c>
      <c r="AC89" s="2">
        <v>43574.597824074073</v>
      </c>
      <c r="AD89" t="s">
        <v>37</v>
      </c>
      <c r="AE89" s="2">
        <v>43574.597824074073</v>
      </c>
      <c r="AF89" t="s">
        <v>37</v>
      </c>
    </row>
    <row r="90" spans="1:32" x14ac:dyDescent="0.25">
      <c r="A90">
        <v>35</v>
      </c>
      <c r="B90" s="32">
        <v>43574</v>
      </c>
      <c r="C90" s="31">
        <f>AC90-(7/24)</f>
        <v>43574.339560185188</v>
      </c>
      <c r="D90" t="s">
        <v>43</v>
      </c>
      <c r="E90">
        <v>1</v>
      </c>
      <c r="F90" t="s">
        <v>31</v>
      </c>
      <c r="G90" t="s">
        <v>44</v>
      </c>
      <c r="L90" t="s">
        <v>230</v>
      </c>
      <c r="AB90" t="s">
        <v>101</v>
      </c>
      <c r="AC90" s="2">
        <v>43574.631226851852</v>
      </c>
      <c r="AD90" t="s">
        <v>37</v>
      </c>
      <c r="AE90" s="2">
        <v>43574.631226851852</v>
      </c>
      <c r="AF90" t="s">
        <v>37</v>
      </c>
    </row>
    <row r="91" spans="1:32" x14ac:dyDescent="0.25">
      <c r="A91">
        <v>104</v>
      </c>
      <c r="B91" s="32">
        <v>43574</v>
      </c>
      <c r="C91" s="31">
        <f>AC91-(7/24)</f>
        <v>43574.361782407403</v>
      </c>
      <c r="D91" t="s">
        <v>197</v>
      </c>
      <c r="E91">
        <v>1</v>
      </c>
      <c r="F91" t="s">
        <v>31</v>
      </c>
      <c r="G91" t="s">
        <v>44</v>
      </c>
      <c r="L91" t="s">
        <v>231</v>
      </c>
      <c r="AB91" t="s">
        <v>198</v>
      </c>
      <c r="AC91" s="2">
        <v>43574.653449074067</v>
      </c>
      <c r="AD91" t="s">
        <v>147</v>
      </c>
      <c r="AE91" s="2">
        <v>43574.653449074067</v>
      </c>
      <c r="AF91" t="s">
        <v>147</v>
      </c>
    </row>
    <row r="92" spans="1:32" x14ac:dyDescent="0.25">
      <c r="A92">
        <v>105</v>
      </c>
      <c r="B92" s="32">
        <v>43574</v>
      </c>
      <c r="C92" s="31">
        <f>AC92-(7/24)</f>
        <v>43574.362928240749</v>
      </c>
      <c r="D92" t="s">
        <v>199</v>
      </c>
      <c r="E92">
        <v>1</v>
      </c>
      <c r="F92" t="s">
        <v>31</v>
      </c>
      <c r="G92" t="s">
        <v>44</v>
      </c>
      <c r="L92" t="s">
        <v>231</v>
      </c>
      <c r="AB92" t="s">
        <v>200</v>
      </c>
      <c r="AC92" s="2">
        <v>43574.654594907413</v>
      </c>
      <c r="AD92" t="s">
        <v>147</v>
      </c>
      <c r="AE92" s="2">
        <v>43574.654594907413</v>
      </c>
      <c r="AF92" t="s">
        <v>147</v>
      </c>
    </row>
    <row r="93" spans="1:32" x14ac:dyDescent="0.25">
      <c r="A93">
        <v>109</v>
      </c>
      <c r="B93" s="32">
        <v>43574</v>
      </c>
      <c r="C93" s="31">
        <f>AC93-(7/24)</f>
        <v>43574.364733796298</v>
      </c>
      <c r="D93" t="s">
        <v>206</v>
      </c>
      <c r="E93">
        <v>1</v>
      </c>
      <c r="F93" t="s">
        <v>31</v>
      </c>
      <c r="L93" t="s">
        <v>231</v>
      </c>
      <c r="AB93" t="s">
        <v>207</v>
      </c>
      <c r="AC93" s="2">
        <v>43574.656400462962</v>
      </c>
      <c r="AD93" t="s">
        <v>147</v>
      </c>
      <c r="AE93" s="2">
        <v>43574.656400462962</v>
      </c>
      <c r="AF93" t="s">
        <v>147</v>
      </c>
    </row>
    <row r="94" spans="1:32" x14ac:dyDescent="0.25">
      <c r="A94">
        <v>102</v>
      </c>
      <c r="B94" s="32">
        <v>43574</v>
      </c>
      <c r="C94" s="31">
        <f>AC94-(7/24)</f>
        <v>43574.361180555556</v>
      </c>
      <c r="D94" t="s">
        <v>194</v>
      </c>
      <c r="E94">
        <v>1</v>
      </c>
      <c r="F94" t="s">
        <v>31</v>
      </c>
      <c r="G94" t="s">
        <v>44</v>
      </c>
      <c r="L94" t="s">
        <v>231</v>
      </c>
      <c r="AB94" t="s">
        <v>195</v>
      </c>
      <c r="AC94" s="2">
        <v>43574.65284722222</v>
      </c>
      <c r="AD94" t="s">
        <v>147</v>
      </c>
      <c r="AE94" s="2">
        <v>43574.65284722222</v>
      </c>
      <c r="AF94" t="s">
        <v>147</v>
      </c>
    </row>
    <row r="95" spans="1:32" x14ac:dyDescent="0.25">
      <c r="A95">
        <v>26</v>
      </c>
      <c r="B95" s="32">
        <v>43574</v>
      </c>
      <c r="C95" s="31">
        <f>AC95-(7/24)</f>
        <v>43574.327013888898</v>
      </c>
      <c r="D95" t="s">
        <v>88</v>
      </c>
      <c r="E95">
        <v>5</v>
      </c>
      <c r="F95" t="s">
        <v>31</v>
      </c>
      <c r="G95" t="s">
        <v>89</v>
      </c>
      <c r="L95" t="s">
        <v>230</v>
      </c>
      <c r="AB95" t="s">
        <v>90</v>
      </c>
      <c r="AC95" s="2">
        <v>43574.618680555563</v>
      </c>
      <c r="AD95" t="s">
        <v>37</v>
      </c>
      <c r="AE95" s="2">
        <v>43574.618680555563</v>
      </c>
      <c r="AF95" t="s">
        <v>37</v>
      </c>
    </row>
    <row r="96" spans="1:32" x14ac:dyDescent="0.25">
      <c r="A96">
        <v>55</v>
      </c>
      <c r="B96" s="32">
        <v>43574</v>
      </c>
      <c r="C96" s="31">
        <f>AC96-(7/24)</f>
        <v>43574.362835648142</v>
      </c>
      <c r="D96" t="s">
        <v>88</v>
      </c>
      <c r="E96">
        <v>2</v>
      </c>
      <c r="F96" t="s">
        <v>31</v>
      </c>
      <c r="G96" t="s">
        <v>114</v>
      </c>
      <c r="L96" t="s">
        <v>230</v>
      </c>
      <c r="AB96" t="s">
        <v>127</v>
      </c>
      <c r="AC96" s="2">
        <v>43574.654502314806</v>
      </c>
      <c r="AD96" t="s">
        <v>37</v>
      </c>
      <c r="AE96" s="2">
        <v>43574.654502314806</v>
      </c>
      <c r="AF96" t="s">
        <v>37</v>
      </c>
    </row>
    <row r="97" spans="1:32" x14ac:dyDescent="0.25">
      <c r="A97">
        <v>62</v>
      </c>
      <c r="B97" s="32">
        <v>43574</v>
      </c>
      <c r="C97" s="31">
        <f>AC97-(7/24)</f>
        <v>43574.379270833335</v>
      </c>
      <c r="D97" t="s">
        <v>88</v>
      </c>
      <c r="E97">
        <v>2</v>
      </c>
      <c r="F97" t="s">
        <v>31</v>
      </c>
      <c r="G97" t="s">
        <v>135</v>
      </c>
      <c r="L97" t="s">
        <v>230</v>
      </c>
      <c r="AB97" t="s">
        <v>136</v>
      </c>
      <c r="AC97" s="2">
        <v>43574.670937499999</v>
      </c>
      <c r="AD97" t="s">
        <v>37</v>
      </c>
      <c r="AE97" s="2">
        <v>43574.670937499999</v>
      </c>
      <c r="AF97" t="s">
        <v>37</v>
      </c>
    </row>
    <row r="98" spans="1:32" x14ac:dyDescent="0.25">
      <c r="A98">
        <v>87</v>
      </c>
      <c r="B98" s="32">
        <v>43574</v>
      </c>
      <c r="C98" s="31">
        <f>AC98-(7/24)</f>
        <v>43574.345104166663</v>
      </c>
      <c r="D98" t="s">
        <v>88</v>
      </c>
      <c r="E98">
        <v>3</v>
      </c>
      <c r="F98" t="s">
        <v>31</v>
      </c>
      <c r="G98" t="s">
        <v>89</v>
      </c>
      <c r="L98" t="s">
        <v>231</v>
      </c>
      <c r="AB98" t="s">
        <v>174</v>
      </c>
      <c r="AC98" s="2">
        <v>43574.636770833327</v>
      </c>
      <c r="AD98" t="s">
        <v>147</v>
      </c>
      <c r="AE98" s="2">
        <v>43574.636770833327</v>
      </c>
      <c r="AF98" t="s">
        <v>147</v>
      </c>
    </row>
    <row r="99" spans="1:32" x14ac:dyDescent="0.25">
      <c r="A99">
        <v>88</v>
      </c>
      <c r="B99" s="32">
        <v>43574</v>
      </c>
      <c r="C99" s="31">
        <f>AC99-(7/24)</f>
        <v>43574.346770833334</v>
      </c>
      <c r="D99" t="s">
        <v>88</v>
      </c>
      <c r="E99">
        <v>5</v>
      </c>
      <c r="F99" t="s">
        <v>31</v>
      </c>
      <c r="G99" t="s">
        <v>44</v>
      </c>
      <c r="L99" t="s">
        <v>231</v>
      </c>
      <c r="AB99" t="s">
        <v>175</v>
      </c>
      <c r="AC99" s="2">
        <v>43574.638437499998</v>
      </c>
      <c r="AD99" t="s">
        <v>147</v>
      </c>
      <c r="AE99" s="2">
        <v>43574.638437499998</v>
      </c>
      <c r="AF99" t="s">
        <v>147</v>
      </c>
    </row>
    <row r="100" spans="1:32" x14ac:dyDescent="0.25">
      <c r="A100">
        <v>64</v>
      </c>
      <c r="B100" s="32">
        <v>43574</v>
      </c>
      <c r="C100" s="31">
        <f>AC100-(7/24)</f>
        <v>43574.301354166666</v>
      </c>
      <c r="D100" t="s">
        <v>142</v>
      </c>
      <c r="E100">
        <v>1</v>
      </c>
      <c r="F100" t="s">
        <v>31</v>
      </c>
      <c r="G100" t="s">
        <v>79</v>
      </c>
      <c r="K100">
        <v>5.8</v>
      </c>
      <c r="L100" t="s">
        <v>231</v>
      </c>
      <c r="M100" t="s">
        <v>143</v>
      </c>
      <c r="O100">
        <v>54</v>
      </c>
      <c r="P100">
        <v>100</v>
      </c>
      <c r="Q100" t="s">
        <v>144</v>
      </c>
      <c r="R100" t="s">
        <v>35</v>
      </c>
      <c r="S100" t="s">
        <v>145</v>
      </c>
      <c r="AB100" t="s">
        <v>146</v>
      </c>
      <c r="AC100" s="2">
        <v>43574.59302083333</v>
      </c>
      <c r="AD100" t="s">
        <v>147</v>
      </c>
      <c r="AE100" s="2">
        <v>43574.59302083333</v>
      </c>
      <c r="AF100" t="s">
        <v>147</v>
      </c>
    </row>
    <row r="101" spans="1:32" x14ac:dyDescent="0.25">
      <c r="A101">
        <v>77</v>
      </c>
      <c r="B101" s="32">
        <v>43574</v>
      </c>
      <c r="C101" s="31">
        <f>AC101-(7/24)</f>
        <v>43574.326423611114</v>
      </c>
      <c r="D101" t="s">
        <v>162</v>
      </c>
      <c r="E101">
        <v>1</v>
      </c>
      <c r="F101" t="s">
        <v>31</v>
      </c>
      <c r="G101" t="s">
        <v>54</v>
      </c>
      <c r="L101" t="s">
        <v>231</v>
      </c>
      <c r="AB101" t="s">
        <v>163</v>
      </c>
      <c r="AC101" s="2">
        <v>43574.618090277778</v>
      </c>
      <c r="AD101" t="s">
        <v>147</v>
      </c>
      <c r="AE101" s="2">
        <v>43574.618090277778</v>
      </c>
      <c r="AF101" t="s">
        <v>147</v>
      </c>
    </row>
    <row r="102" spans="1:32" x14ac:dyDescent="0.25">
      <c r="A102">
        <v>103</v>
      </c>
      <c r="B102" s="32">
        <v>43574</v>
      </c>
      <c r="C102" s="31">
        <f>AC102-(7/24)</f>
        <v>43574.361412037033</v>
      </c>
      <c r="D102" t="s">
        <v>162</v>
      </c>
      <c r="E102">
        <v>1</v>
      </c>
      <c r="F102" t="s">
        <v>31</v>
      </c>
      <c r="G102" t="s">
        <v>54</v>
      </c>
      <c r="L102" t="s">
        <v>231</v>
      </c>
      <c r="AB102" t="s">
        <v>196</v>
      </c>
      <c r="AC102" s="2">
        <v>43574.653078703697</v>
      </c>
      <c r="AD102" t="s">
        <v>147</v>
      </c>
      <c r="AE102" s="2">
        <v>43574.653078703697</v>
      </c>
      <c r="AF102" t="s">
        <v>147</v>
      </c>
    </row>
    <row r="103" spans="1:32" x14ac:dyDescent="0.25">
      <c r="A103">
        <v>19</v>
      </c>
      <c r="B103" s="32">
        <v>43574</v>
      </c>
      <c r="C103" s="31">
        <f>AC103-(7/24)</f>
        <v>43574.320775462969</v>
      </c>
      <c r="D103" t="s">
        <v>73</v>
      </c>
      <c r="E103">
        <v>1</v>
      </c>
      <c r="F103" t="s">
        <v>31</v>
      </c>
      <c r="G103" t="s">
        <v>39</v>
      </c>
      <c r="L103" t="s">
        <v>230</v>
      </c>
      <c r="AB103" t="s">
        <v>74</v>
      </c>
      <c r="AC103" s="2">
        <v>43574.612442129634</v>
      </c>
      <c r="AD103" t="s">
        <v>37</v>
      </c>
      <c r="AE103" s="2">
        <v>43574.612442129634</v>
      </c>
      <c r="AF103" t="s">
        <v>37</v>
      </c>
    </row>
    <row r="104" spans="1:32" x14ac:dyDescent="0.25">
      <c r="A104">
        <v>75</v>
      </c>
      <c r="B104" s="32">
        <v>43574</v>
      </c>
      <c r="C104" s="31">
        <f>AC104-(7/24)</f>
        <v>43574.323113425926</v>
      </c>
      <c r="D104" t="s">
        <v>73</v>
      </c>
      <c r="E104">
        <v>1</v>
      </c>
      <c r="F104" t="s">
        <v>31</v>
      </c>
      <c r="G104" t="s">
        <v>64</v>
      </c>
      <c r="L104" t="s">
        <v>231</v>
      </c>
      <c r="AB104" t="s">
        <v>160</v>
      </c>
      <c r="AC104" s="2">
        <v>43574.61478009259</v>
      </c>
      <c r="AD104" t="s">
        <v>147</v>
      </c>
      <c r="AE104" s="2">
        <v>43574.61478009259</v>
      </c>
      <c r="AF104" t="s">
        <v>147</v>
      </c>
    </row>
    <row r="105" spans="1:32" x14ac:dyDescent="0.25">
      <c r="A105">
        <v>95</v>
      </c>
      <c r="B105" s="32">
        <v>43574</v>
      </c>
      <c r="C105" s="31">
        <f>AC105-(7/24)</f>
        <v>43574.354583333334</v>
      </c>
      <c r="D105" t="s">
        <v>73</v>
      </c>
      <c r="E105">
        <v>2</v>
      </c>
      <c r="F105" t="s">
        <v>31</v>
      </c>
      <c r="L105" t="s">
        <v>231</v>
      </c>
      <c r="AB105" t="s">
        <v>186</v>
      </c>
      <c r="AC105" s="2">
        <v>43574.646249999998</v>
      </c>
      <c r="AD105" t="s">
        <v>147</v>
      </c>
      <c r="AE105" s="2">
        <v>43574.646249999998</v>
      </c>
      <c r="AF105" t="s">
        <v>147</v>
      </c>
    </row>
    <row r="106" spans="1:32" x14ac:dyDescent="0.25">
      <c r="A106">
        <v>10</v>
      </c>
      <c r="B106" s="32">
        <v>43574</v>
      </c>
      <c r="C106" s="31">
        <f>AC106-(7/24)</f>
        <v>43574.308611111119</v>
      </c>
      <c r="D106" t="s">
        <v>56</v>
      </c>
      <c r="E106">
        <v>1</v>
      </c>
      <c r="F106" t="s">
        <v>31</v>
      </c>
      <c r="G106" t="s">
        <v>57</v>
      </c>
      <c r="L106" t="s">
        <v>230</v>
      </c>
      <c r="AB106" t="s">
        <v>58</v>
      </c>
      <c r="AC106" s="2">
        <v>43574.600277777783</v>
      </c>
      <c r="AD106" t="s">
        <v>37</v>
      </c>
      <c r="AE106" s="2">
        <v>43574.600277777783</v>
      </c>
      <c r="AF106" t="s">
        <v>37</v>
      </c>
    </row>
    <row r="107" spans="1:32" x14ac:dyDescent="0.25">
      <c r="A107">
        <v>15</v>
      </c>
      <c r="B107" s="32">
        <v>43574</v>
      </c>
      <c r="C107" s="31">
        <f>AC107-(7/24)</f>
        <v>43574.316099537049</v>
      </c>
      <c r="D107" t="s">
        <v>56</v>
      </c>
      <c r="E107">
        <v>1</v>
      </c>
      <c r="F107" t="s">
        <v>31</v>
      </c>
      <c r="G107" t="s">
        <v>57</v>
      </c>
      <c r="L107" t="s">
        <v>230</v>
      </c>
      <c r="AB107" t="s">
        <v>68</v>
      </c>
      <c r="AC107" s="2">
        <v>43574.607766203713</v>
      </c>
      <c r="AD107" t="s">
        <v>37</v>
      </c>
      <c r="AE107" s="2">
        <v>43574.607766203713</v>
      </c>
      <c r="AF107" t="s">
        <v>37</v>
      </c>
    </row>
    <row r="108" spans="1:32" x14ac:dyDescent="0.25">
      <c r="A108">
        <v>18</v>
      </c>
      <c r="B108" s="32">
        <v>43574</v>
      </c>
      <c r="C108" s="31">
        <f>AC108-(7/24)</f>
        <v>43574.320567129638</v>
      </c>
      <c r="D108" t="s">
        <v>56</v>
      </c>
      <c r="E108">
        <v>1</v>
      </c>
      <c r="F108" t="s">
        <v>31</v>
      </c>
      <c r="G108" t="s">
        <v>32</v>
      </c>
      <c r="L108" t="s">
        <v>230</v>
      </c>
      <c r="AB108" t="s">
        <v>72</v>
      </c>
      <c r="AC108" s="2">
        <v>43574.612233796302</v>
      </c>
      <c r="AD108" t="s">
        <v>37</v>
      </c>
      <c r="AE108" s="2">
        <v>43574.612233796302</v>
      </c>
      <c r="AF108" t="s">
        <v>37</v>
      </c>
    </row>
    <row r="109" spans="1:32" x14ac:dyDescent="0.25">
      <c r="A109">
        <v>32</v>
      </c>
      <c r="B109" s="32">
        <v>43574</v>
      </c>
      <c r="C109" s="31">
        <f>AC109-(7/24)</f>
        <v>43574.336909722224</v>
      </c>
      <c r="D109" t="s">
        <v>56</v>
      </c>
      <c r="E109">
        <v>1</v>
      </c>
      <c r="F109" t="s">
        <v>31</v>
      </c>
      <c r="G109" t="s">
        <v>54</v>
      </c>
      <c r="L109" t="s">
        <v>230</v>
      </c>
      <c r="AB109" t="s">
        <v>98</v>
      </c>
      <c r="AC109" s="2">
        <v>43574.628576388888</v>
      </c>
      <c r="AD109" t="s">
        <v>37</v>
      </c>
      <c r="AE109" s="2">
        <v>43574.628576388888</v>
      </c>
      <c r="AF109" t="s">
        <v>37</v>
      </c>
    </row>
    <row r="110" spans="1:32" x14ac:dyDescent="0.25">
      <c r="A110">
        <v>33</v>
      </c>
      <c r="B110" s="32">
        <v>43574</v>
      </c>
      <c r="C110" s="31">
        <f>AC110-(7/24)</f>
        <v>43574.338194444448</v>
      </c>
      <c r="D110" t="s">
        <v>56</v>
      </c>
      <c r="E110">
        <v>2</v>
      </c>
      <c r="F110" t="s">
        <v>31</v>
      </c>
      <c r="G110" t="s">
        <v>57</v>
      </c>
      <c r="L110" t="s">
        <v>230</v>
      </c>
      <c r="AB110" t="s">
        <v>99</v>
      </c>
      <c r="AC110" s="2">
        <v>43574.629861111112</v>
      </c>
      <c r="AD110" t="s">
        <v>37</v>
      </c>
      <c r="AE110" s="2">
        <v>43574.629861111112</v>
      </c>
      <c r="AF110" t="s">
        <v>37</v>
      </c>
    </row>
    <row r="111" spans="1:32" x14ac:dyDescent="0.25">
      <c r="A111">
        <v>39</v>
      </c>
      <c r="B111" s="32">
        <v>43574</v>
      </c>
      <c r="C111" s="31">
        <f>AC111-(7/24)</f>
        <v>43574.346111111103</v>
      </c>
      <c r="D111" t="s">
        <v>56</v>
      </c>
      <c r="E111">
        <v>1</v>
      </c>
      <c r="F111" t="s">
        <v>31</v>
      </c>
      <c r="G111" t="s">
        <v>57</v>
      </c>
      <c r="L111" t="s">
        <v>230</v>
      </c>
      <c r="AB111" t="s">
        <v>106</v>
      </c>
      <c r="AC111" s="2">
        <v>43574.637777777767</v>
      </c>
      <c r="AD111" t="s">
        <v>37</v>
      </c>
      <c r="AE111" s="2">
        <v>43574.637777777767</v>
      </c>
      <c r="AF111" t="s">
        <v>37</v>
      </c>
    </row>
    <row r="112" spans="1:32" x14ac:dyDescent="0.25">
      <c r="A112">
        <v>45</v>
      </c>
      <c r="B112" s="32">
        <v>43574</v>
      </c>
      <c r="C112" s="31">
        <f>AC112-(7/24)</f>
        <v>43574.355405092596</v>
      </c>
      <c r="D112" t="s">
        <v>56</v>
      </c>
      <c r="E112">
        <v>1</v>
      </c>
      <c r="F112" t="s">
        <v>31</v>
      </c>
      <c r="G112" t="s">
        <v>57</v>
      </c>
      <c r="L112" t="s">
        <v>230</v>
      </c>
      <c r="AB112" t="s">
        <v>113</v>
      </c>
      <c r="AC112" s="2">
        <v>43574.64707175926</v>
      </c>
      <c r="AD112" t="s">
        <v>37</v>
      </c>
      <c r="AE112" s="2">
        <v>43574.64707175926</v>
      </c>
      <c r="AF112" t="s">
        <v>37</v>
      </c>
    </row>
    <row r="113" spans="1:32" x14ac:dyDescent="0.25">
      <c r="A113">
        <v>54</v>
      </c>
      <c r="B113" s="32">
        <v>43574</v>
      </c>
      <c r="C113" s="31">
        <f>AC113-(7/24)</f>
        <v>43574.362303240749</v>
      </c>
      <c r="D113" t="s">
        <v>56</v>
      </c>
      <c r="E113">
        <v>2</v>
      </c>
      <c r="F113" t="s">
        <v>31</v>
      </c>
      <c r="G113" t="s">
        <v>57</v>
      </c>
      <c r="L113" t="s">
        <v>230</v>
      </c>
      <c r="AB113" t="s">
        <v>126</v>
      </c>
      <c r="AC113" s="2">
        <v>43574.653969907413</v>
      </c>
      <c r="AD113" t="s">
        <v>37</v>
      </c>
      <c r="AE113" s="2">
        <v>43574.653969907413</v>
      </c>
      <c r="AF113" t="s">
        <v>37</v>
      </c>
    </row>
    <row r="114" spans="1:32" x14ac:dyDescent="0.25">
      <c r="A114">
        <v>82</v>
      </c>
      <c r="B114" s="32">
        <v>43574</v>
      </c>
      <c r="C114" s="31">
        <f>AC114-(7/24)</f>
        <v>43574.339212962965</v>
      </c>
      <c r="D114" t="s">
        <v>56</v>
      </c>
      <c r="E114">
        <v>1</v>
      </c>
      <c r="F114" t="s">
        <v>31</v>
      </c>
      <c r="G114" t="s">
        <v>44</v>
      </c>
      <c r="L114" t="s">
        <v>231</v>
      </c>
      <c r="AB114" t="s">
        <v>169</v>
      </c>
      <c r="AC114" s="2">
        <v>43574.630879629629</v>
      </c>
      <c r="AD114" t="s">
        <v>147</v>
      </c>
      <c r="AE114" s="2">
        <v>43574.630879629629</v>
      </c>
      <c r="AF114" t="s">
        <v>147</v>
      </c>
    </row>
    <row r="115" spans="1:32" x14ac:dyDescent="0.25">
      <c r="A115">
        <v>100</v>
      </c>
      <c r="B115" s="32">
        <v>43574</v>
      </c>
      <c r="C115" s="31">
        <f>AC115-(7/24)</f>
        <v>43574.360578703709</v>
      </c>
      <c r="D115" t="s">
        <v>56</v>
      </c>
      <c r="E115">
        <v>2</v>
      </c>
      <c r="F115" t="s">
        <v>31</v>
      </c>
      <c r="G115" t="s">
        <v>57</v>
      </c>
      <c r="L115" t="s">
        <v>231</v>
      </c>
      <c r="AB115" t="s">
        <v>192</v>
      </c>
      <c r="AC115" s="2">
        <v>43574.652245370373</v>
      </c>
      <c r="AD115" t="s">
        <v>147</v>
      </c>
      <c r="AE115" s="2">
        <v>43574.655243055553</v>
      </c>
      <c r="AF115" t="s">
        <v>147</v>
      </c>
    </row>
    <row r="116" spans="1:32" x14ac:dyDescent="0.25">
      <c r="A116">
        <v>111</v>
      </c>
      <c r="B116" s="32">
        <v>43574</v>
      </c>
      <c r="C116" s="31">
        <f>AC116-(7/24)</f>
        <v>43574.365381944444</v>
      </c>
      <c r="D116" t="s">
        <v>56</v>
      </c>
      <c r="E116">
        <v>2</v>
      </c>
      <c r="F116" t="s">
        <v>31</v>
      </c>
      <c r="G116" t="s">
        <v>54</v>
      </c>
      <c r="L116" t="s">
        <v>231</v>
      </c>
      <c r="AB116" t="s">
        <v>209</v>
      </c>
      <c r="AC116" s="2">
        <v>43574.657048611109</v>
      </c>
      <c r="AD116" t="s">
        <v>147</v>
      </c>
      <c r="AE116" s="2">
        <v>43574.657048611109</v>
      </c>
      <c r="AF116" t="s">
        <v>147</v>
      </c>
    </row>
    <row r="117" spans="1:32" x14ac:dyDescent="0.25">
      <c r="A117">
        <v>31</v>
      </c>
      <c r="B117" s="32">
        <v>43574</v>
      </c>
      <c r="C117" s="31">
        <f>AC117-(7/24)</f>
        <v>43574.336689814816</v>
      </c>
      <c r="D117" t="s">
        <v>96</v>
      </c>
      <c r="E117">
        <v>1</v>
      </c>
      <c r="F117" t="s">
        <v>31</v>
      </c>
      <c r="G117" t="s">
        <v>39</v>
      </c>
      <c r="L117" t="s">
        <v>230</v>
      </c>
      <c r="AB117" t="s">
        <v>97</v>
      </c>
      <c r="AC117" s="2">
        <v>43574.62835648148</v>
      </c>
      <c r="AD117" t="s">
        <v>37</v>
      </c>
      <c r="AE117" s="2">
        <v>43574.62835648148</v>
      </c>
      <c r="AF117" t="s">
        <v>37</v>
      </c>
    </row>
    <row r="118" spans="1:32" x14ac:dyDescent="0.25">
      <c r="A118">
        <v>12</v>
      </c>
      <c r="B118" s="32">
        <v>43574</v>
      </c>
      <c r="C118" s="31">
        <f>AC118-(7/24)</f>
        <v>43574.310023148159</v>
      </c>
      <c r="D118" t="s">
        <v>61</v>
      </c>
      <c r="E118">
        <v>6</v>
      </c>
      <c r="F118" t="s">
        <v>31</v>
      </c>
      <c r="G118" t="s">
        <v>39</v>
      </c>
      <c r="L118" t="s">
        <v>230</v>
      </c>
      <c r="AB118" t="s">
        <v>62</v>
      </c>
      <c r="AC118" s="2">
        <v>43574.601689814823</v>
      </c>
      <c r="AD118" t="s">
        <v>37</v>
      </c>
      <c r="AE118" s="2">
        <v>43574.601689814823</v>
      </c>
      <c r="AF118" t="s">
        <v>37</v>
      </c>
    </row>
    <row r="119" spans="1:32" x14ac:dyDescent="0.25">
      <c r="A119">
        <v>30</v>
      </c>
      <c r="B119" s="32">
        <v>43574</v>
      </c>
      <c r="C119" s="31">
        <f>AC119-(7/24)</f>
        <v>43574.336435185185</v>
      </c>
      <c r="D119" t="s">
        <v>61</v>
      </c>
      <c r="E119">
        <v>5</v>
      </c>
      <c r="F119" t="s">
        <v>31</v>
      </c>
      <c r="G119" t="s">
        <v>76</v>
      </c>
      <c r="L119" t="s">
        <v>230</v>
      </c>
      <c r="AB119" t="s">
        <v>95</v>
      </c>
      <c r="AC119" s="2">
        <v>43574.628101851849</v>
      </c>
      <c r="AD119" t="s">
        <v>37</v>
      </c>
      <c r="AE119" s="2">
        <v>43574.628101851849</v>
      </c>
      <c r="AF119" t="s">
        <v>37</v>
      </c>
    </row>
    <row r="120" spans="1:32" x14ac:dyDescent="0.25">
      <c r="A120">
        <v>79</v>
      </c>
      <c r="B120" s="32">
        <v>43574</v>
      </c>
      <c r="C120" s="31">
        <f>AC120-(7/24)</f>
        <v>43574.334861111114</v>
      </c>
      <c r="D120" t="s">
        <v>165</v>
      </c>
      <c r="E120">
        <v>1</v>
      </c>
      <c r="F120" t="s">
        <v>31</v>
      </c>
      <c r="G120" t="s">
        <v>54</v>
      </c>
      <c r="L120" t="s">
        <v>231</v>
      </c>
      <c r="AB120" t="s">
        <v>166</v>
      </c>
      <c r="AC120" s="2">
        <v>43574.626527777778</v>
      </c>
      <c r="AD120" t="s">
        <v>147</v>
      </c>
      <c r="AE120" s="2">
        <v>43574.626527777778</v>
      </c>
      <c r="AF120" t="s">
        <v>147</v>
      </c>
    </row>
  </sheetData>
  <autoFilter ref="A1:AF120" xr:uid="{00000000-0009-0000-0000-000001000000}"/>
  <sortState xmlns:xlrd2="http://schemas.microsoft.com/office/spreadsheetml/2017/richdata2" ref="A2:AF120">
    <sortCondition ref="D2:D12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"/>
  <sheetViews>
    <sheetView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N21" sqref="N21"/>
    </sheetView>
  </sheetViews>
  <sheetFormatPr defaultRowHeight="15" x14ac:dyDescent="0.25"/>
  <cols>
    <col min="1" max="1" width="25" bestFit="1" customWidth="1"/>
    <col min="2" max="2" width="23.5703125" style="7" bestFit="1" customWidth="1"/>
    <col min="3" max="3" width="26.42578125" style="7" bestFit="1" customWidth="1"/>
    <col min="4" max="4" width="8.42578125" style="7" bestFit="1" customWidth="1"/>
    <col min="5" max="5" width="23.5703125" style="7" bestFit="1" customWidth="1"/>
    <col min="6" max="6" width="9" style="7" customWidth="1"/>
    <col min="7" max="7" width="11.28515625" style="7" bestFit="1" customWidth="1"/>
    <col min="8" max="8" width="0" hidden="1" customWidth="1"/>
    <col min="9" max="9" width="12.140625" hidden="1" customWidth="1"/>
    <col min="10" max="10" width="11.28515625" hidden="1" customWidth="1"/>
    <col min="11" max="11" width="48.7109375" style="4" customWidth="1"/>
  </cols>
  <sheetData>
    <row r="1" spans="1:11" x14ac:dyDescent="0.25">
      <c r="D1" s="28" t="s">
        <v>229</v>
      </c>
    </row>
    <row r="2" spans="1:11" x14ac:dyDescent="0.25">
      <c r="D2" s="29"/>
      <c r="E2" s="27" t="s">
        <v>228</v>
      </c>
      <c r="F2" s="27"/>
      <c r="G2" s="27"/>
    </row>
    <row r="3" spans="1:11" x14ac:dyDescent="0.25">
      <c r="A3" s="3" t="s">
        <v>224</v>
      </c>
      <c r="B3" s="6" t="s">
        <v>225</v>
      </c>
      <c r="D3" s="10"/>
      <c r="E3" s="8"/>
      <c r="F3" s="8"/>
      <c r="G3" s="8"/>
    </row>
    <row r="4" spans="1:11" x14ac:dyDescent="0.25">
      <c r="B4" s="7" t="s">
        <v>31</v>
      </c>
      <c r="D4" s="10" t="s">
        <v>226</v>
      </c>
      <c r="E4" s="8" t="s">
        <v>85</v>
      </c>
      <c r="F4" s="8" t="s">
        <v>227</v>
      </c>
      <c r="G4" t="s">
        <v>223</v>
      </c>
    </row>
    <row r="5" spans="1:11" x14ac:dyDescent="0.25">
      <c r="A5" s="3" t="s">
        <v>222</v>
      </c>
      <c r="B5" s="7" t="s">
        <v>230</v>
      </c>
      <c r="C5" s="7" t="s">
        <v>231</v>
      </c>
      <c r="D5" s="10"/>
      <c r="E5" s="8" t="s">
        <v>230</v>
      </c>
      <c r="F5" s="8"/>
      <c r="G5"/>
      <c r="K5" s="18" t="s">
        <v>232</v>
      </c>
    </row>
    <row r="6" spans="1:11" x14ac:dyDescent="0.25">
      <c r="A6" s="15" t="s">
        <v>203</v>
      </c>
      <c r="B6" s="26"/>
      <c r="C6" s="5">
        <v>1</v>
      </c>
      <c r="D6" s="19">
        <v>1</v>
      </c>
      <c r="E6" s="23"/>
      <c r="F6" s="12"/>
      <c r="G6" s="5">
        <v>1</v>
      </c>
    </row>
    <row r="7" spans="1:11" x14ac:dyDescent="0.25">
      <c r="A7" s="16" t="s">
        <v>51</v>
      </c>
      <c r="B7" s="26">
        <v>12</v>
      </c>
      <c r="C7" s="5">
        <v>1</v>
      </c>
      <c r="D7" s="20">
        <v>13</v>
      </c>
      <c r="E7" s="24"/>
      <c r="F7" s="13"/>
      <c r="G7" s="5">
        <v>13</v>
      </c>
    </row>
    <row r="8" spans="1:11" x14ac:dyDescent="0.25">
      <c r="A8" s="16" t="s">
        <v>30</v>
      </c>
      <c r="B8" s="26">
        <v>3</v>
      </c>
      <c r="C8" s="5">
        <v>16</v>
      </c>
      <c r="D8" s="20">
        <v>19</v>
      </c>
      <c r="E8" s="24"/>
      <c r="F8" s="13"/>
      <c r="G8" s="5">
        <v>19</v>
      </c>
    </row>
    <row r="9" spans="1:11" x14ac:dyDescent="0.25">
      <c r="A9" s="16" t="s">
        <v>158</v>
      </c>
      <c r="B9" s="26"/>
      <c r="C9" s="5">
        <v>17</v>
      </c>
      <c r="D9" s="20">
        <v>17</v>
      </c>
      <c r="E9" s="24"/>
      <c r="F9" s="13"/>
      <c r="G9" s="5">
        <v>17</v>
      </c>
    </row>
    <row r="10" spans="1:11" x14ac:dyDescent="0.25">
      <c r="A10" s="16" t="s">
        <v>132</v>
      </c>
      <c r="B10" s="26">
        <v>1</v>
      </c>
      <c r="C10" s="5">
        <v>4</v>
      </c>
      <c r="D10" s="20">
        <v>5</v>
      </c>
      <c r="E10" s="24"/>
      <c r="F10" s="13"/>
      <c r="G10" s="5">
        <v>5</v>
      </c>
    </row>
    <row r="11" spans="1:11" x14ac:dyDescent="0.25">
      <c r="A11" s="16" t="s">
        <v>70</v>
      </c>
      <c r="B11" s="26">
        <v>4</v>
      </c>
      <c r="C11" s="5"/>
      <c r="D11" s="20">
        <v>4</v>
      </c>
      <c r="E11" s="24"/>
      <c r="F11" s="13"/>
      <c r="G11" s="5">
        <v>4</v>
      </c>
    </row>
    <row r="12" spans="1:11" x14ac:dyDescent="0.25">
      <c r="A12" s="16" t="s">
        <v>63</v>
      </c>
      <c r="B12" s="26">
        <v>2</v>
      </c>
      <c r="C12" s="5"/>
      <c r="D12" s="20">
        <v>2</v>
      </c>
      <c r="E12" s="24"/>
      <c r="F12" s="13"/>
      <c r="G12" s="5">
        <v>2</v>
      </c>
    </row>
    <row r="13" spans="1:11" x14ac:dyDescent="0.25">
      <c r="A13" s="16" t="s">
        <v>83</v>
      </c>
      <c r="B13" s="26">
        <v>2</v>
      </c>
      <c r="C13" s="5">
        <v>5</v>
      </c>
      <c r="D13" s="20">
        <v>7</v>
      </c>
      <c r="E13" s="24"/>
      <c r="F13" s="13"/>
      <c r="G13" s="5">
        <v>7</v>
      </c>
    </row>
    <row r="14" spans="1:11" x14ac:dyDescent="0.25">
      <c r="A14" s="16" t="s">
        <v>59</v>
      </c>
      <c r="B14" s="26">
        <v>1</v>
      </c>
      <c r="C14" s="5"/>
      <c r="D14" s="20">
        <v>1</v>
      </c>
      <c r="E14" s="24"/>
      <c r="F14" s="13"/>
      <c r="G14" s="5">
        <v>1</v>
      </c>
    </row>
    <row r="15" spans="1:11" x14ac:dyDescent="0.25">
      <c r="A15" s="16" t="s">
        <v>122</v>
      </c>
      <c r="B15" s="26">
        <v>3</v>
      </c>
      <c r="C15" s="5">
        <v>5</v>
      </c>
      <c r="D15" s="20">
        <v>8</v>
      </c>
      <c r="E15" s="24"/>
      <c r="F15" s="13"/>
      <c r="G15" s="5">
        <v>8</v>
      </c>
    </row>
    <row r="16" spans="1:11" x14ac:dyDescent="0.25">
      <c r="A16" s="16" t="s">
        <v>137</v>
      </c>
      <c r="B16" s="26">
        <v>4</v>
      </c>
      <c r="C16" s="5"/>
      <c r="D16" s="20">
        <v>4</v>
      </c>
      <c r="E16" s="24"/>
      <c r="F16" s="13"/>
      <c r="G16" s="5">
        <v>4</v>
      </c>
      <c r="K16" s="4" t="s">
        <v>233</v>
      </c>
    </row>
    <row r="17" spans="1:11" x14ac:dyDescent="0.25">
      <c r="A17" s="16" t="s">
        <v>47</v>
      </c>
      <c r="B17" s="26">
        <v>3</v>
      </c>
      <c r="C17" s="5"/>
      <c r="D17" s="20">
        <v>3</v>
      </c>
      <c r="E17" s="24"/>
      <c r="F17" s="13"/>
      <c r="G17" s="5">
        <v>3</v>
      </c>
    </row>
    <row r="18" spans="1:11" x14ac:dyDescent="0.25">
      <c r="A18" s="16" t="s">
        <v>75</v>
      </c>
      <c r="B18" s="26">
        <v>1</v>
      </c>
      <c r="C18" s="5">
        <v>2</v>
      </c>
      <c r="D18" s="20">
        <v>3</v>
      </c>
      <c r="E18" s="24"/>
      <c r="F18" s="13"/>
      <c r="G18" s="5">
        <v>3</v>
      </c>
    </row>
    <row r="19" spans="1:11" x14ac:dyDescent="0.25">
      <c r="A19" s="16" t="s">
        <v>217</v>
      </c>
      <c r="B19" s="26"/>
      <c r="C19" s="5">
        <v>150</v>
      </c>
      <c r="D19" s="20">
        <v>150</v>
      </c>
      <c r="E19" s="24"/>
      <c r="F19" s="13"/>
      <c r="G19" s="5">
        <v>150</v>
      </c>
      <c r="K19" s="4" t="s">
        <v>235</v>
      </c>
    </row>
    <row r="20" spans="1:11" x14ac:dyDescent="0.25">
      <c r="A20" s="16" t="s">
        <v>124</v>
      </c>
      <c r="B20" s="26">
        <v>2</v>
      </c>
      <c r="C20" s="5">
        <v>2</v>
      </c>
      <c r="D20" s="20">
        <v>4</v>
      </c>
      <c r="E20" s="24"/>
      <c r="F20" s="13"/>
      <c r="G20" s="5">
        <v>4</v>
      </c>
    </row>
    <row r="21" spans="1:11" x14ac:dyDescent="0.25">
      <c r="A21" s="16" t="s">
        <v>91</v>
      </c>
      <c r="B21" s="26">
        <v>1</v>
      </c>
      <c r="C21" s="5">
        <v>1</v>
      </c>
      <c r="D21" s="20">
        <v>2</v>
      </c>
      <c r="E21" s="24">
        <v>1</v>
      </c>
      <c r="F21" s="13">
        <v>1</v>
      </c>
      <c r="G21" s="5">
        <v>3</v>
      </c>
    </row>
    <row r="22" spans="1:11" x14ac:dyDescent="0.25">
      <c r="A22" s="16" t="s">
        <v>81</v>
      </c>
      <c r="B22" s="26">
        <v>1</v>
      </c>
      <c r="C22" s="5">
        <v>5</v>
      </c>
      <c r="D22" s="20">
        <v>6</v>
      </c>
      <c r="E22" s="24"/>
      <c r="F22" s="13"/>
      <c r="G22" s="5">
        <v>6</v>
      </c>
    </row>
    <row r="23" spans="1:11" x14ac:dyDescent="0.25">
      <c r="A23" s="16" t="s">
        <v>53</v>
      </c>
      <c r="B23" s="26">
        <v>2</v>
      </c>
      <c r="C23" s="5"/>
      <c r="D23" s="20">
        <v>2</v>
      </c>
      <c r="E23" s="24"/>
      <c r="F23" s="13"/>
      <c r="G23" s="5">
        <v>2</v>
      </c>
    </row>
    <row r="24" spans="1:11" x14ac:dyDescent="0.25">
      <c r="A24" s="16" t="s">
        <v>102</v>
      </c>
      <c r="B24" s="26">
        <v>1</v>
      </c>
      <c r="C24" s="5">
        <v>1</v>
      </c>
      <c r="D24" s="20">
        <v>2</v>
      </c>
      <c r="E24" s="24"/>
      <c r="F24" s="13"/>
      <c r="G24" s="5">
        <v>2</v>
      </c>
    </row>
    <row r="25" spans="1:11" x14ac:dyDescent="0.25">
      <c r="A25" s="16" t="s">
        <v>38</v>
      </c>
      <c r="B25" s="26">
        <v>1</v>
      </c>
      <c r="C25" s="5">
        <v>2</v>
      </c>
      <c r="D25" s="20">
        <v>3</v>
      </c>
      <c r="E25" s="24"/>
      <c r="F25" s="13"/>
      <c r="G25" s="5">
        <v>3</v>
      </c>
    </row>
    <row r="26" spans="1:11" x14ac:dyDescent="0.25">
      <c r="A26" s="16" t="s">
        <v>41</v>
      </c>
      <c r="B26" s="26">
        <v>11</v>
      </c>
      <c r="C26" s="5">
        <v>2</v>
      </c>
      <c r="D26" s="20">
        <v>13</v>
      </c>
      <c r="E26" s="24">
        <v>4</v>
      </c>
      <c r="F26" s="13">
        <v>4</v>
      </c>
      <c r="G26" s="5">
        <v>17</v>
      </c>
      <c r="K26" s="4" t="s">
        <v>234</v>
      </c>
    </row>
    <row r="27" spans="1:11" x14ac:dyDescent="0.25">
      <c r="A27" s="16" t="s">
        <v>176</v>
      </c>
      <c r="B27" s="26"/>
      <c r="C27" s="5">
        <v>2</v>
      </c>
      <c r="D27" s="20">
        <v>2</v>
      </c>
      <c r="E27" s="24"/>
      <c r="F27" s="13"/>
      <c r="G27" s="5">
        <v>2</v>
      </c>
    </row>
    <row r="28" spans="1:11" x14ac:dyDescent="0.25">
      <c r="A28" s="16" t="s">
        <v>151</v>
      </c>
      <c r="B28" s="26"/>
      <c r="C28" s="5">
        <v>1</v>
      </c>
      <c r="D28" s="20">
        <v>1</v>
      </c>
      <c r="E28" s="24"/>
      <c r="F28" s="13"/>
      <c r="G28" s="5">
        <v>1</v>
      </c>
    </row>
    <row r="29" spans="1:11" x14ac:dyDescent="0.25">
      <c r="A29" s="16" t="s">
        <v>66</v>
      </c>
      <c r="B29" s="26">
        <v>3</v>
      </c>
      <c r="C29" s="5">
        <v>15</v>
      </c>
      <c r="D29" s="20">
        <v>18</v>
      </c>
      <c r="E29" s="24"/>
      <c r="F29" s="13"/>
      <c r="G29" s="5">
        <v>18</v>
      </c>
      <c r="K29" s="4" t="s">
        <v>236</v>
      </c>
    </row>
    <row r="30" spans="1:11" x14ac:dyDescent="0.25">
      <c r="A30" s="16" t="s">
        <v>179</v>
      </c>
      <c r="B30" s="26"/>
      <c r="C30" s="5">
        <v>3</v>
      </c>
      <c r="D30" s="20">
        <v>3</v>
      </c>
      <c r="E30" s="24"/>
      <c r="F30" s="13"/>
      <c r="G30" s="5">
        <v>3</v>
      </c>
      <c r="K30" s="4" t="s">
        <v>237</v>
      </c>
    </row>
    <row r="31" spans="1:11" x14ac:dyDescent="0.25">
      <c r="A31" s="16" t="s">
        <v>110</v>
      </c>
      <c r="B31" s="26">
        <v>1</v>
      </c>
      <c r="C31" s="5"/>
      <c r="D31" s="20">
        <v>1</v>
      </c>
      <c r="E31" s="24"/>
      <c r="F31" s="13"/>
      <c r="G31" s="5">
        <v>1</v>
      </c>
    </row>
    <row r="32" spans="1:11" x14ac:dyDescent="0.25">
      <c r="A32" s="16" t="s">
        <v>201</v>
      </c>
      <c r="B32" s="26"/>
      <c r="C32" s="5">
        <v>3</v>
      </c>
      <c r="D32" s="20">
        <v>3</v>
      </c>
      <c r="E32" s="24"/>
      <c r="F32" s="13"/>
      <c r="G32" s="5">
        <v>3</v>
      </c>
    </row>
    <row r="33" spans="1:7" x14ac:dyDescent="0.25">
      <c r="A33" s="16" t="s">
        <v>49</v>
      </c>
      <c r="B33" s="26">
        <v>8</v>
      </c>
      <c r="C33" s="5">
        <v>2</v>
      </c>
      <c r="D33" s="20">
        <v>10</v>
      </c>
      <c r="E33" s="24"/>
      <c r="F33" s="13"/>
      <c r="G33" s="5">
        <v>10</v>
      </c>
    </row>
    <row r="34" spans="1:7" x14ac:dyDescent="0.25">
      <c r="A34" s="16" t="s">
        <v>189</v>
      </c>
      <c r="B34" s="26"/>
      <c r="C34" s="5">
        <v>1</v>
      </c>
      <c r="D34" s="20">
        <v>1</v>
      </c>
      <c r="E34" s="24"/>
      <c r="F34" s="13"/>
      <c r="G34" s="5">
        <v>1</v>
      </c>
    </row>
    <row r="35" spans="1:7" x14ac:dyDescent="0.25">
      <c r="A35" s="16" t="s">
        <v>43</v>
      </c>
      <c r="B35" s="26">
        <v>2</v>
      </c>
      <c r="C35" s="5"/>
      <c r="D35" s="20">
        <v>2</v>
      </c>
      <c r="E35" s="24"/>
      <c r="F35" s="13"/>
      <c r="G35" s="5">
        <v>2</v>
      </c>
    </row>
    <row r="36" spans="1:7" x14ac:dyDescent="0.25">
      <c r="A36" s="16" t="s">
        <v>197</v>
      </c>
      <c r="B36" s="26"/>
      <c r="C36" s="5">
        <v>1</v>
      </c>
      <c r="D36" s="20">
        <v>1</v>
      </c>
      <c r="E36" s="24"/>
      <c r="F36" s="13"/>
      <c r="G36" s="5">
        <v>1</v>
      </c>
    </row>
    <row r="37" spans="1:7" x14ac:dyDescent="0.25">
      <c r="A37" s="16" t="s">
        <v>199</v>
      </c>
      <c r="B37" s="26"/>
      <c r="C37" s="5">
        <v>1</v>
      </c>
      <c r="D37" s="20">
        <v>1</v>
      </c>
      <c r="E37" s="24"/>
      <c r="F37" s="13"/>
      <c r="G37" s="5">
        <v>1</v>
      </c>
    </row>
    <row r="38" spans="1:7" x14ac:dyDescent="0.25">
      <c r="A38" s="16" t="s">
        <v>206</v>
      </c>
      <c r="B38" s="26"/>
      <c r="C38" s="5">
        <v>1</v>
      </c>
      <c r="D38" s="20">
        <v>1</v>
      </c>
      <c r="E38" s="24"/>
      <c r="F38" s="13"/>
      <c r="G38" s="5">
        <v>1</v>
      </c>
    </row>
    <row r="39" spans="1:7" x14ac:dyDescent="0.25">
      <c r="A39" s="16" t="s">
        <v>194</v>
      </c>
      <c r="B39" s="26"/>
      <c r="C39" s="5">
        <v>1</v>
      </c>
      <c r="D39" s="20">
        <v>1</v>
      </c>
      <c r="E39" s="24"/>
      <c r="F39" s="13"/>
      <c r="G39" s="5">
        <v>1</v>
      </c>
    </row>
    <row r="40" spans="1:7" x14ac:dyDescent="0.25">
      <c r="A40" s="16" t="s">
        <v>88</v>
      </c>
      <c r="B40" s="26">
        <v>9</v>
      </c>
      <c r="C40" s="5">
        <v>8</v>
      </c>
      <c r="D40" s="20">
        <v>17</v>
      </c>
      <c r="E40" s="24"/>
      <c r="F40" s="13"/>
      <c r="G40" s="5">
        <v>17</v>
      </c>
    </row>
    <row r="41" spans="1:7" x14ac:dyDescent="0.25">
      <c r="A41" s="16" t="s">
        <v>142</v>
      </c>
      <c r="B41" s="26"/>
      <c r="C41" s="5">
        <v>1</v>
      </c>
      <c r="D41" s="20">
        <v>1</v>
      </c>
      <c r="E41" s="24"/>
      <c r="F41" s="13"/>
      <c r="G41" s="5">
        <v>1</v>
      </c>
    </row>
    <row r="42" spans="1:7" x14ac:dyDescent="0.25">
      <c r="A42" s="16" t="s">
        <v>162</v>
      </c>
      <c r="B42" s="26"/>
      <c r="C42" s="5">
        <v>2</v>
      </c>
      <c r="D42" s="20">
        <v>2</v>
      </c>
      <c r="E42" s="24"/>
      <c r="F42" s="13"/>
      <c r="G42" s="5">
        <v>2</v>
      </c>
    </row>
    <row r="43" spans="1:7" x14ac:dyDescent="0.25">
      <c r="A43" s="16" t="s">
        <v>73</v>
      </c>
      <c r="B43" s="26">
        <v>1</v>
      </c>
      <c r="C43" s="5">
        <v>3</v>
      </c>
      <c r="D43" s="20">
        <v>4</v>
      </c>
      <c r="E43" s="24"/>
      <c r="F43" s="13"/>
      <c r="G43" s="5">
        <v>4</v>
      </c>
    </row>
    <row r="44" spans="1:7" x14ac:dyDescent="0.25">
      <c r="A44" s="16" t="s">
        <v>56</v>
      </c>
      <c r="B44" s="26">
        <v>10</v>
      </c>
      <c r="C44" s="5">
        <v>5</v>
      </c>
      <c r="D44" s="20">
        <v>15</v>
      </c>
      <c r="E44" s="24"/>
      <c r="F44" s="13"/>
      <c r="G44" s="5">
        <v>15</v>
      </c>
    </row>
    <row r="45" spans="1:7" x14ac:dyDescent="0.25">
      <c r="A45" s="16" t="s">
        <v>96</v>
      </c>
      <c r="B45" s="26">
        <v>1</v>
      </c>
      <c r="C45" s="5"/>
      <c r="D45" s="20">
        <v>1</v>
      </c>
      <c r="E45" s="24"/>
      <c r="F45" s="13"/>
      <c r="G45" s="5">
        <v>1</v>
      </c>
    </row>
    <row r="46" spans="1:7" x14ac:dyDescent="0.25">
      <c r="A46" s="16" t="s">
        <v>61</v>
      </c>
      <c r="B46" s="26">
        <v>11</v>
      </c>
      <c r="C46" s="5"/>
      <c r="D46" s="20">
        <v>11</v>
      </c>
      <c r="E46" s="24"/>
      <c r="F46" s="13"/>
      <c r="G46" s="5">
        <v>11</v>
      </c>
    </row>
    <row r="47" spans="1:7" x14ac:dyDescent="0.25">
      <c r="A47" s="17" t="s">
        <v>165</v>
      </c>
      <c r="B47" s="26"/>
      <c r="C47" s="5">
        <v>1</v>
      </c>
      <c r="D47" s="21">
        <v>1</v>
      </c>
      <c r="E47" s="25"/>
      <c r="F47" s="14"/>
      <c r="G47" s="5">
        <v>1</v>
      </c>
    </row>
    <row r="48" spans="1:7" x14ac:dyDescent="0.25">
      <c r="A48" s="4" t="s">
        <v>223</v>
      </c>
      <c r="B48" s="5">
        <v>101</v>
      </c>
      <c r="C48" s="5">
        <v>265</v>
      </c>
      <c r="D48" s="11">
        <v>366</v>
      </c>
      <c r="E48" s="22">
        <v>5</v>
      </c>
      <c r="F48" s="9">
        <v>5</v>
      </c>
      <c r="G48" s="5">
        <v>371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NCOS_Bird_Observations_20190419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2019-04-19T11:37:18Z</dcterms:created>
  <dcterms:modified xsi:type="dcterms:W3CDTF">2021-03-23T22:20:27Z</dcterms:modified>
</cp:coreProperties>
</file>