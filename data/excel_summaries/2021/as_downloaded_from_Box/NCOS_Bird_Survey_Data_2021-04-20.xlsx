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59A699C4-A80D-4227-B518-AF830AB3072A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COS_Bird_Survey_Data_20210420" sheetId="1" r:id="rId1"/>
    <sheet name="PivotTable" sheetId="3" r:id="rId2"/>
    <sheet name="FinalTotal" sheetId="4" r:id="rId3"/>
  </sheets>
  <definedNames>
    <definedName name="_xlnm._FilterDatabase" localSheetId="0" hidden="1">NCOS_Bird_Survey_Data_20210420!$A$1:$AF$174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4" i="1" l="1"/>
  <c r="C33" i="1"/>
  <c r="C81" i="1"/>
  <c r="C52" i="1"/>
  <c r="C21" i="1"/>
  <c r="C124" i="1"/>
  <c r="C17" i="1"/>
  <c r="C67" i="1"/>
  <c r="C123" i="1"/>
  <c r="C23" i="1"/>
  <c r="C166" i="1"/>
  <c r="C167" i="1"/>
  <c r="C129" i="1"/>
  <c r="C76" i="1"/>
  <c r="C82" i="1"/>
  <c r="C53" i="1"/>
  <c r="C68" i="1"/>
  <c r="C64" i="1"/>
  <c r="C104" i="1"/>
  <c r="C73" i="1"/>
  <c r="C158" i="1"/>
  <c r="C49" i="1"/>
  <c r="C83" i="1"/>
  <c r="C144" i="1"/>
  <c r="C9" i="1"/>
  <c r="C125" i="1"/>
  <c r="C55" i="1"/>
  <c r="C35" i="1"/>
  <c r="C122" i="1"/>
  <c r="C145" i="1"/>
  <c r="C85" i="1"/>
  <c r="C40" i="1"/>
  <c r="C105" i="1"/>
  <c r="C24" i="1"/>
  <c r="C38" i="1"/>
  <c r="C41" i="1"/>
  <c r="C159" i="1"/>
  <c r="C121" i="1"/>
  <c r="C146" i="1"/>
  <c r="C2" i="1"/>
  <c r="C31" i="1"/>
  <c r="C147" i="1"/>
  <c r="C32" i="1"/>
  <c r="C79" i="1"/>
  <c r="C170" i="1"/>
  <c r="C87" i="1"/>
  <c r="C77" i="1"/>
  <c r="C11" i="1"/>
  <c r="C50" i="1"/>
  <c r="C162" i="1"/>
  <c r="C12" i="1"/>
  <c r="C160" i="1"/>
  <c r="C149" i="1"/>
  <c r="C106" i="1"/>
  <c r="C74" i="1"/>
  <c r="C88" i="1"/>
  <c r="C107" i="1"/>
  <c r="C43" i="1"/>
  <c r="C26" i="1"/>
  <c r="C108" i="1"/>
  <c r="C89" i="1"/>
  <c r="C75" i="1"/>
  <c r="C142" i="1"/>
  <c r="C3" i="1"/>
  <c r="C18" i="1"/>
  <c r="C113" i="1"/>
  <c r="C70" i="1"/>
  <c r="C91" i="1"/>
  <c r="C92" i="1"/>
  <c r="C34" i="1"/>
  <c r="C44" i="1"/>
  <c r="C154" i="1"/>
  <c r="C13" i="1"/>
  <c r="C151" i="1"/>
  <c r="C130" i="1"/>
  <c r="C139" i="1"/>
  <c r="C173" i="1"/>
  <c r="C98" i="1"/>
  <c r="C65" i="1"/>
  <c r="C48" i="1"/>
  <c r="C137" i="1"/>
  <c r="C116" i="1"/>
  <c r="C99" i="1"/>
  <c r="C37" i="1"/>
  <c r="C72" i="1"/>
  <c r="C46" i="1"/>
  <c r="C140" i="1"/>
  <c r="C165" i="1"/>
  <c r="C20" i="1"/>
  <c r="C8" i="1"/>
  <c r="C80" i="1"/>
  <c r="C63" i="1"/>
  <c r="C51" i="1"/>
  <c r="C22" i="1"/>
  <c r="C143" i="1"/>
  <c r="C168" i="1"/>
  <c r="C84" i="1"/>
  <c r="C171" i="1"/>
  <c r="C119" i="1"/>
  <c r="C127" i="1"/>
  <c r="C156" i="1"/>
  <c r="C10" i="1"/>
  <c r="C103" i="1"/>
  <c r="C112" i="1"/>
  <c r="C132" i="1"/>
  <c r="C15" i="1"/>
  <c r="C100" i="1"/>
  <c r="C148" i="1"/>
  <c r="C25" i="1"/>
  <c r="C86" i="1"/>
  <c r="C42" i="1"/>
  <c r="C157" i="1"/>
  <c r="C134" i="1"/>
  <c r="C133" i="1"/>
  <c r="C135" i="1"/>
  <c r="C169" i="1"/>
  <c r="C172" i="1"/>
  <c r="C69" i="1"/>
  <c r="C19" i="1"/>
  <c r="C27" i="1"/>
  <c r="C16" i="1"/>
  <c r="C78" i="1"/>
  <c r="C101" i="1"/>
  <c r="C90" i="1"/>
  <c r="C138" i="1"/>
  <c r="C96" i="1"/>
  <c r="C56" i="1"/>
  <c r="C150" i="1"/>
  <c r="C97" i="1"/>
  <c r="C28" i="1"/>
  <c r="C141" i="1"/>
  <c r="C174" i="1"/>
  <c r="C118" i="1"/>
  <c r="C39" i="1"/>
  <c r="C54" i="1"/>
  <c r="C57" i="1"/>
  <c r="C71" i="1"/>
  <c r="C126" i="1"/>
  <c r="C152" i="1"/>
  <c r="C128" i="1"/>
  <c r="C5" i="1"/>
  <c r="C47" i="1"/>
  <c r="C114" i="1"/>
  <c r="C102" i="1"/>
  <c r="C66" i="1"/>
  <c r="C93" i="1"/>
  <c r="C61" i="1"/>
  <c r="C58" i="1"/>
  <c r="C59" i="1"/>
  <c r="C29" i="1"/>
  <c r="C153" i="1"/>
  <c r="C14" i="1"/>
  <c r="C163" i="1"/>
  <c r="C120" i="1"/>
  <c r="C155" i="1"/>
  <c r="C6" i="1"/>
  <c r="C115" i="1"/>
  <c r="C136" i="1"/>
  <c r="C161" i="1"/>
  <c r="C109" i="1"/>
  <c r="C110" i="1"/>
  <c r="C94" i="1"/>
  <c r="C60" i="1"/>
  <c r="C36" i="1"/>
  <c r="C7" i="1"/>
  <c r="C62" i="1"/>
  <c r="C117" i="1"/>
  <c r="C111" i="1"/>
  <c r="C4" i="1"/>
  <c r="C30" i="1"/>
</calcChain>
</file>

<file path=xl/sharedStrings.xml><?xml version="1.0" encoding="utf-8"?>
<sst xmlns="http://schemas.openxmlformats.org/spreadsheetml/2006/main" count="1388" uniqueCount="308">
  <si>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</si>
  <si>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</si>
  <si>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</si>
  <si>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</si>
  <si>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</si>
  <si>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</si>
  <si>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</si>
  <si>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</si>
  <si>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</si>
  <si>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</si>
  <si>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</si>
  <si>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</si>
  <si>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</si>
  <si>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</si>
  <si>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</si>
  <si>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</si>
  <si>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</si>
  <si>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</si>
  <si>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</si>
  <si>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</si>
  <si>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</si>
  <si>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</si>
  <si>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</si>
  <si>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</si>
  <si>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</si>
  <si>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</si>
  <si>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</si>
  <si>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</si>
  <si>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</si>
  <si>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</si>
  <si>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Black-crowned Night-Heron</t>
  </si>
  <si>
    <t>No</t>
  </si>
  <si>
    <t>{0bbdb817-0969-430a-aa0d-2c811e975a0c}</t>
  </si>
  <si>
    <t>ccber_user</t>
  </si>
  <si>
    <t>Western Sandpiper</t>
  </si>
  <si>
    <t>Mud</t>
  </si>
  <si>
    <t>{24ca5a68-e30a-4230-bc4a-d437e3ac9001}</t>
  </si>
  <si>
    <t>Black-necked Stilt</t>
  </si>
  <si>
    <t>{a6b643b5-ce36-471b-8479-883c3761692a}</t>
  </si>
  <si>
    <t>House Finch</t>
  </si>
  <si>
    <t>Vegetation - Shrub</t>
  </si>
  <si>
    <t>{78afaa1f-188c-46b9-9d56-507550e9ecc7}</t>
  </si>
  <si>
    <t>Cliff Swallow</t>
  </si>
  <si>
    <t>Air</t>
  </si>
  <si>
    <t>{b35cf068-b094-455e-be8f-842f025efde2}</t>
  </si>
  <si>
    <t>Anna's Hummingbird</t>
  </si>
  <si>
    <t>{fda96246-bca5-4b8d-b55d-77e18a07541c}</t>
  </si>
  <si>
    <t>Red-shouldered Hawk</t>
  </si>
  <si>
    <t>Vegetation - Tree</t>
  </si>
  <si>
    <t>{324a8f06-30e8-4692-be11-4e62e46bec7c}</t>
  </si>
  <si>
    <t>American Wigeon</t>
  </si>
  <si>
    <t>Water - Floating</t>
  </si>
  <si>
    <t>{e4c3058a-7fb4-41e7-9a91-b81bb3ca1366}</t>
  </si>
  <si>
    <t>Gadwall</t>
  </si>
  <si>
    <t>{200a7dc5-a7e2-471b-831b-e1805bb65b1c}</t>
  </si>
  <si>
    <t>Redhead</t>
  </si>
  <si>
    <t>{50dc542c-ea20-4eab-8f75-dfcea09e5f2b}</t>
  </si>
  <si>
    <t>{c32b938c-9ca8-4611-bc78-f876b9312a93}</t>
  </si>
  <si>
    <t>{dd74f792-d121-4486-b44a-ec9418b9018b}</t>
  </si>
  <si>
    <t>{1a760343-868e-45fd-afdb-96bf7217504c}</t>
  </si>
  <si>
    <t>Ring-billed Gull</t>
  </si>
  <si>
    <t>{adaac9b4-c7dc-45fd-bfb2-1adc3282fdbb}</t>
  </si>
  <si>
    <t>Greater Yellowlegs</t>
  </si>
  <si>
    <t>{ae1daa0a-347a-4968-8a27-a4e2bd0a5efa}</t>
  </si>
  <si>
    <t>{762f889e-24c9-4647-823b-2a6149aff514}</t>
  </si>
  <si>
    <t>{8980e02e-37a4-4b9c-b4c0-d28fc9eeb34a}</t>
  </si>
  <si>
    <t>{4346d81c-5470-48e2-ba65-50c2ef802997}</t>
  </si>
  <si>
    <t>Double-crested Cormorant</t>
  </si>
  <si>
    <t>{05fb8d65-1a1b-4e93-b653-8275b283eb7e}</t>
  </si>
  <si>
    <t>Lesser Goldfinch</t>
  </si>
  <si>
    <t>Vegetation - Herbaceous</t>
  </si>
  <si>
    <t>{4286d818-1d83-473b-83cd-15687e50f5ad}</t>
  </si>
  <si>
    <t>Great Egret</t>
  </si>
  <si>
    <t>{7484c369-dfea-4667-946e-0d10c2ce5a59}</t>
  </si>
  <si>
    <t>Western Bluebird</t>
  </si>
  <si>
    <t>Fence</t>
  </si>
  <si>
    <t>{a8e043cf-ded6-4f62-a2f7-00688b0c1d78}</t>
  </si>
  <si>
    <t>Cassin's Kingbird</t>
  </si>
  <si>
    <t>{25239cf0-fc63-4cf6-b059-60e6c1776bed}</t>
  </si>
  <si>
    <t>{e050ecb5-9c15-4400-9adb-c84f4eccb43f}</t>
  </si>
  <si>
    <t>Song Sparrow</t>
  </si>
  <si>
    <t>{d548f3bd-cadb-493b-8326-c5099d4bf1c0}</t>
  </si>
  <si>
    <t>American Crow</t>
  </si>
  <si>
    <t>{bce45efc-a561-43ac-b8fc-72f5d3cf8acd}</t>
  </si>
  <si>
    <t>Red-tailed Hawk</t>
  </si>
  <si>
    <t>{671237d1-ada0-4f2d-98cf-1497d57a0e87}</t>
  </si>
  <si>
    <t>Common Yellowthroat</t>
  </si>
  <si>
    <t>{c5aa2bac-c841-49a6-9ef7-18676e783f76}</t>
  </si>
  <si>
    <t>Blue-gray Gnatcatcher</t>
  </si>
  <si>
    <t>{c50d1737-15fa-493a-8373-80cde819367d}</t>
  </si>
  <si>
    <t>Orange-crowned Warbler</t>
  </si>
  <si>
    <t>{12791031-abd1-4123-8497-968bacf80dd2}</t>
  </si>
  <si>
    <t>{144dc6e5-6b4e-4e28-b615-044019801baf}</t>
  </si>
  <si>
    <t>Feeding/Begging</t>
  </si>
  <si>
    <t>{5dd5cd46-4cc4-4d81-b143-ca678428bb59}</t>
  </si>
  <si>
    <t>California Towhee</t>
  </si>
  <si>
    <t>{b77f0caf-3d9a-4148-853e-65c586513427}</t>
  </si>
  <si>
    <t>{04f03cae-0210-4338-836e-3731763e08f9}</t>
  </si>
  <si>
    <t>{b93319e4-5df0-4d79-81fe-c425d63ab3a3}</t>
  </si>
  <si>
    <t>Bushtit</t>
  </si>
  <si>
    <t>{77d62b32-19ae-4389-9694-5a0f4187ac82}</t>
  </si>
  <si>
    <t>{2d6678a5-d56d-4dc2-a5be-83bfa64463e4}</t>
  </si>
  <si>
    <t>{242bcead-6898-4744-a84e-19bee6a9397e}</t>
  </si>
  <si>
    <t>Oak Titmouse</t>
  </si>
  <si>
    <t>{938d13e8-ad2e-4cd1-8553-64408fc6d5ba}</t>
  </si>
  <si>
    <t>{876c05b0-d090-4bf6-8480-34fdbe190a7f}</t>
  </si>
  <si>
    <t>Allen's Hummingbird</t>
  </si>
  <si>
    <t>{0bc5831a-84a6-4d35-a42f-55b287ebdf97}</t>
  </si>
  <si>
    <t>{bfe29886-08c8-4788-80ec-61720952b730}</t>
  </si>
  <si>
    <t>{f2a804c7-2674-40df-a67d-915738635324}</t>
  </si>
  <si>
    <t>{ad44bf12-dc0d-4e8d-9b38-8c08bafd241b}</t>
  </si>
  <si>
    <t>Hooded Oriole</t>
  </si>
  <si>
    <t>{1f232291-d957-40a9-9c03-311a511edd6e}</t>
  </si>
  <si>
    <t>White-crowned Sparrow</t>
  </si>
  <si>
    <t>{f4f77832-79b0-45e4-9c05-81d4511653e6}</t>
  </si>
  <si>
    <t>{3667994e-4a8d-4db6-8666-6079901dbb82}</t>
  </si>
  <si>
    <t>{e8b59864-1bf1-4274-8029-524ad72708d2}</t>
  </si>
  <si>
    <t>{691069d9-3cab-4470-af6a-7f0c94674ac5}</t>
  </si>
  <si>
    <t>Cedar Waxwing</t>
  </si>
  <si>
    <t>Flyover</t>
  </si>
  <si>
    <t>{4b4aa73b-735c-4842-9cc2-1b0e965c2316}</t>
  </si>
  <si>
    <t>Western Gull</t>
  </si>
  <si>
    <t>{ea2bde71-409d-4fa0-9a5e-f199d050faaf}</t>
  </si>
  <si>
    <t>{0f81a8cd-08fb-49e3-b44d-9a58519b6096}</t>
  </si>
  <si>
    <t>{9fce3534-f108-459b-8928-bb7eb9173ed2}</t>
  </si>
  <si>
    <t>{e53c26cc-c9ab-4d62-a4ca-d21d7fc5a094}</t>
  </si>
  <si>
    <t>{a8af9a94-59c0-49fc-98a4-e23c867a33fc}</t>
  </si>
  <si>
    <t>{76143e7a-bb65-455c-b37b-39bcacfbe706}</t>
  </si>
  <si>
    <t>{64527072-da74-49f1-a325-956246f8d4d5}</t>
  </si>
  <si>
    <t>{5fe0573c-48b4-40e5-9e50-7b37004d39f1}</t>
  </si>
  <si>
    <t>{bdbd5895-32d5-4061-bde9-713229cc8e57}</t>
  </si>
  <si>
    <t>{072d5c07-6ff8-427e-9c97-1b330d04805c}</t>
  </si>
  <si>
    <t>{125fae75-c73a-4e95-bcc8-861661ab409c}</t>
  </si>
  <si>
    <t>{77cc53aa-4086-4226-9dfc-a49893f1c69b}</t>
  </si>
  <si>
    <t>Water - Wading</t>
  </si>
  <si>
    <t>{132ed66e-3d78-42d2-af6a-464b025da24f}</t>
  </si>
  <si>
    <t>Snowy Egret</t>
  </si>
  <si>
    <t>{b81673e6-9c0f-485e-81f4-07f9de8d34c9}</t>
  </si>
  <si>
    <t>{f44be4e9-3f23-41b4-be5c-c910cac74572}</t>
  </si>
  <si>
    <t>{f175a683-58f6-4d62-a188-a0d7581b9d02}</t>
  </si>
  <si>
    <t>Mallard</t>
  </si>
  <si>
    <t>{b92c721a-257e-481c-99c3-e55fac078104}</t>
  </si>
  <si>
    <t>{671bbea3-8492-4185-9132-b4f7f472c957}</t>
  </si>
  <si>
    <t>{d4e7e0b8-7b99-4f2b-89c0-a4d10d6309ca}</t>
  </si>
  <si>
    <t>{f3050471-d259-45aa-9b83-28e2dffa9bb7}</t>
  </si>
  <si>
    <t>{0b9f40d4-2e7b-4d29-bf6f-1e5896762bb4}</t>
  </si>
  <si>
    <t>{e4722736-e458-4fdc-b3d7-61321aecc4ce}</t>
  </si>
  <si>
    <t>Sora</t>
  </si>
  <si>
    <t>{3806c2e0-9b7b-4583-8dce-9b7ebd553b94}</t>
  </si>
  <si>
    <t>{dc0bc4cb-4751-48d8-8843-608e5d870aaf}</t>
  </si>
  <si>
    <t>{4ab90fb6-d762-4a60-9002-513a6a836060}</t>
  </si>
  <si>
    <t>Rock Pigeon (Feral Pigeon)</t>
  </si>
  <si>
    <t>{58715a04-5e0e-4b9f-9690-57cfc8d02e83}</t>
  </si>
  <si>
    <t>Scaly-breasted Munia</t>
  </si>
  <si>
    <t>{832941da-4596-4b27-bdff-3fab4f4d90fc}</t>
  </si>
  <si>
    <t>Wilson's Warbler</t>
  </si>
  <si>
    <t>{d46b301a-cef7-44cc-a087-b3b8daa09655}</t>
  </si>
  <si>
    <t>House Sparrow</t>
  </si>
  <si>
    <t>{e840e7de-edaf-463f-b5e8-12f5ca4058da}</t>
  </si>
  <si>
    <t>Eurasian wigeon</t>
  </si>
  <si>
    <t>{28bceaa1-e5f1-4670-9cc4-650e5d3bc6c7}</t>
  </si>
  <si>
    <t>Canada Goose</t>
  </si>
  <si>
    <t>Other</t>
  </si>
  <si>
    <t>4 gosslings</t>
  </si>
  <si>
    <t>{29115645-e452-478d-aaf2-d0495ffa580d}</t>
  </si>
  <si>
    <t>Say's Phoebe</t>
  </si>
  <si>
    <t>{7e4245e5-d1a2-4f00-8ee5-fd19a5251cdb}</t>
  </si>
  <si>
    <t>{6dbcca00-e3e3-4900-88ad-5b67424f0ab3}</t>
  </si>
  <si>
    <t>House Wren</t>
  </si>
  <si>
    <t>{b4d2490d-734e-423d-bd2f-700dcfd10c3b}</t>
  </si>
  <si>
    <t>Brant</t>
  </si>
  <si>
    <t>Yes</t>
  </si>
  <si>
    <t>{483fc57e-0f5c-422c-87ce-b7cc3e1943a3}</t>
  </si>
  <si>
    <t>712</t>
  </si>
  <si>
    <t>{5ccf09cd-e32b-4920-b989-2fcbb34be77b}</t>
  </si>
  <si>
    <t>Bare ground</t>
  </si>
  <si>
    <t>sitting</t>
  </si>
  <si>
    <t>{80f3753f-5355-42a7-8939-048f8e2c8fca}</t>
  </si>
  <si>
    <t>Semipalmated Plover</t>
  </si>
  <si>
    <t>{8975b5da-3fd8-42dc-96f5-69b51a29fc55}</t>
  </si>
  <si>
    <t>{6eebd669-33c8-4594-a6db-5ae0f464cfda}</t>
  </si>
  <si>
    <t>{b127eb11-dbec-493b-9472-b79719395364}</t>
  </si>
  <si>
    <t>{874c8abf-b81e-4c34-8432-918436f3c70b}</t>
  </si>
  <si>
    <t>{ca4c4c2b-7577-4c12-ba57-a9e231775584}</t>
  </si>
  <si>
    <t>{3f3fdff8-c4a4-49ab-8e41-52b5e3fef22d}</t>
  </si>
  <si>
    <t>{b5cb0415-35d2-4a05-b564-15b3d4f5fa35}</t>
  </si>
  <si>
    <t>M</t>
  </si>
  <si>
    <t>{faaea1fa-29b3-4179-8389-b186579b3c53}</t>
  </si>
  <si>
    <t>{4c4a5965-cb72-425c-bfde-8ad4abbb6550}</t>
  </si>
  <si>
    <t>{659fa486-d40e-4429-bbb5-acd1c5bef5f4}</t>
  </si>
  <si>
    <t>{c101355d-6b78-404b-8f0d-9d9298bb96d8}</t>
  </si>
  <si>
    <t>White-tailed Kite</t>
  </si>
  <si>
    <t>carrying food to other kite and hand off</t>
  </si>
  <si>
    <t>{f5464829-60d9-4508-b809-26c516e9fdcc}</t>
  </si>
  <si>
    <t>Mourning Dove</t>
  </si>
  <si>
    <t>{e7062bc8-11d2-4d4d-a4b9-c0741c240ace}</t>
  </si>
  <si>
    <t>Red-winged Blackbird</t>
  </si>
  <si>
    <t>{a1822e73-c37c-4e47-8804-db07ac1c4c53}</t>
  </si>
  <si>
    <t>Turkey Vulture</t>
  </si>
  <si>
    <t>{dfab1c71-b118-4008-88d8-e8e6746df640}</t>
  </si>
  <si>
    <t>Habitat Feature - Snag</t>
  </si>
  <si>
    <t>{0c62660d-3e36-4f64-ad63-3182c96ddfb8}</t>
  </si>
  <si>
    <t>Least Sandpiper</t>
  </si>
  <si>
    <t>{4a16b87e-8acf-424d-8047-4bbec8bfc04e}</t>
  </si>
  <si>
    <t>Lesser Yellowlegs</t>
  </si>
  <si>
    <t>{f42fb982-9475-4c62-9401-86dfa6e87260}</t>
  </si>
  <si>
    <t>Savannah Sparrow</t>
  </si>
  <si>
    <t>{e316cfc5-106e-4d2a-87fc-8da000532e45}</t>
  </si>
  <si>
    <t>American Pipit</t>
  </si>
  <si>
    <t>{24752138-36e3-4356-a774-cddc9fca6968}</t>
  </si>
  <si>
    <t>Killdeer</t>
  </si>
  <si>
    <t>{83a8282f-c232-4530-83b4-2efd7d783741}</t>
  </si>
  <si>
    <t>{b454440f-6d27-43e5-85fa-591aae668d21}</t>
  </si>
  <si>
    <t>{8685d084-3c95-402c-a3cd-bae91bdc3ed5}</t>
  </si>
  <si>
    <t>{c7815385-3317-4cc3-8111-070e4b97f9ff}</t>
  </si>
  <si>
    <t>brood patch</t>
  </si>
  <si>
    <t>{76684406-05fe-4e36-a2a2-b98b7f925887}</t>
  </si>
  <si>
    <t>{9a54dfd6-f6a7-48ed-a308-bbca8e1c9adc}</t>
  </si>
  <si>
    <t>Savannah Sparrow (Belding's)</t>
  </si>
  <si>
    <t>F</t>
  </si>
  <si>
    <t>sitting on nest</t>
  </si>
  <si>
    <t>{0e6a10e6-be0b-4ba4-b32a-c6596bcf4102}</t>
  </si>
  <si>
    <t>{b2fbebc9-4245-4193-a18f-848be292d524}</t>
  </si>
  <si>
    <t>{c8e2c7be-f283-450b-a7a4-a743ee410dcf}</t>
  </si>
  <si>
    <t>{bb32b7c0-22f5-416f-a517-be9b0d87e9c9}</t>
  </si>
  <si>
    <t>carrying food</t>
  </si>
  <si>
    <t>{3acbb132-1b0b-4a61-92a9-01323802bc25}</t>
  </si>
  <si>
    <t>{f191fc9a-1004-404c-811f-ae053cfd24f4}</t>
  </si>
  <si>
    <t>{3a83418b-0bef-45ec-b351-335526d984b6}</t>
  </si>
  <si>
    <t>{b6404a7e-17b1-49e7-bbf0-bc5cf745bf85}</t>
  </si>
  <si>
    <t>{af451314-337a-4bb5-a2a4-7469dca4303d}</t>
  </si>
  <si>
    <t>Great-tailed Grackle</t>
  </si>
  <si>
    <t>{9c69ad42-0ba8-44aa-9b2f-98e3e6c7068b}</t>
  </si>
  <si>
    <t>{92de4d99-9185-4799-8c14-5a49de1a5544}</t>
  </si>
  <si>
    <t>{ad5d4ae4-a4a2-4d27-8c1d-d7195402465f}</t>
  </si>
  <si>
    <t>{7f161dd7-37ea-429a-896e-80fefd3ebc56}</t>
  </si>
  <si>
    <t>{0aa4bd2b-3403-4234-8228-e22cfd200ee6}</t>
  </si>
  <si>
    <t>{355a28e8-79b2-4e99-986a-e7227b931f90}</t>
  </si>
  <si>
    <t>{a8dfdf7e-0b3b-4b1e-b8ad-75648512897d}</t>
  </si>
  <si>
    <t>{24089473-999a-41b2-bac7-b2453de3327e}</t>
  </si>
  <si>
    <t>{9ecc00a1-ed7d-4015-bb2d-dff90406051c}</t>
  </si>
  <si>
    <t>{75fba4c2-6488-4885-b102-19091fc902c9}</t>
  </si>
  <si>
    <t>Yellow-headed Blackbird</t>
  </si>
  <si>
    <t>{39aa599d-8aae-425c-968d-4ab6399f9929}</t>
  </si>
  <si>
    <t>Marsh Wren</t>
  </si>
  <si>
    <t>{d636640a-a2c4-4da3-aefd-12848fd8759b}</t>
  </si>
  <si>
    <t>{64c6288c-992c-42eb-950c-75dd5432f8fd}</t>
  </si>
  <si>
    <t>Carrying Nest Material</t>
  </si>
  <si>
    <t>mud gathering</t>
  </si>
  <si>
    <t>{25239264-eccf-4f22-bd2b-517464b0a2d0}</t>
  </si>
  <si>
    <t>{125647b4-d59f-4bd4-8450-0e593ffa01b1}</t>
  </si>
  <si>
    <t>{bd799cc3-185b-4e41-9093-d2435d522fe1}</t>
  </si>
  <si>
    <t>{689538c7-9229-4469-9f6e-61b03277b0ff}</t>
  </si>
  <si>
    <t>{ea3ea302-6946-418f-b1ab-9699476822a7}</t>
  </si>
  <si>
    <t>{6ee809ed-b801-43ae-9920-773b12c3f1a8}</t>
  </si>
  <si>
    <t>American Coot</t>
  </si>
  <si>
    <t>{ada7c7a8-5526-41a5-bc5f-524c257547c4}</t>
  </si>
  <si>
    <t>{1e32b33a-56fc-4be3-aa55-a6821ffd32f7}</t>
  </si>
  <si>
    <t>{05b57e78-820c-4fe0-890a-84809fb8a4e7}</t>
  </si>
  <si>
    <t>{056bc4ab-8ff4-440d-a49a-9959350a6d18}</t>
  </si>
  <si>
    <t>European Starling</t>
  </si>
  <si>
    <t>{0939fc36-450e-4335-b7cf-8d357033e9e1}</t>
  </si>
  <si>
    <t>{9a85c47c-4704-4f2b-9d6f-5a653ec633bb}</t>
  </si>
  <si>
    <t>Cooper's Hawk</t>
  </si>
  <si>
    <t>{cfd35a1e-e036-4db1-b07f-d04c6dd46a84}</t>
  </si>
  <si>
    <t>{cc19a9da-7815-4cac-a624-db4dec86d69e}</t>
  </si>
  <si>
    <t>{ceb76296-065e-419d-b04a-e3d9afd097ed}</t>
  </si>
  <si>
    <t>{328fc6e6-bfff-41be-99c4-d5c110709473}</t>
  </si>
  <si>
    <t>{83f08c56-ab28-4f17-b47a-8ec3ff37ca84}</t>
  </si>
  <si>
    <t>{f3e8ab24-f7fb-49db-8d19-2eada80c8ecf}</t>
  </si>
  <si>
    <t>Western Kingbird</t>
  </si>
  <si>
    <t>{b4adb14c-0aed-444c-90ca-75f2f158ddcf}</t>
  </si>
  <si>
    <t>{6e4770e2-d4e2-4d8f-b4ae-a3202a087803}</t>
  </si>
  <si>
    <t>{f396a4cf-1db5-4657-9ced-7929e793085b}</t>
  </si>
  <si>
    <t>{a0d8d5cf-836f-42d6-b396-72ce9c9e5d54}</t>
  </si>
  <si>
    <t>{75f69b63-8a14-4b48-8da9-4952a5a3f0d2}</t>
  </si>
  <si>
    <t>{5d2e51ab-5c6a-497b-8493-b854dec878a9}</t>
  </si>
  <si>
    <t>{a2bd0341-6ad9-408e-98db-e386ab4ff4d2}</t>
  </si>
  <si>
    <t>{8a676909-7234-4b83-a872-188e3f925703}</t>
  </si>
  <si>
    <t>{a397bb13-09f5-4f55-95ab-47ce67708ac0}</t>
  </si>
  <si>
    <t>{694d0b79-55c8-41a3-9a1b-230d073b1ee2}</t>
  </si>
  <si>
    <t>Uncertain</t>
  </si>
  <si>
    <t>{52dc01d2-98ed-4a4d-955d-69a59285f2b6}</t>
  </si>
  <si>
    <t>{67168053-ca0c-4aa5-ae1c-6138a160dd80}</t>
  </si>
  <si>
    <t>{67a8d028-1bf0-4a6f-a1fa-ec562dbb8816}</t>
  </si>
  <si>
    <t>{cc2af69e-8436-4edf-8a90-9e36c8d011e2}</t>
  </si>
  <si>
    <t>{6f477d04-ea87-4d68-9ded-3a2393d76cfa}</t>
  </si>
  <si>
    <t>{76f5b189-a93b-4248-aa0f-b6ac07fab0a7}</t>
  </si>
  <si>
    <t>{5e322741-89d4-4ef1-b16a-c618c97cc9c0}</t>
  </si>
  <si>
    <t>Eurasian Wigeon</t>
  </si>
  <si>
    <t>WEST/SOUTH: Lisa, Mark, Beau</t>
  </si>
  <si>
    <t>EAST/NORTH: Darwin, Steven, Conor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</si>
  <si>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</si>
  <si>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</si>
  <si>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</si>
  <si>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</si>
  <si>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</si>
  <si>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</si>
  <si>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</si>
  <si>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</si>
  <si>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</si>
  <si>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COUNT</t>
  </si>
  <si>
    <t>Count revised from 1 to 2 following survey review by Mark H.</t>
  </si>
  <si>
    <t>Count revised from 5 to 7 after survey review by Mark H.</t>
  </si>
  <si>
    <t>Observation added following survey review by Mark H. No spatial data available, though Mark says the pair were seen along Venoco Rd.</t>
  </si>
  <si>
    <t>Observation added following survey review by Mark H. No spatial data available.</t>
  </si>
  <si>
    <t>Observation added following survey review by Mark H. Spatial data not available.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</si>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</sst>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5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2" fillId="4" borderId="6" xfId="0" applyNumberFormat="1" applyFon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2" fillId="3" borderId="7" xfId="0" applyNumberFormat="1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2" fillId="4" borderId="9" xfId="0" applyNumberFormat="1" applyFon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2" fillId="0" borderId="11" xfId="0" applyFont="1" applyBorder="1"/>
    <xf numFmtId="0" fontId="2" fillId="0" borderId="11" xfId="0" applyFont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21"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307.385622222224" createdVersion="7" refreshedVersion="7" minRefreshableVersion="3" recordCount="173" xr:uid="{2F33F5C3-FDF0-4FD0-8A51-D758DF2ACD4F}">
  <cacheSource type="worksheet">
    <worksheetSource ref="A1:AF174" sheet="NCOS_Bird_Survey_Data_20210420"/>
  </cacheSource>
  <cacheFields count="32">
    <cacheField name="OBJECTID" numFmtId="0">
      <sharedItems containsString="0" containsBlank="1" containsNumber="1" containsInteger="1" minValue="1" maxValue="170"/>
    </cacheField>
    <cacheField name="Date" numFmtId="14">
      <sharedItems containsSemiMixedTypes="0" containsNonDate="0" containsDate="1" containsString="0" minDate="2021-04-20T00:00:00" maxDate="2021-04-21T00:00:00"/>
    </cacheField>
    <cacheField name="Time" numFmtId="0">
      <sharedItems containsNonDate="0" containsDate="1" containsString="0" containsBlank="1" minDate="2021-04-20T07:10:50" maxDate="2021-04-20T09:57:50"/>
    </cacheField>
    <cacheField name="Species" numFmtId="0">
      <sharedItems count="61">
        <s v="Allen's Hummingbird"/>
        <s v="American Coot"/>
        <s v="American Crow"/>
        <s v="American Pipit"/>
        <s v="American Wigeon"/>
        <s v="Anna's Hummingbird"/>
        <s v="Black-crowned Night-Heron"/>
        <s v="Black-necked Stilt"/>
        <s v="Blue-gray Gnatcatcher"/>
        <s v="Brant"/>
        <s v="Bushtit"/>
        <s v="California Towhee"/>
        <s v="Canada Goose"/>
        <s v="Cassin's Kingbird"/>
        <s v="Cedar Waxwing"/>
        <s v="Cliff Swallow"/>
        <s v="Common Yellowthroat"/>
        <s v="Cooper's Hawk"/>
        <s v="Double-crested Cormorant"/>
        <s v="Eurasian Wigeon"/>
        <s v="European Starling"/>
        <s v="Gadwall"/>
        <s v="Great Egret"/>
        <s v="Greater Yellowlegs"/>
        <s v="Great-tailed Grackle"/>
        <s v="Hooded Oriole"/>
        <s v="House Finch"/>
        <s v="House Sparrow"/>
        <s v="House Wren"/>
        <s v="Killdeer"/>
        <s v="Least Sandpiper"/>
        <s v="Lesser Goldfinch"/>
        <s v="Lesser Yellowlegs"/>
        <s v="Mallard"/>
        <s v="Marsh Wren"/>
        <s v="Mourning Dove"/>
        <s v="Oak Titmouse"/>
        <s v="Orange-crowned Warbler"/>
        <s v="Redhead"/>
        <s v="Red-shouldered Hawk"/>
        <s v="Red-tailed Hawk"/>
        <s v="Red-winged Blackbird"/>
        <s v="Ring-billed Gull"/>
        <s v="Rock Pigeon (Feral Pigeon)"/>
        <s v="Savannah Sparrow"/>
        <s v="Savannah Sparrow (Belding's)"/>
        <s v="Say's Phoebe"/>
        <s v="Scaly-breasted Munia"/>
        <s v="Semipalmated Plover"/>
        <s v="Snowy Egret"/>
        <s v="Song Sparrow"/>
        <s v="Sora"/>
        <s v="Turkey Vulture"/>
        <s v="Western Bluebird"/>
        <s v="Western Gull"/>
        <s v="Western Kingbird"/>
        <s v="Western Sandpiper"/>
        <s v="White-crowned Sparrow"/>
        <s v="White-tailed Kite"/>
        <s v="Wilson's Warbler"/>
        <s v="Yellow-headed Blackbird"/>
      </sharedItems>
    </cacheField>
    <cacheField name="Count" numFmtId="0">
      <sharedItems containsSemiMixedTypes="0" containsString="0" containsNumber="1" containsInteger="1" minValue="1" maxValue="14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5" maxValue="5.5"/>
    </cacheField>
    <cacheField name="Observers" numFmtId="0">
      <sharedItems containsBlank="1" count="3">
        <s v="EAST/NORTH: Darwin, Steven, Conor"/>
        <s v="WEST/SOUTH: Lisa, Mark, Beau"/>
        <m u="1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8" maxValue="58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1-04-20T14:10:50" maxDate="2021-04-20T16:57:50"/>
    </cacheField>
    <cacheField name="Creator" numFmtId="0">
      <sharedItems containsBlank="1"/>
    </cacheField>
    <cacheField name="EditDate" numFmtId="0">
      <sharedItems containsNonDate="0" containsDate="1" containsString="0" containsBlank="1" minDate="2021-04-20T14:10:50" maxDate="2021-04-20T16:58:39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41"/>
    <d v="2021-04-20T00:00:00"/>
    <d v="2021-04-20T08:15:21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0bc5831a-84a6-4d35-a42f-55b287ebdf97}"/>
    <d v="2021-04-20T15:15:21"/>
    <s v="ccber_user"/>
    <d v="2021-04-20T15:15:21"/>
    <s v="ccber_user"/>
  </r>
  <r>
    <n v="65"/>
    <d v="2021-04-20T00:00:00"/>
    <d v="2021-04-20T08:44:46"/>
    <x v="0"/>
    <n v="1"/>
    <x v="0"/>
    <s v="Fence"/>
    <m/>
    <m/>
    <m/>
    <m/>
    <x v="0"/>
    <m/>
    <m/>
    <m/>
    <m/>
    <m/>
    <m/>
    <m/>
    <m/>
    <m/>
    <m/>
    <m/>
    <m/>
    <m/>
    <m/>
    <m/>
    <s v="{f44be4e9-3f23-41b4-be5c-c910cac74572}"/>
    <d v="2021-04-20T15:44:46"/>
    <s v="ccber_user"/>
    <d v="2021-04-20T15:44:46"/>
    <s v="ccber_user"/>
  </r>
  <r>
    <n v="170"/>
    <d v="2021-04-20T00:00:00"/>
    <d v="2021-04-20T09:54:17"/>
    <x v="0"/>
    <n v="1"/>
    <x v="0"/>
    <s v="Vegetation - Tree"/>
    <m/>
    <m/>
    <m/>
    <m/>
    <x v="1"/>
    <m/>
    <m/>
    <m/>
    <m/>
    <m/>
    <m/>
    <m/>
    <m/>
    <m/>
    <m/>
    <m/>
    <m/>
    <m/>
    <m/>
    <m/>
    <s v="{5e322741-89d4-4ef1-b16a-c618c97cc9c0}"/>
    <d v="2021-04-20T16:54:17"/>
    <s v="ccber_user"/>
    <d v="2021-04-20T16:54:17"/>
    <s v="ccber_user"/>
  </r>
  <r>
    <n v="142"/>
    <d v="2021-04-20T00:00:00"/>
    <d v="2021-04-20T09:15:11"/>
    <x v="1"/>
    <n v="7"/>
    <x v="0"/>
    <s v="Water - Floating"/>
    <m/>
    <m/>
    <m/>
    <m/>
    <x v="1"/>
    <m/>
    <m/>
    <m/>
    <m/>
    <m/>
    <m/>
    <m/>
    <m/>
    <m/>
    <m/>
    <m/>
    <m/>
    <m/>
    <m/>
    <m/>
    <s v="{ada7c7a8-5526-41a5-bc5f-524c257547c4}"/>
    <d v="2021-04-20T16:15:11"/>
    <s v="ccber_user"/>
    <d v="2021-04-20T16:15:11"/>
    <s v="ccber_user"/>
  </r>
  <r>
    <n v="157"/>
    <d v="2021-04-20T00:00:00"/>
    <d v="2021-04-20T09:28:49"/>
    <x v="1"/>
    <n v="1"/>
    <x v="0"/>
    <s v="Water - Floating"/>
    <m/>
    <m/>
    <m/>
    <m/>
    <x v="1"/>
    <m/>
    <m/>
    <m/>
    <m/>
    <m/>
    <m/>
    <m/>
    <m/>
    <m/>
    <m/>
    <m/>
    <m/>
    <m/>
    <m/>
    <m/>
    <s v="{a0d8d5cf-836f-42d6-b396-72ce9c9e5d54}"/>
    <d v="2021-04-20T16:28:49"/>
    <s v="ccber_user"/>
    <d v="2021-04-20T16:28:49"/>
    <s v="ccber_user"/>
  </r>
  <r>
    <n v="166"/>
    <d v="2021-04-20T00:00:00"/>
    <d v="2021-04-20T09:52:16"/>
    <x v="1"/>
    <n v="6"/>
    <x v="0"/>
    <m/>
    <m/>
    <m/>
    <m/>
    <m/>
    <x v="1"/>
    <m/>
    <m/>
    <m/>
    <m/>
    <m/>
    <m/>
    <m/>
    <m/>
    <m/>
    <m/>
    <m/>
    <m/>
    <m/>
    <m/>
    <m/>
    <s v="{67a8d028-1bf0-4a6f-a1fa-ec562dbb8816}"/>
    <d v="2021-04-20T16:52:16"/>
    <s v="ccber_user"/>
    <d v="2021-04-20T16:52:45"/>
    <s v="ccber_user"/>
  </r>
  <r>
    <n v="91"/>
    <d v="2021-04-20T00:00:00"/>
    <d v="2021-04-20T07:22:58"/>
    <x v="2"/>
    <n v="1"/>
    <x v="0"/>
    <s v="Fence"/>
    <m/>
    <m/>
    <m/>
    <m/>
    <x v="1"/>
    <m/>
    <m/>
    <m/>
    <m/>
    <m/>
    <m/>
    <m/>
    <m/>
    <m/>
    <m/>
    <m/>
    <m/>
    <m/>
    <m/>
    <m/>
    <s v="{874c8abf-b81e-4c34-8432-918436f3c70b}"/>
    <d v="2021-04-20T14:22:58"/>
    <s v="ccber_user"/>
    <d v="2021-04-20T14:22:58"/>
    <s v="ccber_user"/>
  </r>
  <r>
    <n v="26"/>
    <d v="2021-04-20T00:00:00"/>
    <d v="2021-04-20T07:50:04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bce45efc-a561-43ac-b8fc-72f5d3cf8acd}"/>
    <d v="2021-04-20T14:50:04"/>
    <s v="ccber_user"/>
    <d v="2021-04-20T14:50:04"/>
    <s v="ccber_user"/>
  </r>
  <r>
    <n v="103"/>
    <d v="2021-04-20T00:00:00"/>
    <d v="2021-04-20T08:07:38"/>
    <x v="2"/>
    <n v="1"/>
    <x v="0"/>
    <s v="Habitat Feature - Snag"/>
    <m/>
    <m/>
    <m/>
    <m/>
    <x v="1"/>
    <m/>
    <m/>
    <m/>
    <m/>
    <m/>
    <m/>
    <m/>
    <m/>
    <m/>
    <m/>
    <m/>
    <m/>
    <m/>
    <m/>
    <m/>
    <s v="{0c62660d-3e36-4f64-ad63-3182c96ddfb8}"/>
    <d v="2021-04-20T15:07:38"/>
    <s v="ccber_user"/>
    <d v="2021-04-20T15:07:38"/>
    <s v="ccber_user"/>
  </r>
  <r>
    <n v="49"/>
    <d v="2021-04-20T00:00:00"/>
    <d v="2021-04-20T08:28:58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691069d9-3cab-4470-af6a-7f0c94674ac5}"/>
    <d v="2021-04-20T15:28:58"/>
    <s v="ccber_user"/>
    <d v="2021-04-20T15:28:58"/>
    <s v="ccber_user"/>
  </r>
  <r>
    <n v="52"/>
    <d v="2021-04-20T00:00:00"/>
    <d v="2021-04-20T08:30:46"/>
    <x v="2"/>
    <n v="1"/>
    <x v="0"/>
    <s v="Vegetation - Tree"/>
    <m/>
    <m/>
    <m/>
    <m/>
    <x v="0"/>
    <m/>
    <m/>
    <m/>
    <m/>
    <m/>
    <m/>
    <m/>
    <m/>
    <m/>
    <m/>
    <m/>
    <m/>
    <m/>
    <m/>
    <m/>
    <s v="{0f81a8cd-08fb-49e3-b44d-9a58519b6096}"/>
    <d v="2021-04-20T15:30:46"/>
    <s v="ccber_user"/>
    <d v="2021-04-20T15:30:46"/>
    <s v="ccber_user"/>
  </r>
  <r>
    <n v="74"/>
    <d v="2021-04-20T00:00:00"/>
    <d v="2021-04-20T09:07:06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dc0bc4cb-4751-48d8-8843-608e5d870aaf}"/>
    <d v="2021-04-20T16:07:06"/>
    <s v="ccber_user"/>
    <d v="2021-04-20T16:07:06"/>
    <s v="ccber_user"/>
  </r>
  <r>
    <n v="153"/>
    <d v="2021-04-20T00:00:00"/>
    <d v="2021-04-20T09:27:03"/>
    <x v="2"/>
    <n v="1"/>
    <x v="0"/>
    <s v="Air"/>
    <m/>
    <m/>
    <m/>
    <m/>
    <x v="1"/>
    <m/>
    <m/>
    <m/>
    <m/>
    <m/>
    <m/>
    <m/>
    <m/>
    <m/>
    <m/>
    <m/>
    <m/>
    <m/>
    <m/>
    <m/>
    <s v="{f3e8ab24-f7fb-49db-8d19-2eada80c8ecf}"/>
    <d v="2021-04-20T16:27:03"/>
    <s v="ccber_user"/>
    <d v="2021-04-20T16:27:03"/>
    <s v="ccber_user"/>
  </r>
  <r>
    <n v="107"/>
    <d v="2021-04-20T00:00:00"/>
    <d v="2021-04-20T08:12:47"/>
    <x v="3"/>
    <n v="2"/>
    <x v="0"/>
    <s v="Air"/>
    <m/>
    <m/>
    <m/>
    <m/>
    <x v="1"/>
    <m/>
    <m/>
    <m/>
    <m/>
    <m/>
    <m/>
    <m/>
    <m/>
    <m/>
    <m/>
    <m/>
    <m/>
    <m/>
    <m/>
    <m/>
    <s v="{24752138-36e3-4356-a774-cddc9fca6968}"/>
    <d v="2021-04-20T15:12:47"/>
    <s v="ccber_user"/>
    <d v="2021-04-20T15:12:47"/>
    <s v="ccber_user"/>
  </r>
  <r>
    <n v="122"/>
    <d v="2021-04-20T00:00:00"/>
    <d v="2021-04-20T08:48:25"/>
    <x v="3"/>
    <n v="2"/>
    <x v="0"/>
    <s v="Bare ground"/>
    <m/>
    <m/>
    <m/>
    <m/>
    <x v="1"/>
    <m/>
    <m/>
    <m/>
    <m/>
    <m/>
    <m/>
    <m/>
    <m/>
    <m/>
    <m/>
    <m/>
    <m/>
    <m/>
    <m/>
    <m/>
    <s v="{af451314-337a-4bb5-a2a4-7469dca4303d}"/>
    <d v="2021-04-20T15:48:25"/>
    <s v="ccber_user"/>
    <d v="2021-04-20T15:48:25"/>
    <s v="ccber_user"/>
  </r>
  <r>
    <n v="8"/>
    <d v="2021-04-20T00:00:00"/>
    <d v="2021-04-20T07:32:59"/>
    <x v="4"/>
    <n v="8"/>
    <x v="0"/>
    <s v="Water - Floating"/>
    <m/>
    <m/>
    <m/>
    <m/>
    <x v="0"/>
    <m/>
    <m/>
    <m/>
    <m/>
    <m/>
    <m/>
    <m/>
    <m/>
    <m/>
    <m/>
    <m/>
    <m/>
    <m/>
    <m/>
    <m/>
    <s v="{e4c3058a-7fb4-41e7-9a91-b81bb3ca1366}"/>
    <d v="2021-04-20T14:32:59"/>
    <s v="ccber_user"/>
    <d v="2021-04-20T14:32:59"/>
    <s v="ccber_user"/>
  </r>
  <r>
    <n v="66"/>
    <d v="2021-04-20T00:00:00"/>
    <d v="2021-04-20T08:45:02"/>
    <x v="4"/>
    <n v="11"/>
    <x v="0"/>
    <s v="Water - Floating"/>
    <m/>
    <m/>
    <m/>
    <m/>
    <x v="0"/>
    <m/>
    <m/>
    <m/>
    <m/>
    <m/>
    <m/>
    <m/>
    <m/>
    <m/>
    <m/>
    <m/>
    <m/>
    <m/>
    <m/>
    <m/>
    <s v="{f175a683-58f6-4d62-a188-a0d7581b9d02}"/>
    <d v="2021-04-20T15:45:02"/>
    <s v="ccber_user"/>
    <d v="2021-04-20T15:46:32"/>
    <s v="ccber_user"/>
  </r>
  <r>
    <n v="120"/>
    <d v="2021-04-20T00:00:00"/>
    <d v="2021-04-20T08:45:15"/>
    <x v="4"/>
    <n v="8"/>
    <x v="1"/>
    <s v="Mud"/>
    <m/>
    <m/>
    <m/>
    <m/>
    <x v="1"/>
    <m/>
    <m/>
    <m/>
    <m/>
    <m/>
    <m/>
    <m/>
    <m/>
    <m/>
    <m/>
    <m/>
    <m/>
    <m/>
    <m/>
    <m/>
    <s v="{3a83418b-0bef-45ec-b351-335526d984b6}"/>
    <d v="2021-04-20T15:45:15"/>
    <s v="ccber_user"/>
    <d v="2021-04-20T15:45:15"/>
    <s v="ccber_user"/>
  </r>
  <r>
    <n v="90"/>
    <d v="2021-04-20T00:00:00"/>
    <d v="2021-04-20T07:21:16"/>
    <x v="5"/>
    <n v="1"/>
    <x v="0"/>
    <s v="Fence"/>
    <m/>
    <m/>
    <m/>
    <m/>
    <x v="1"/>
    <m/>
    <m/>
    <m/>
    <m/>
    <m/>
    <m/>
    <m/>
    <m/>
    <m/>
    <m/>
    <m/>
    <m/>
    <m/>
    <m/>
    <m/>
    <s v="{b127eb11-dbec-493b-9472-b79719395364}"/>
    <d v="2021-04-20T14:21:16"/>
    <s v="ccber_user"/>
    <d v="2021-04-20T14:21:16"/>
    <s v="ccber_user"/>
  </r>
  <r>
    <n v="6"/>
    <d v="2021-04-20T00:00:00"/>
    <d v="2021-04-20T07:27:55"/>
    <x v="5"/>
    <n v="1"/>
    <x v="0"/>
    <s v="Vegetation - Shrub"/>
    <m/>
    <m/>
    <m/>
    <m/>
    <x v="0"/>
    <m/>
    <m/>
    <m/>
    <m/>
    <m/>
    <m/>
    <m/>
    <m/>
    <m/>
    <m/>
    <m/>
    <m/>
    <m/>
    <m/>
    <m/>
    <s v="{fda96246-bca5-4b8d-b55d-77e18a07541c}"/>
    <d v="2021-04-20T14:27:55"/>
    <s v="ccber_user"/>
    <d v="2021-04-20T14:28:19"/>
    <s v="ccber_user"/>
  </r>
  <r>
    <n v="95"/>
    <d v="2021-04-20T00:00:00"/>
    <d v="2021-04-20T07:29:04"/>
    <x v="5"/>
    <n v="1"/>
    <x v="0"/>
    <s v="Air"/>
    <s v="M"/>
    <m/>
    <m/>
    <m/>
    <x v="1"/>
    <m/>
    <m/>
    <m/>
    <m/>
    <m/>
    <m/>
    <m/>
    <m/>
    <m/>
    <m/>
    <m/>
    <m/>
    <m/>
    <m/>
    <m/>
    <s v="{faaea1fa-29b3-4179-8389-b186579b3c53}"/>
    <d v="2021-04-20T14:29:04"/>
    <s v="ccber_user"/>
    <d v="2021-04-20T14:29:04"/>
    <s v="ccber_user"/>
  </r>
  <r>
    <n v="11"/>
    <d v="2021-04-20T00:00:00"/>
    <d v="2021-04-20T07:34:06"/>
    <x v="5"/>
    <n v="1"/>
    <x v="0"/>
    <s v="Vegetation - Shrub"/>
    <m/>
    <m/>
    <m/>
    <m/>
    <x v="0"/>
    <m/>
    <m/>
    <m/>
    <m/>
    <m/>
    <m/>
    <m/>
    <m/>
    <m/>
    <m/>
    <m/>
    <m/>
    <m/>
    <m/>
    <m/>
    <s v="{c32b938c-9ca8-4611-bc78-f876b9312a93}"/>
    <d v="2021-04-20T14:34:06"/>
    <s v="ccber_user"/>
    <d v="2021-04-20T14:34:06"/>
    <s v="ccber_user"/>
  </r>
  <r>
    <n v="35"/>
    <d v="2021-04-20T00:00:00"/>
    <d v="2021-04-20T08:04:22"/>
    <x v="5"/>
    <n v="1"/>
    <x v="0"/>
    <s v="Vegetation - Tree"/>
    <m/>
    <m/>
    <m/>
    <m/>
    <x v="0"/>
    <m/>
    <m/>
    <m/>
    <m/>
    <m/>
    <m/>
    <m/>
    <m/>
    <m/>
    <m/>
    <m/>
    <m/>
    <m/>
    <m/>
    <m/>
    <s v="{b93319e4-5df0-4d79-81fe-c425d63ab3a3}"/>
    <d v="2021-04-20T15:04:22"/>
    <s v="ccber_user"/>
    <d v="2021-04-20T15:04:22"/>
    <s v="ccber_user"/>
  </r>
  <r>
    <n v="110"/>
    <d v="2021-04-20T00:00:00"/>
    <d v="2021-04-20T08:21:01"/>
    <x v="5"/>
    <n v="1"/>
    <x v="0"/>
    <s v="Vegetation - Tree"/>
    <s v="M"/>
    <m/>
    <m/>
    <m/>
    <x v="1"/>
    <m/>
    <m/>
    <m/>
    <m/>
    <m/>
    <m/>
    <m/>
    <m/>
    <m/>
    <m/>
    <m/>
    <m/>
    <m/>
    <m/>
    <m/>
    <s v="{8685d084-3c95-402c-a3cd-bae91bdc3ed5}"/>
    <d v="2021-04-20T15:21:01"/>
    <s v="ccber_user"/>
    <d v="2021-04-20T15:21:01"/>
    <s v="ccber_user"/>
  </r>
  <r>
    <n v="60"/>
    <d v="2021-04-20T00:00:00"/>
    <d v="2021-04-20T08:40:11"/>
    <x v="5"/>
    <n v="1"/>
    <x v="0"/>
    <s v="Vegetation - Tree"/>
    <m/>
    <m/>
    <m/>
    <m/>
    <x v="0"/>
    <m/>
    <m/>
    <m/>
    <m/>
    <m/>
    <m/>
    <m/>
    <m/>
    <m/>
    <m/>
    <m/>
    <m/>
    <m/>
    <m/>
    <m/>
    <s v="{072d5c07-6ff8-427e-9c97-1b330d04805c}"/>
    <d v="2021-04-20T15:40:11"/>
    <s v="ccber_user"/>
    <d v="2021-04-20T15:40:11"/>
    <s v="ccber_user"/>
  </r>
  <r>
    <n v="121"/>
    <d v="2021-04-20T00:00:00"/>
    <d v="2021-04-20T08:46:45"/>
    <x v="5"/>
    <n v="1"/>
    <x v="0"/>
    <s v="Vegetation - Shrub"/>
    <m/>
    <m/>
    <m/>
    <m/>
    <x v="1"/>
    <m/>
    <m/>
    <m/>
    <m/>
    <m/>
    <m/>
    <m/>
    <m/>
    <m/>
    <m/>
    <m/>
    <m/>
    <m/>
    <m/>
    <m/>
    <s v="{b6404a7e-17b1-49e7-bbf0-bc5cf745bf85}"/>
    <d v="2021-04-20T15:46:45"/>
    <s v="ccber_user"/>
    <d v="2021-04-20T15:46:45"/>
    <s v="ccber_user"/>
  </r>
  <r>
    <n v="131"/>
    <d v="2021-04-20T00:00:00"/>
    <d v="2021-04-20T08:58:43"/>
    <x v="5"/>
    <n v="1"/>
    <x v="0"/>
    <s v="Vegetation - Tree"/>
    <m/>
    <m/>
    <m/>
    <m/>
    <x v="1"/>
    <m/>
    <m/>
    <m/>
    <m/>
    <m/>
    <m/>
    <m/>
    <m/>
    <m/>
    <m/>
    <m/>
    <m/>
    <m/>
    <m/>
    <m/>
    <s v="{9ecc00a1-ed7d-4015-bb2d-dff90406051c}"/>
    <d v="2021-04-20T15:58:43"/>
    <s v="ccber_user"/>
    <d v="2021-04-20T15:58:43"/>
    <s v="ccber_user"/>
  </r>
  <r>
    <n v="151"/>
    <d v="2021-04-20T00:00:00"/>
    <d v="2021-04-20T09:26:06"/>
    <x v="5"/>
    <n v="1"/>
    <x v="0"/>
    <s v="Vegetation - Shrub"/>
    <m/>
    <m/>
    <m/>
    <m/>
    <x v="1"/>
    <m/>
    <m/>
    <m/>
    <m/>
    <m/>
    <m/>
    <m/>
    <m/>
    <m/>
    <m/>
    <m/>
    <m/>
    <m/>
    <m/>
    <m/>
    <s v="{328fc6e6-bfff-41be-99c4-d5c110709473}"/>
    <d v="2021-04-20T16:26:06"/>
    <s v="ccber_user"/>
    <d v="2021-04-20T16:26:06"/>
    <s v="ccber_user"/>
  </r>
  <r>
    <n v="1"/>
    <d v="2021-04-20T00:00:00"/>
    <d v="2021-04-20T07:13:15"/>
    <x v="6"/>
    <n v="1"/>
    <x v="0"/>
    <m/>
    <m/>
    <m/>
    <m/>
    <m/>
    <x v="0"/>
    <m/>
    <m/>
    <m/>
    <m/>
    <m/>
    <m/>
    <m/>
    <m/>
    <m/>
    <m/>
    <m/>
    <m/>
    <m/>
    <m/>
    <m/>
    <s v="{0bbdb817-0969-430a-aa0d-2c811e975a0c}"/>
    <d v="2021-04-20T14:13:15"/>
    <s v="ccber_user"/>
    <d v="2021-04-20T14:13:15"/>
    <s v="ccber_user"/>
  </r>
  <r>
    <n v="42"/>
    <d v="2021-04-20T00:00:00"/>
    <d v="2021-04-20T08:16:38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{bfe29886-08c8-4788-80ec-61720952b730}"/>
    <d v="2021-04-20T15:16:38"/>
    <s v="ccber_user"/>
    <d v="2021-04-20T15:16:38"/>
    <s v="ccber_user"/>
  </r>
  <r>
    <n v="44"/>
    <d v="2021-04-20T00:00:00"/>
    <d v="2021-04-20T08:17:32"/>
    <x v="6"/>
    <n v="2"/>
    <x v="0"/>
    <s v="Vegetation - Herbaceous"/>
    <m/>
    <m/>
    <m/>
    <m/>
    <x v="0"/>
    <m/>
    <m/>
    <m/>
    <m/>
    <m/>
    <m/>
    <m/>
    <m/>
    <m/>
    <m/>
    <m/>
    <m/>
    <m/>
    <m/>
    <m/>
    <s v="{ad44bf12-dc0d-4e8d-9b38-8c08bafd241b}"/>
    <d v="2021-04-20T15:17:32"/>
    <s v="ccber_user"/>
    <d v="2021-04-20T15:17:32"/>
    <s v="ccber_user"/>
  </r>
  <r>
    <n v="3"/>
    <d v="2021-04-20T00:00:00"/>
    <d v="2021-04-20T07:15:39"/>
    <x v="7"/>
    <n v="2"/>
    <x v="0"/>
    <s v="Mud"/>
    <m/>
    <m/>
    <m/>
    <m/>
    <x v="0"/>
    <m/>
    <m/>
    <m/>
    <m/>
    <m/>
    <m/>
    <m/>
    <m/>
    <m/>
    <m/>
    <m/>
    <m/>
    <m/>
    <m/>
    <m/>
    <s v="{a6b643b5-ce36-471b-8479-883c3761692a}"/>
    <d v="2021-04-20T14:15:39"/>
    <s v="ccber_user"/>
    <d v="2021-04-20T14:16:05"/>
    <s v="ccber_user"/>
  </r>
  <r>
    <n v="71"/>
    <d v="2021-04-20T00:00:00"/>
    <d v="2021-04-20T08:54:18"/>
    <x v="7"/>
    <n v="1"/>
    <x v="0"/>
    <s v="Water - Wading"/>
    <m/>
    <m/>
    <m/>
    <m/>
    <x v="0"/>
    <m/>
    <m/>
    <m/>
    <m/>
    <m/>
    <m/>
    <m/>
    <m/>
    <m/>
    <m/>
    <m/>
    <m/>
    <m/>
    <m/>
    <m/>
    <s v="{0b9f40d4-2e7b-4d29-bf6f-1e5896762bb4}"/>
    <d v="2021-04-20T15:54:18"/>
    <s v="ccber_user"/>
    <d v="2021-04-20T15:54:18"/>
    <s v="ccber_user"/>
  </r>
  <r>
    <n v="29"/>
    <d v="2021-04-20T00:00:00"/>
    <d v="2021-04-20T07:53:08"/>
    <x v="8"/>
    <n v="1"/>
    <x v="0"/>
    <s v="Vegetation - Tree"/>
    <m/>
    <m/>
    <m/>
    <m/>
    <x v="0"/>
    <m/>
    <m/>
    <m/>
    <m/>
    <m/>
    <m/>
    <m/>
    <m/>
    <m/>
    <m/>
    <m/>
    <m/>
    <m/>
    <m/>
    <m/>
    <s v="{c50d1737-15fa-493a-8373-80cde819367d}"/>
    <d v="2021-04-20T14:53:08"/>
    <s v="ccber_user"/>
    <d v="2021-04-20T14:53:08"/>
    <s v="ccber_user"/>
  </r>
  <r>
    <n v="165"/>
    <d v="2021-04-20T00:00:00"/>
    <d v="2021-04-20T09:48:54"/>
    <x v="9"/>
    <n v="1"/>
    <x v="0"/>
    <s v="Water - Floating"/>
    <m/>
    <m/>
    <m/>
    <m/>
    <x v="1"/>
    <m/>
    <m/>
    <m/>
    <m/>
    <m/>
    <m/>
    <m/>
    <m/>
    <m/>
    <m/>
    <m/>
    <m/>
    <m/>
    <m/>
    <m/>
    <s v="{67168053-ca0c-4aa5-ae1c-6138a160dd80}"/>
    <d v="2021-04-20T16:48:54"/>
    <s v="ccber_user"/>
    <d v="2021-04-20T16:48:54"/>
    <s v="ccber_user"/>
  </r>
  <r>
    <n v="85"/>
    <d v="2021-04-20T00:00:00"/>
    <d v="2021-04-20T09:57:50"/>
    <x v="9"/>
    <n v="1"/>
    <x v="1"/>
    <s v="Flyover"/>
    <m/>
    <m/>
    <m/>
    <m/>
    <x v="0"/>
    <m/>
    <m/>
    <m/>
    <m/>
    <m/>
    <m/>
    <m/>
    <m/>
    <m/>
    <m/>
    <m/>
    <m/>
    <m/>
    <m/>
    <m/>
    <s v="{483fc57e-0f5c-422c-87ce-b7cc3e1943a3}"/>
    <d v="2021-04-20T16:57:50"/>
    <s v="ccber_user"/>
    <d v="2021-04-20T16:58:39"/>
    <s v="ccber_user"/>
  </r>
  <r>
    <n v="36"/>
    <d v="2021-04-20T00:00:00"/>
    <d v="2021-04-20T08:11:19"/>
    <x v="10"/>
    <n v="5"/>
    <x v="0"/>
    <m/>
    <m/>
    <m/>
    <m/>
    <m/>
    <x v="0"/>
    <m/>
    <m/>
    <m/>
    <m/>
    <m/>
    <m/>
    <m/>
    <m/>
    <m/>
    <m/>
    <m/>
    <m/>
    <m/>
    <m/>
    <m/>
    <s v="{77d62b32-19ae-4389-9694-5a0f4187ac82}"/>
    <d v="2021-04-20T15:11:19"/>
    <s v="ccber_user"/>
    <d v="2021-04-20T15:11:19"/>
    <s v="ccber_user"/>
  </r>
  <r>
    <n v="135"/>
    <d v="2021-04-20T00:00:00"/>
    <d v="2021-04-20T09:04:44"/>
    <x v="10"/>
    <n v="2"/>
    <x v="0"/>
    <s v="Vegetation - Tree"/>
    <m/>
    <m/>
    <s v="Count revised from 1 to 2 following survey review by Mark H."/>
    <m/>
    <x v="1"/>
    <m/>
    <m/>
    <m/>
    <m/>
    <m/>
    <m/>
    <m/>
    <m/>
    <m/>
    <m/>
    <m/>
    <m/>
    <m/>
    <m/>
    <m/>
    <s v="{64c6288c-992c-42eb-950c-75dd5432f8fd}"/>
    <d v="2021-04-20T16:04:44"/>
    <s v="ccber_user"/>
    <d v="2021-04-20T16:04:44"/>
    <s v="ccber_user"/>
  </r>
  <r>
    <n v="33"/>
    <d v="2021-04-20T00:00:00"/>
    <d v="2021-04-20T08:02:28"/>
    <x v="11"/>
    <n v="2"/>
    <x v="0"/>
    <s v="Vegetation - Herbaceous"/>
    <m/>
    <m/>
    <m/>
    <m/>
    <x v="0"/>
    <m/>
    <m/>
    <m/>
    <m/>
    <m/>
    <m/>
    <m/>
    <m/>
    <m/>
    <m/>
    <m/>
    <m/>
    <m/>
    <m/>
    <m/>
    <s v="{b77f0caf-3d9a-4148-853e-65c586513427}"/>
    <d v="2021-04-20T15:02:28"/>
    <s v="ccber_user"/>
    <d v="2021-04-20T15:02:28"/>
    <s v="ccber_user"/>
  </r>
  <r>
    <n v="37"/>
    <d v="2021-04-20T00:00:00"/>
    <d v="2021-04-20T08:11:38"/>
    <x v="11"/>
    <n v="1"/>
    <x v="0"/>
    <s v="Vegetation - Tree"/>
    <m/>
    <m/>
    <m/>
    <m/>
    <x v="0"/>
    <m/>
    <m/>
    <m/>
    <m/>
    <m/>
    <m/>
    <m/>
    <m/>
    <m/>
    <m/>
    <m/>
    <m/>
    <m/>
    <m/>
    <m/>
    <s v="{2d6678a5-d56d-4dc2-a5be-83bfa64463e4}"/>
    <d v="2021-04-20T15:11:38"/>
    <s v="ccber_user"/>
    <d v="2021-04-20T15:11:38"/>
    <s v="ccber_user"/>
  </r>
  <r>
    <n v="112"/>
    <d v="2021-04-20T00:00:00"/>
    <d v="2021-04-20T08:23:22"/>
    <x v="11"/>
    <n v="1"/>
    <x v="0"/>
    <s v="Bare ground"/>
    <m/>
    <s v="Other"/>
    <s v="brood patch"/>
    <m/>
    <x v="1"/>
    <m/>
    <m/>
    <m/>
    <m/>
    <m/>
    <m/>
    <m/>
    <m/>
    <m/>
    <m/>
    <m/>
    <m/>
    <m/>
    <m/>
    <m/>
    <s v="{76684406-05fe-4e36-a2a2-b98b7f925887}"/>
    <d v="2021-04-20T15:23:22"/>
    <s v="ccber_user"/>
    <d v="2021-04-20T15:30:55"/>
    <s v="ccber_user"/>
  </r>
  <r>
    <n v="59"/>
    <d v="2021-04-20T00:00:00"/>
    <d v="2021-04-20T08:39:38"/>
    <x v="11"/>
    <n v="2"/>
    <x v="0"/>
    <s v="Vegetation - Herbaceous"/>
    <m/>
    <m/>
    <m/>
    <m/>
    <x v="0"/>
    <m/>
    <m/>
    <m/>
    <m/>
    <m/>
    <m/>
    <m/>
    <m/>
    <m/>
    <m/>
    <m/>
    <m/>
    <m/>
    <m/>
    <m/>
    <s v="{bdbd5895-32d5-4061-bde9-713229cc8e57}"/>
    <d v="2021-04-20T15:39:38"/>
    <s v="ccber_user"/>
    <d v="2021-04-20T15:39:38"/>
    <s v="ccber_user"/>
  </r>
  <r>
    <n v="72"/>
    <d v="2021-04-20T00:00:00"/>
    <d v="2021-04-20T08:55:49"/>
    <x v="11"/>
    <n v="1"/>
    <x v="0"/>
    <s v="Vegetation - Tree"/>
    <m/>
    <m/>
    <m/>
    <m/>
    <x v="0"/>
    <m/>
    <m/>
    <m/>
    <m/>
    <m/>
    <m/>
    <m/>
    <m/>
    <m/>
    <m/>
    <m/>
    <m/>
    <m/>
    <m/>
    <m/>
    <s v="{e4722736-e458-4fdc-b3d7-61321aecc4ce}"/>
    <d v="2021-04-20T15:55:49"/>
    <s v="ccber_user"/>
    <d v="2021-04-20T15:55:49"/>
    <s v="ccber_user"/>
  </r>
  <r>
    <m/>
    <d v="2021-04-20T00:00:00"/>
    <m/>
    <x v="11"/>
    <n v="2"/>
    <x v="0"/>
    <m/>
    <m/>
    <m/>
    <s v="Observation added following survey review by Mark H. No spatial data available, though Mark says the pair were seen along Venoco Rd."/>
    <m/>
    <x v="1"/>
    <m/>
    <m/>
    <m/>
    <m/>
    <m/>
    <m/>
    <m/>
    <m/>
    <m/>
    <m/>
    <m/>
    <m/>
    <m/>
    <m/>
    <m/>
    <m/>
    <m/>
    <m/>
    <m/>
    <m/>
  </r>
  <r>
    <n v="87"/>
    <d v="2021-04-20T00:00:00"/>
    <d v="2021-04-20T07:14:53"/>
    <x v="12"/>
    <n v="2"/>
    <x v="0"/>
    <s v="Bare ground"/>
    <m/>
    <m/>
    <s v="sitting"/>
    <m/>
    <x v="1"/>
    <m/>
    <m/>
    <m/>
    <m/>
    <m/>
    <m/>
    <m/>
    <m/>
    <m/>
    <m/>
    <m/>
    <m/>
    <m/>
    <m/>
    <m/>
    <s v="{80f3753f-5355-42a7-8939-048f8e2c8fca}"/>
    <d v="2021-04-20T14:14:53"/>
    <s v="ccber_user"/>
    <d v="2021-04-20T14:14:53"/>
    <s v="ccber_user"/>
  </r>
  <r>
    <n v="143"/>
    <d v="2021-04-20T00:00:00"/>
    <d v="2021-04-20T09:15:25"/>
    <x v="12"/>
    <n v="1"/>
    <x v="0"/>
    <s v="Water - Floating"/>
    <m/>
    <m/>
    <m/>
    <m/>
    <x v="1"/>
    <m/>
    <m/>
    <m/>
    <m/>
    <m/>
    <m/>
    <m/>
    <m/>
    <m/>
    <m/>
    <m/>
    <m/>
    <m/>
    <m/>
    <m/>
    <s v="{1e32b33a-56fc-4be3-aa55-a6821ffd32f7}"/>
    <d v="2021-04-20T16:15:25"/>
    <s v="ccber_user"/>
    <d v="2021-04-20T16:15:25"/>
    <s v="ccber_user"/>
  </r>
  <r>
    <n v="81"/>
    <d v="2021-04-20T00:00:00"/>
    <d v="2021-04-20T09:41:55"/>
    <x v="12"/>
    <n v="6"/>
    <x v="0"/>
    <m/>
    <m/>
    <s v="Other"/>
    <s v="4 gosslings"/>
    <m/>
    <x v="0"/>
    <m/>
    <m/>
    <m/>
    <m/>
    <m/>
    <m/>
    <m/>
    <m/>
    <m/>
    <m/>
    <m/>
    <m/>
    <m/>
    <m/>
    <m/>
    <s v="{29115645-e452-478d-aaf2-d0495ffa580d}"/>
    <d v="2021-04-20T16:41:55"/>
    <s v="ccber_user"/>
    <d v="2021-04-20T16:41:55"/>
    <s v="ccber_user"/>
  </r>
  <r>
    <n v="23"/>
    <d v="2021-04-20T00:00:00"/>
    <d v="2021-04-20T07:48:29"/>
    <x v="13"/>
    <n v="1"/>
    <x v="0"/>
    <s v="Fence"/>
    <m/>
    <m/>
    <m/>
    <m/>
    <x v="0"/>
    <m/>
    <m/>
    <m/>
    <m/>
    <m/>
    <m/>
    <m/>
    <m/>
    <m/>
    <m/>
    <m/>
    <m/>
    <m/>
    <m/>
    <m/>
    <s v="{25239cf0-fc63-4cf6-b059-60e6c1776bed}"/>
    <d v="2021-04-20T14:48:29"/>
    <s v="ccber_user"/>
    <d v="2021-04-20T14:48:29"/>
    <s v="ccber_user"/>
  </r>
  <r>
    <n v="50"/>
    <d v="2021-04-20T00:00:00"/>
    <d v="2021-04-20T08:29:41"/>
    <x v="14"/>
    <n v="20"/>
    <x v="0"/>
    <s v="Flyover"/>
    <m/>
    <m/>
    <m/>
    <m/>
    <x v="0"/>
    <m/>
    <m/>
    <m/>
    <m/>
    <m/>
    <m/>
    <m/>
    <m/>
    <m/>
    <m/>
    <m/>
    <m/>
    <m/>
    <m/>
    <m/>
    <s v="{4b4aa73b-735c-4842-9cc2-1b0e965c2316}"/>
    <d v="2021-04-20T15:29:41"/>
    <s v="ccber_user"/>
    <d v="2021-04-20T15:29:41"/>
    <s v="ccber_user"/>
  </r>
  <r>
    <n v="94"/>
    <d v="2021-04-20T00:00:00"/>
    <d v="2021-04-20T07:25:34"/>
    <x v="15"/>
    <n v="30"/>
    <x v="0"/>
    <s v="Air"/>
    <m/>
    <m/>
    <m/>
    <m/>
    <x v="1"/>
    <m/>
    <m/>
    <m/>
    <m/>
    <m/>
    <m/>
    <m/>
    <m/>
    <m/>
    <m/>
    <m/>
    <m/>
    <m/>
    <m/>
    <m/>
    <s v="{b5cb0415-35d2-4a05-b564-15b3d4f5fa35}"/>
    <d v="2021-04-20T14:25:34"/>
    <s v="ccber_user"/>
    <d v="2021-04-20T14:26:12"/>
    <s v="ccber_user"/>
  </r>
  <r>
    <n v="5"/>
    <d v="2021-04-20T00:00:00"/>
    <d v="2021-04-20T07:25:53"/>
    <x v="15"/>
    <n v="30"/>
    <x v="0"/>
    <s v="Air"/>
    <m/>
    <m/>
    <m/>
    <m/>
    <x v="0"/>
    <m/>
    <m/>
    <m/>
    <m/>
    <m/>
    <m/>
    <m/>
    <m/>
    <m/>
    <m/>
    <m/>
    <m/>
    <m/>
    <m/>
    <m/>
    <s v="{b35cf068-b094-455e-be8f-842f025efde2}"/>
    <d v="2021-04-20T14:25:53"/>
    <s v="ccber_user"/>
    <d v="2021-04-20T14:30:12"/>
    <s v="ccber_user"/>
  </r>
  <r>
    <n v="17"/>
    <d v="2021-04-20T00:00:00"/>
    <d v="2021-04-20T07:41:44"/>
    <x v="15"/>
    <n v="20"/>
    <x v="0"/>
    <s v="Air"/>
    <m/>
    <m/>
    <m/>
    <m/>
    <x v="0"/>
    <m/>
    <m/>
    <m/>
    <m/>
    <m/>
    <m/>
    <m/>
    <m/>
    <m/>
    <m/>
    <m/>
    <m/>
    <m/>
    <m/>
    <m/>
    <s v="{8980e02e-37a4-4b9c-b4c0-d28fc9eeb34a}"/>
    <d v="2021-04-20T14:41:44"/>
    <s v="ccber_user"/>
    <d v="2021-04-20T14:41:44"/>
    <s v="ccber_user"/>
  </r>
  <r>
    <n v="136"/>
    <d v="2021-04-20T00:00:00"/>
    <d v="2021-04-20T09:05:47"/>
    <x v="15"/>
    <n v="140"/>
    <x v="0"/>
    <s v="Mud"/>
    <m/>
    <s v="Carrying Nest Material"/>
    <s v="mud gathering"/>
    <m/>
    <x v="1"/>
    <m/>
    <m/>
    <m/>
    <m/>
    <m/>
    <m/>
    <m/>
    <m/>
    <m/>
    <m/>
    <m/>
    <m/>
    <m/>
    <m/>
    <m/>
    <s v="{25239264-eccf-4f22-bd2b-517464b0a2d0}"/>
    <d v="2021-04-20T16:05:47"/>
    <s v="ccber_user"/>
    <d v="2021-04-20T16:19:09"/>
    <s v="ccber_user"/>
  </r>
  <r>
    <n v="28"/>
    <d v="2021-04-20T00:00:00"/>
    <d v="2021-04-20T07:52:41"/>
    <x v="16"/>
    <n v="1"/>
    <x v="0"/>
    <s v="Vegetation - Tree"/>
    <m/>
    <m/>
    <m/>
    <m/>
    <x v="0"/>
    <m/>
    <m/>
    <m/>
    <m/>
    <m/>
    <m/>
    <m/>
    <m/>
    <m/>
    <m/>
    <m/>
    <m/>
    <m/>
    <m/>
    <m/>
    <s v="{c5aa2bac-c841-49a6-9ef7-18676e783f76}"/>
    <d v="2021-04-20T14:52:41"/>
    <s v="ccber_user"/>
    <d v="2021-04-20T14:52:41"/>
    <s v="ccber_user"/>
  </r>
  <r>
    <n v="128"/>
    <d v="2021-04-20T00:00:00"/>
    <d v="2021-04-20T08:56:44"/>
    <x v="16"/>
    <n v="1"/>
    <x v="0"/>
    <s v="Air"/>
    <m/>
    <m/>
    <m/>
    <m/>
    <x v="1"/>
    <m/>
    <m/>
    <m/>
    <m/>
    <m/>
    <m/>
    <m/>
    <m/>
    <m/>
    <m/>
    <m/>
    <m/>
    <m/>
    <m/>
    <m/>
    <s v="{355a28e8-79b2-4e99-986a-e7227b931f90}"/>
    <d v="2021-04-20T15:56:44"/>
    <s v="ccber_user"/>
    <d v="2021-04-20T15:56:44"/>
    <s v="ccber_user"/>
  </r>
  <r>
    <n v="137"/>
    <d v="2021-04-20T00:00:00"/>
    <d v="2021-04-20T09:08:10"/>
    <x v="16"/>
    <n v="2"/>
    <x v="0"/>
    <s v="Vegetation - Tree"/>
    <m/>
    <m/>
    <m/>
    <m/>
    <x v="1"/>
    <m/>
    <m/>
    <m/>
    <m/>
    <m/>
    <m/>
    <m/>
    <m/>
    <m/>
    <m/>
    <m/>
    <m/>
    <m/>
    <m/>
    <m/>
    <s v="{125647b4-d59f-4bd4-8450-0e593ffa01b1}"/>
    <d v="2021-04-20T16:08:10"/>
    <s v="ccber_user"/>
    <d v="2021-04-20T16:08:10"/>
    <s v="ccber_user"/>
  </r>
  <r>
    <n v="149"/>
    <d v="2021-04-20T00:00:00"/>
    <d v="2021-04-20T09:21:20"/>
    <x v="16"/>
    <n v="1"/>
    <x v="0"/>
    <s v="Vegetation - Herbaceous"/>
    <m/>
    <m/>
    <m/>
    <m/>
    <x v="1"/>
    <m/>
    <m/>
    <m/>
    <m/>
    <m/>
    <m/>
    <m/>
    <m/>
    <m/>
    <m/>
    <m/>
    <m/>
    <m/>
    <m/>
    <m/>
    <s v="{cc19a9da-7815-4cac-a624-db4dec86d69e}"/>
    <d v="2021-04-20T16:21:20"/>
    <s v="ccber_user"/>
    <d v="2021-04-20T16:21:20"/>
    <s v="ccber_user"/>
  </r>
  <r>
    <n v="150"/>
    <d v="2021-04-20T00:00:00"/>
    <d v="2021-04-20T09:25:22"/>
    <x v="16"/>
    <n v="2"/>
    <x v="0"/>
    <s v="Vegetation - Shrub"/>
    <m/>
    <m/>
    <m/>
    <m/>
    <x v="1"/>
    <m/>
    <m/>
    <m/>
    <m/>
    <m/>
    <m/>
    <m/>
    <m/>
    <m/>
    <m/>
    <m/>
    <m/>
    <m/>
    <m/>
    <m/>
    <s v="{ceb76296-065e-419d-b04a-e3d9afd097ed}"/>
    <d v="2021-04-20T16:25:22"/>
    <s v="ccber_user"/>
    <d v="2021-04-20T16:25:22"/>
    <s v="ccber_user"/>
  </r>
  <r>
    <n v="164"/>
    <d v="2021-04-20T00:00:00"/>
    <d v="2021-04-20T09:40:53"/>
    <x v="16"/>
    <n v="1"/>
    <x v="0"/>
    <s v="Vegetation - Shrub"/>
    <s v="Uncertain"/>
    <m/>
    <m/>
    <m/>
    <x v="1"/>
    <m/>
    <m/>
    <m/>
    <m/>
    <m/>
    <m/>
    <m/>
    <m/>
    <m/>
    <m/>
    <m/>
    <m/>
    <m/>
    <m/>
    <m/>
    <s v="{52dc01d2-98ed-4a4d-955d-69a59285f2b6}"/>
    <d v="2021-04-20T16:40:53"/>
    <s v="ccber_user"/>
    <d v="2021-04-20T16:40:53"/>
    <s v="ccber_user"/>
  </r>
  <r>
    <n v="148"/>
    <d v="2021-04-20T00:00:00"/>
    <d v="2021-04-20T09:20:29"/>
    <x v="17"/>
    <n v="1"/>
    <x v="0"/>
    <s v="Vegetation - Tree"/>
    <m/>
    <m/>
    <m/>
    <m/>
    <x v="1"/>
    <m/>
    <m/>
    <m/>
    <m/>
    <m/>
    <m/>
    <m/>
    <m/>
    <m/>
    <m/>
    <m/>
    <m/>
    <m/>
    <m/>
    <m/>
    <s v="{cfd35a1e-e036-4db1-b07f-d04c6dd46a84}"/>
    <d v="2021-04-20T16:20:29"/>
    <s v="ccber_user"/>
    <d v="2021-04-20T16:20:29"/>
    <s v="ccber_user"/>
  </r>
  <r>
    <n v="167"/>
    <d v="2021-04-20T00:00:00"/>
    <d v="2021-04-20T09:52:35"/>
    <x v="17"/>
    <n v="1"/>
    <x v="0"/>
    <s v="Fence"/>
    <m/>
    <m/>
    <m/>
    <m/>
    <x v="1"/>
    <m/>
    <m/>
    <m/>
    <m/>
    <m/>
    <m/>
    <m/>
    <m/>
    <m/>
    <m/>
    <m/>
    <m/>
    <m/>
    <m/>
    <m/>
    <s v="{cc2af69e-8436-4edf-8a90-9e36c8d011e2}"/>
    <d v="2021-04-20T16:52:35"/>
    <s v="ccber_user"/>
    <d v="2021-04-20T16:52:35"/>
    <s v="ccber_user"/>
  </r>
  <r>
    <n v="93"/>
    <d v="2021-04-20T00:00:00"/>
    <d v="2021-04-20T07:25:12"/>
    <x v="18"/>
    <n v="1"/>
    <x v="0"/>
    <s v="Bare ground"/>
    <m/>
    <m/>
    <m/>
    <m/>
    <x v="1"/>
    <m/>
    <m/>
    <m/>
    <m/>
    <m/>
    <m/>
    <m/>
    <m/>
    <m/>
    <m/>
    <m/>
    <m/>
    <m/>
    <m/>
    <m/>
    <s v="{3f3fdff8-c4a4-49ab-8e41-52b5e3fef22d}"/>
    <d v="2021-04-20T14:25:12"/>
    <s v="ccber_user"/>
    <d v="2021-04-20T14:25:12"/>
    <s v="ccber_user"/>
  </r>
  <r>
    <n v="19"/>
    <d v="2021-04-20T00:00:00"/>
    <d v="2021-04-20T07:42:48"/>
    <x v="18"/>
    <n v="1"/>
    <x v="0"/>
    <s v="Mud"/>
    <m/>
    <m/>
    <m/>
    <m/>
    <x v="0"/>
    <m/>
    <m/>
    <m/>
    <m/>
    <m/>
    <m/>
    <m/>
    <m/>
    <m/>
    <m/>
    <m/>
    <m/>
    <m/>
    <m/>
    <m/>
    <s v="{05fb8d65-1a1b-4e93-b653-8275b283eb7e}"/>
    <d v="2021-04-20T14:42:48"/>
    <s v="ccber_user"/>
    <d v="2021-04-20T14:42:48"/>
    <s v="ccber_user"/>
  </r>
  <r>
    <n v="80"/>
    <d v="2021-04-20T00:00:00"/>
    <d v="2021-04-20T09:41:14"/>
    <x v="19"/>
    <n v="1"/>
    <x v="0"/>
    <s v="Water - Floating"/>
    <m/>
    <m/>
    <s v="Eurasian wigeon"/>
    <m/>
    <x v="0"/>
    <m/>
    <m/>
    <m/>
    <m/>
    <m/>
    <m/>
    <m/>
    <m/>
    <m/>
    <m/>
    <m/>
    <m/>
    <m/>
    <m/>
    <m/>
    <s v="{28bceaa1-e5f1-4670-9cc4-650e5d3bc6c7}"/>
    <d v="2021-04-20T16:41:14"/>
    <s v="ccber_user"/>
    <d v="2021-04-20T16:41:14"/>
    <s v="ccber_user"/>
  </r>
  <r>
    <n v="146"/>
    <d v="2021-04-20T00:00:00"/>
    <d v="2021-04-20T09:16:14"/>
    <x v="20"/>
    <n v="7"/>
    <x v="0"/>
    <s v="Bare ground"/>
    <m/>
    <m/>
    <s v="Count revised from 5 to 7 after survey review by Mark H."/>
    <m/>
    <x v="1"/>
    <m/>
    <m/>
    <m/>
    <m/>
    <m/>
    <m/>
    <m/>
    <m/>
    <m/>
    <m/>
    <m/>
    <m/>
    <m/>
    <m/>
    <m/>
    <s v="{0939fc36-450e-4335-b7cf-8d357033e9e1}"/>
    <d v="2021-04-20T16:16:14"/>
    <s v="ccber_user"/>
    <d v="2021-04-20T16:16:14"/>
    <s v="ccber_user"/>
  </r>
  <r>
    <n v="9"/>
    <d v="2021-04-20T00:00:00"/>
    <d v="2021-04-20T07:33:19"/>
    <x v="21"/>
    <n v="7"/>
    <x v="0"/>
    <s v="Water - Floating"/>
    <m/>
    <m/>
    <m/>
    <m/>
    <x v="0"/>
    <m/>
    <m/>
    <m/>
    <m/>
    <m/>
    <m/>
    <m/>
    <m/>
    <m/>
    <m/>
    <m/>
    <m/>
    <m/>
    <m/>
    <m/>
    <s v="{200a7dc5-a7e2-471b-831b-e1805bb65b1c}"/>
    <d v="2021-04-20T14:33:19"/>
    <s v="ccber_user"/>
    <d v="2021-04-20T14:33:19"/>
    <s v="ccber_user"/>
  </r>
  <r>
    <n v="18"/>
    <d v="2021-04-20T00:00:00"/>
    <d v="2021-04-20T07:42:33"/>
    <x v="21"/>
    <n v="2"/>
    <x v="0"/>
    <s v="Water - Floating"/>
    <m/>
    <m/>
    <m/>
    <m/>
    <x v="0"/>
    <m/>
    <m/>
    <m/>
    <m/>
    <m/>
    <m/>
    <m/>
    <m/>
    <m/>
    <m/>
    <m/>
    <m/>
    <m/>
    <m/>
    <m/>
    <s v="{4346d81c-5470-48e2-ba65-50c2ef802997}"/>
    <d v="2021-04-20T14:42:33"/>
    <s v="ccber_user"/>
    <d v="2021-04-20T14:42:33"/>
    <s v="ccber_user"/>
  </r>
  <r>
    <n v="119"/>
    <d v="2021-04-20T00:00:00"/>
    <d v="2021-04-20T08:44:55"/>
    <x v="21"/>
    <n v="3"/>
    <x v="1"/>
    <s v="Mud"/>
    <m/>
    <m/>
    <m/>
    <m/>
    <x v="1"/>
    <m/>
    <m/>
    <m/>
    <m/>
    <m/>
    <m/>
    <m/>
    <m/>
    <m/>
    <m/>
    <m/>
    <m/>
    <m/>
    <m/>
    <m/>
    <s v="{f191fc9a-1004-404c-811f-ae053cfd24f4}"/>
    <d v="2021-04-20T15:44:55"/>
    <s v="ccber_user"/>
    <d v="2021-04-20T15:44:55"/>
    <s v="ccber_user"/>
  </r>
  <r>
    <n v="68"/>
    <d v="2021-04-20T00:00:00"/>
    <d v="2021-04-20T08:47:48"/>
    <x v="21"/>
    <n v="2"/>
    <x v="0"/>
    <s v="Mud"/>
    <m/>
    <m/>
    <m/>
    <m/>
    <x v="0"/>
    <m/>
    <m/>
    <m/>
    <m/>
    <m/>
    <m/>
    <m/>
    <m/>
    <m/>
    <m/>
    <m/>
    <m/>
    <m/>
    <m/>
    <m/>
    <s v="{671bbea3-8492-4185-9132-b4f7f472c957}"/>
    <d v="2021-04-20T15:47:48"/>
    <s v="ccber_user"/>
    <d v="2021-04-20T15:47:48"/>
    <s v="ccber_user"/>
  </r>
  <r>
    <n v="138"/>
    <d v="2021-04-20T00:00:00"/>
    <d v="2021-04-20T09:09:17"/>
    <x v="21"/>
    <n v="14"/>
    <x v="0"/>
    <s v="Air"/>
    <m/>
    <m/>
    <m/>
    <m/>
    <x v="1"/>
    <m/>
    <m/>
    <m/>
    <m/>
    <m/>
    <m/>
    <m/>
    <m/>
    <m/>
    <m/>
    <m/>
    <m/>
    <m/>
    <m/>
    <m/>
    <s v="{bd799cc3-185b-4e41-9093-d2435d522fe1}"/>
    <d v="2021-04-20T16:09:17"/>
    <s v="ccber_user"/>
    <d v="2021-04-20T16:09:17"/>
    <s v="ccber_user"/>
  </r>
  <r>
    <n v="86"/>
    <d v="2021-04-20T00:00:00"/>
    <d v="2021-04-20T07:10:50"/>
    <x v="22"/>
    <n v="1"/>
    <x v="0"/>
    <s v="Water - Wading"/>
    <m/>
    <m/>
    <m/>
    <n v="5.5"/>
    <x v="1"/>
    <s v="712"/>
    <m/>
    <n v="58"/>
    <n v="0"/>
    <m/>
    <m/>
    <m/>
    <m/>
    <m/>
    <m/>
    <m/>
    <m/>
    <m/>
    <m/>
    <m/>
    <s v="{5ccf09cd-e32b-4920-b989-2fcbb34be77b}"/>
    <d v="2021-04-20T14:10:50"/>
    <s v="ccber_user"/>
    <d v="2021-04-20T14:10:50"/>
    <s v="ccber_user"/>
  </r>
  <r>
    <n v="21"/>
    <d v="2021-04-20T00:00:00"/>
    <d v="2021-04-20T07:44:56"/>
    <x v="22"/>
    <n v="1"/>
    <x v="0"/>
    <s v="Vegetation - Herbaceous"/>
    <m/>
    <m/>
    <m/>
    <m/>
    <x v="0"/>
    <m/>
    <m/>
    <m/>
    <m/>
    <m/>
    <m/>
    <m/>
    <m/>
    <m/>
    <m/>
    <m/>
    <m/>
    <m/>
    <m/>
    <m/>
    <s v="{7484c369-dfea-4667-946e-0d10c2ce5a59}"/>
    <d v="2021-04-20T14:44:56"/>
    <s v="ccber_user"/>
    <d v="2021-04-20T14:44:56"/>
    <s v="ccber_user"/>
  </r>
  <r>
    <n v="56"/>
    <d v="2021-04-20T00:00:00"/>
    <d v="2021-04-20T08:32:39"/>
    <x v="22"/>
    <n v="1"/>
    <x v="0"/>
    <s v="Vegetation - Herbaceous"/>
    <m/>
    <m/>
    <m/>
    <m/>
    <x v="0"/>
    <m/>
    <m/>
    <m/>
    <m/>
    <m/>
    <m/>
    <m/>
    <m/>
    <m/>
    <m/>
    <m/>
    <m/>
    <m/>
    <m/>
    <m/>
    <s v="{76143e7a-bb65-455c-b37b-39bcacfbe706}"/>
    <d v="2021-04-20T15:32:39"/>
    <s v="ccber_user"/>
    <d v="2021-04-20T15:32:39"/>
    <s v="ccber_user"/>
  </r>
  <r>
    <n v="63"/>
    <d v="2021-04-20T00:00:00"/>
    <d v="2021-04-20T08:43:33"/>
    <x v="22"/>
    <n v="1"/>
    <x v="0"/>
    <s v="Water - Wading"/>
    <m/>
    <m/>
    <m/>
    <m/>
    <x v="0"/>
    <m/>
    <m/>
    <m/>
    <m/>
    <m/>
    <m/>
    <m/>
    <m/>
    <m/>
    <m/>
    <m/>
    <m/>
    <m/>
    <m/>
    <m/>
    <s v="{132ed66e-3d78-42d2-af6a-464b025da24f}"/>
    <d v="2021-04-20T15:43:33"/>
    <s v="ccber_user"/>
    <d v="2021-04-20T15:43:33"/>
    <s v="ccber_user"/>
  </r>
  <r>
    <n v="15"/>
    <d v="2021-04-20T00:00:00"/>
    <d v="2021-04-20T07:36:46"/>
    <x v="23"/>
    <n v="1"/>
    <x v="0"/>
    <s v="Mud"/>
    <m/>
    <m/>
    <m/>
    <m/>
    <x v="0"/>
    <m/>
    <m/>
    <m/>
    <m/>
    <m/>
    <m/>
    <m/>
    <m/>
    <m/>
    <m/>
    <m/>
    <m/>
    <m/>
    <m/>
    <m/>
    <s v="{ae1daa0a-347a-4968-8a27-a4e2bd0a5efa}"/>
    <d v="2021-04-20T14:36:46"/>
    <s v="ccber_user"/>
    <d v="2021-04-20T14:36:46"/>
    <s v="ccber_user"/>
  </r>
  <r>
    <n v="48"/>
    <d v="2021-04-20T00:00:00"/>
    <d v="2021-04-20T08:28:02"/>
    <x v="23"/>
    <n v="1"/>
    <x v="0"/>
    <s v="Mud"/>
    <m/>
    <m/>
    <m/>
    <m/>
    <x v="0"/>
    <m/>
    <m/>
    <m/>
    <m/>
    <m/>
    <m/>
    <m/>
    <m/>
    <m/>
    <m/>
    <m/>
    <m/>
    <m/>
    <m/>
    <m/>
    <s v="{e8b59864-1bf1-4274-8029-524ad72708d2}"/>
    <d v="2021-04-20T15:28:02"/>
    <s v="ccber_user"/>
    <d v="2021-04-20T15:28:02"/>
    <s v="ccber_user"/>
  </r>
  <r>
    <n v="123"/>
    <d v="2021-04-20T00:00:00"/>
    <d v="2021-04-20T08:52:02"/>
    <x v="24"/>
    <n v="1"/>
    <x v="0"/>
    <s v="Air"/>
    <m/>
    <m/>
    <m/>
    <m/>
    <x v="1"/>
    <m/>
    <m/>
    <m/>
    <m/>
    <m/>
    <m/>
    <m/>
    <m/>
    <m/>
    <m/>
    <m/>
    <m/>
    <m/>
    <m/>
    <m/>
    <s v="{9c69ad42-0ba8-44aa-9b2f-98e3e6c7068b}"/>
    <d v="2021-04-20T15:52:02"/>
    <s v="ccber_user"/>
    <d v="2021-04-20T15:52:02"/>
    <s v="ccber_user"/>
  </r>
  <r>
    <n v="45"/>
    <d v="2021-04-20T00:00:00"/>
    <d v="2021-04-20T08:20:41"/>
    <x v="25"/>
    <n v="1"/>
    <x v="0"/>
    <s v="Vegetation - Tree"/>
    <m/>
    <m/>
    <m/>
    <m/>
    <x v="0"/>
    <m/>
    <m/>
    <m/>
    <m/>
    <m/>
    <m/>
    <m/>
    <m/>
    <m/>
    <m/>
    <m/>
    <m/>
    <m/>
    <m/>
    <m/>
    <s v="{1f232291-d957-40a9-9c03-311a511edd6e}"/>
    <d v="2021-04-20T15:20:41"/>
    <s v="ccber_user"/>
    <d v="2021-04-20T15:20:41"/>
    <s v="ccber_user"/>
  </r>
  <r>
    <n v="92"/>
    <d v="2021-04-20T00:00:00"/>
    <d v="2021-04-20T07:23:29"/>
    <x v="26"/>
    <n v="2"/>
    <x v="0"/>
    <s v="Fence"/>
    <m/>
    <m/>
    <m/>
    <m/>
    <x v="1"/>
    <m/>
    <m/>
    <m/>
    <m/>
    <m/>
    <m/>
    <m/>
    <m/>
    <m/>
    <m/>
    <m/>
    <m/>
    <m/>
    <m/>
    <m/>
    <s v="{ca4c4c2b-7577-4c12-ba57-a9e231775584}"/>
    <d v="2021-04-20T14:23:29"/>
    <s v="ccber_user"/>
    <d v="2021-04-20T14:23:29"/>
    <s v="ccber_user"/>
  </r>
  <r>
    <n v="4"/>
    <d v="2021-04-20T00:00:00"/>
    <d v="2021-04-20T07:25:06"/>
    <x v="26"/>
    <n v="4"/>
    <x v="0"/>
    <s v="Vegetation - Shrub"/>
    <m/>
    <m/>
    <m/>
    <m/>
    <x v="0"/>
    <m/>
    <m/>
    <m/>
    <m/>
    <m/>
    <m/>
    <m/>
    <m/>
    <m/>
    <m/>
    <m/>
    <m/>
    <m/>
    <m/>
    <m/>
    <s v="{78afaa1f-188c-46b9-9d56-507550e9ecc7}"/>
    <d v="2021-04-20T14:25:06"/>
    <s v="ccber_user"/>
    <d v="2021-04-20T14:25:06"/>
    <s v="ccber_user"/>
  </r>
  <r>
    <n v="16"/>
    <d v="2021-04-20T00:00:00"/>
    <d v="2021-04-20T07:38:16"/>
    <x v="26"/>
    <n v="3"/>
    <x v="0"/>
    <s v="Vegetation - Shrub"/>
    <m/>
    <m/>
    <m/>
    <m/>
    <x v="0"/>
    <m/>
    <m/>
    <m/>
    <m/>
    <m/>
    <m/>
    <m/>
    <m/>
    <m/>
    <m/>
    <m/>
    <m/>
    <m/>
    <m/>
    <m/>
    <s v="{762f889e-24c9-4647-823b-2a6149aff514}"/>
    <d v="2021-04-20T14:38:16"/>
    <s v="ccber_user"/>
    <d v="2021-04-20T14:38:16"/>
    <s v="ccber_user"/>
  </r>
  <r>
    <n v="24"/>
    <d v="2021-04-20T00:00:00"/>
    <d v="2021-04-20T07:49:26"/>
    <x v="26"/>
    <n v="6"/>
    <x v="0"/>
    <s v="Vegetation - Herbaceous"/>
    <m/>
    <m/>
    <m/>
    <m/>
    <x v="0"/>
    <m/>
    <m/>
    <m/>
    <m/>
    <m/>
    <m/>
    <m/>
    <m/>
    <m/>
    <m/>
    <m/>
    <m/>
    <m/>
    <m/>
    <m/>
    <s v="{e050ecb5-9c15-4400-9adb-c84f4eccb43f}"/>
    <d v="2021-04-20T14:49:26"/>
    <s v="ccber_user"/>
    <d v="2021-04-20T14:49:26"/>
    <s v="ccber_user"/>
  </r>
  <r>
    <n v="98"/>
    <d v="2021-04-20T00:00:00"/>
    <d v="2021-04-20T08:00:01"/>
    <x v="26"/>
    <n v="1"/>
    <x v="0"/>
    <s v="Vegetation - Tree"/>
    <m/>
    <m/>
    <m/>
    <m/>
    <x v="1"/>
    <m/>
    <m/>
    <m/>
    <m/>
    <m/>
    <m/>
    <m/>
    <m/>
    <m/>
    <m/>
    <m/>
    <m/>
    <m/>
    <m/>
    <m/>
    <s v="{c101355d-6b78-404b-8f0d-9d9298bb96d8}"/>
    <d v="2021-04-20T15:00:01"/>
    <s v="ccber_user"/>
    <d v="2021-04-20T15:00:01"/>
    <s v="ccber_user"/>
  </r>
  <r>
    <n v="32"/>
    <d v="2021-04-20T00:00:00"/>
    <d v="2021-04-20T08:00:33"/>
    <x v="26"/>
    <n v="6"/>
    <x v="0"/>
    <s v="Vegetation - Tree"/>
    <m/>
    <s v="Feeding/Begging"/>
    <m/>
    <m/>
    <x v="0"/>
    <m/>
    <m/>
    <m/>
    <m/>
    <m/>
    <m/>
    <m/>
    <m/>
    <m/>
    <m/>
    <m/>
    <m/>
    <m/>
    <m/>
    <m/>
    <s v="{5dd5cd46-4cc4-4d81-b143-ca678428bb59}"/>
    <d v="2021-04-20T15:00:33"/>
    <s v="ccber_user"/>
    <d v="2021-04-20T15:02:57"/>
    <s v="ccber_user"/>
  </r>
  <r>
    <n v="111"/>
    <d v="2021-04-20T00:00:00"/>
    <d v="2021-04-20T08:23:00"/>
    <x v="26"/>
    <n v="2"/>
    <x v="0"/>
    <s v="Vegetation - Tree"/>
    <m/>
    <m/>
    <m/>
    <m/>
    <x v="1"/>
    <m/>
    <m/>
    <m/>
    <m/>
    <m/>
    <m/>
    <m/>
    <m/>
    <m/>
    <m/>
    <m/>
    <m/>
    <m/>
    <m/>
    <m/>
    <s v="{c7815385-3317-4cc3-8111-070e4b97f9ff}"/>
    <d v="2021-04-20T15:23:00"/>
    <s v="ccber_user"/>
    <d v="2021-04-20T15:23:00"/>
    <s v="ccber_user"/>
  </r>
  <r>
    <n v="47"/>
    <d v="2021-04-20T00:00:00"/>
    <d v="2021-04-20T08:27:07"/>
    <x v="26"/>
    <n v="8"/>
    <x v="0"/>
    <s v="Vegetation - Shrub"/>
    <m/>
    <m/>
    <m/>
    <m/>
    <x v="0"/>
    <m/>
    <m/>
    <m/>
    <m/>
    <m/>
    <m/>
    <m/>
    <m/>
    <m/>
    <m/>
    <m/>
    <m/>
    <m/>
    <m/>
    <m/>
    <s v="{3667994e-4a8d-4db6-8666-6079901dbb82}"/>
    <d v="2021-04-20T15:27:07"/>
    <s v="ccber_user"/>
    <d v="2021-04-20T15:27:21"/>
    <s v="ccber_user"/>
  </r>
  <r>
    <n v="57"/>
    <d v="2021-04-20T00:00:00"/>
    <d v="2021-04-20T08:32:58"/>
    <x v="26"/>
    <n v="4"/>
    <x v="0"/>
    <s v="Vegetation - Shrub"/>
    <m/>
    <m/>
    <m/>
    <m/>
    <x v="0"/>
    <m/>
    <m/>
    <m/>
    <m/>
    <m/>
    <m/>
    <m/>
    <m/>
    <m/>
    <m/>
    <m/>
    <m/>
    <m/>
    <m/>
    <m/>
    <s v="{64527072-da74-49f1-a325-956246f8d4d5}"/>
    <d v="2021-04-20T15:32:58"/>
    <s v="ccber_user"/>
    <d v="2021-04-20T15:33:05"/>
    <s v="ccber_user"/>
  </r>
  <r>
    <n v="62"/>
    <d v="2021-04-20T00:00:00"/>
    <d v="2021-04-20T08:42:56"/>
    <x v="26"/>
    <n v="4"/>
    <x v="0"/>
    <s v="Vegetation - Herbaceous"/>
    <m/>
    <m/>
    <m/>
    <m/>
    <x v="0"/>
    <m/>
    <m/>
    <m/>
    <m/>
    <m/>
    <m/>
    <m/>
    <m/>
    <m/>
    <m/>
    <m/>
    <m/>
    <m/>
    <m/>
    <m/>
    <s v="{77cc53aa-4086-4226-9dfc-a49893f1c69b}"/>
    <d v="2021-04-20T15:42:56"/>
    <s v="ccber_user"/>
    <d v="2021-04-20T15:42:56"/>
    <s v="ccber_user"/>
  </r>
  <r>
    <n v="125"/>
    <d v="2021-04-20T00:00:00"/>
    <d v="2021-04-20T08:52:35"/>
    <x v="26"/>
    <n v="1"/>
    <x v="0"/>
    <s v="Vegetation - Shrub"/>
    <m/>
    <m/>
    <m/>
    <m/>
    <x v="1"/>
    <m/>
    <m/>
    <m/>
    <m/>
    <m/>
    <m/>
    <m/>
    <m/>
    <m/>
    <m/>
    <m/>
    <m/>
    <m/>
    <m/>
    <m/>
    <s v="{ad5d4ae4-a4a2-4d27-8c1d-d7195402465f}"/>
    <d v="2021-04-20T15:52:35"/>
    <s v="ccber_user"/>
    <d v="2021-04-20T15:52:35"/>
    <s v="ccber_user"/>
  </r>
  <r>
    <n v="69"/>
    <d v="2021-04-20T00:00:00"/>
    <d v="2021-04-20T08:53:29"/>
    <x v="26"/>
    <n v="6"/>
    <x v="0"/>
    <s v="Vegetation - Shrub"/>
    <m/>
    <m/>
    <m/>
    <m/>
    <x v="0"/>
    <m/>
    <m/>
    <m/>
    <m/>
    <m/>
    <m/>
    <m/>
    <m/>
    <m/>
    <m/>
    <m/>
    <m/>
    <m/>
    <m/>
    <m/>
    <s v="{d4e7e0b8-7b99-4f2b-89c0-a4d10d6309ca}"/>
    <d v="2021-04-20T15:53:29"/>
    <s v="ccber_user"/>
    <d v="2021-04-20T15:53:29"/>
    <s v="ccber_user"/>
  </r>
  <r>
    <n v="70"/>
    <d v="2021-04-20T00:00:00"/>
    <d v="2021-04-20T08:53:50"/>
    <x v="26"/>
    <n v="2"/>
    <x v="0"/>
    <s v="Vegetation - Tree"/>
    <m/>
    <m/>
    <m/>
    <m/>
    <x v="0"/>
    <m/>
    <m/>
    <m/>
    <m/>
    <m/>
    <m/>
    <m/>
    <m/>
    <m/>
    <m/>
    <m/>
    <m/>
    <m/>
    <m/>
    <m/>
    <s v="{f3050471-d259-45aa-9b83-28e2dffa9bb7}"/>
    <d v="2021-04-20T15:53:50"/>
    <s v="ccber_user"/>
    <d v="2021-04-20T15:55:33"/>
    <s v="ccber_user"/>
  </r>
  <r>
    <n v="147"/>
    <d v="2021-04-20T00:00:00"/>
    <d v="2021-04-20T09:18:56"/>
    <x v="26"/>
    <n v="1"/>
    <x v="0"/>
    <s v="Air"/>
    <m/>
    <m/>
    <m/>
    <m/>
    <x v="1"/>
    <m/>
    <m/>
    <m/>
    <m/>
    <m/>
    <m/>
    <m/>
    <m/>
    <m/>
    <m/>
    <m/>
    <m/>
    <m/>
    <m/>
    <m/>
    <s v="{9a85c47c-4704-4f2b-9d6f-5a653ec633bb}"/>
    <d v="2021-04-20T16:18:56"/>
    <s v="ccber_user"/>
    <d v="2021-04-20T16:18:56"/>
    <s v="ccber_user"/>
  </r>
  <r>
    <n v="163"/>
    <d v="2021-04-20T00:00:00"/>
    <d v="2021-04-20T09:39:54"/>
    <x v="26"/>
    <n v="4"/>
    <x v="0"/>
    <s v="Vegetation - Shrub"/>
    <m/>
    <m/>
    <m/>
    <m/>
    <x v="1"/>
    <m/>
    <m/>
    <m/>
    <m/>
    <m/>
    <m/>
    <m/>
    <m/>
    <m/>
    <m/>
    <m/>
    <m/>
    <m/>
    <m/>
    <m/>
    <s v="{694d0b79-55c8-41a3-9a1b-230d073b1ee2}"/>
    <d v="2021-04-20T16:39:54"/>
    <s v="ccber_user"/>
    <d v="2021-04-20T16:40:15"/>
    <s v="ccber_user"/>
  </r>
  <r>
    <m/>
    <d v="2021-04-20T00:00:00"/>
    <m/>
    <x v="26"/>
    <n v="5"/>
    <x v="0"/>
    <m/>
    <m/>
    <m/>
    <s v="Observation added following survey review by Mark H. Spatial data not available."/>
    <m/>
    <x v="1"/>
    <m/>
    <m/>
    <m/>
    <m/>
    <m/>
    <m/>
    <m/>
    <m/>
    <m/>
    <m/>
    <m/>
    <m/>
    <m/>
    <m/>
    <m/>
    <m/>
    <m/>
    <m/>
    <m/>
    <m/>
  </r>
  <r>
    <n v="127"/>
    <d v="2021-04-20T00:00:00"/>
    <d v="2021-04-20T08:56:21"/>
    <x v="27"/>
    <n v="2"/>
    <x v="0"/>
    <s v="Fence"/>
    <m/>
    <m/>
    <m/>
    <m/>
    <x v="1"/>
    <m/>
    <m/>
    <m/>
    <m/>
    <m/>
    <m/>
    <m/>
    <m/>
    <m/>
    <m/>
    <m/>
    <m/>
    <m/>
    <m/>
    <m/>
    <s v="{0aa4bd2b-3403-4234-8228-e22cfd200ee6}"/>
    <d v="2021-04-20T15:56:21"/>
    <s v="ccber_user"/>
    <d v="2021-04-20T15:56:21"/>
    <s v="ccber_user"/>
  </r>
  <r>
    <n v="130"/>
    <d v="2021-04-20T00:00:00"/>
    <d v="2021-04-20T08:57:42"/>
    <x v="27"/>
    <n v="1"/>
    <x v="0"/>
    <s v="Fence"/>
    <m/>
    <m/>
    <m/>
    <m/>
    <x v="1"/>
    <m/>
    <m/>
    <m/>
    <m/>
    <m/>
    <m/>
    <m/>
    <m/>
    <m/>
    <m/>
    <m/>
    <m/>
    <m/>
    <m/>
    <m/>
    <s v="{24089473-999a-41b2-bac7-b2453de3327e}"/>
    <d v="2021-04-20T15:57:42"/>
    <s v="ccber_user"/>
    <d v="2021-04-20T15:57:42"/>
    <s v="ccber_user"/>
  </r>
  <r>
    <n v="79"/>
    <d v="2021-04-20T00:00:00"/>
    <d v="2021-04-20T09:30:31"/>
    <x v="27"/>
    <n v="1"/>
    <x v="0"/>
    <s v="Vegetation - Herbaceous"/>
    <m/>
    <m/>
    <m/>
    <m/>
    <x v="0"/>
    <m/>
    <m/>
    <m/>
    <m/>
    <m/>
    <m/>
    <m/>
    <m/>
    <m/>
    <m/>
    <m/>
    <m/>
    <m/>
    <m/>
    <m/>
    <s v="{e840e7de-edaf-463f-b5e8-12f5ca4058da}"/>
    <d v="2021-04-20T16:30:31"/>
    <s v="ccber_user"/>
    <d v="2021-04-20T16:30:31"/>
    <s v="ccber_user"/>
  </r>
  <r>
    <n v="84"/>
    <d v="2021-04-20T00:00:00"/>
    <d v="2021-04-20T09:44:28"/>
    <x v="28"/>
    <n v="1"/>
    <x v="0"/>
    <s v="Vegetation - Shrub"/>
    <m/>
    <m/>
    <m/>
    <m/>
    <x v="0"/>
    <m/>
    <m/>
    <m/>
    <m/>
    <m/>
    <m/>
    <m/>
    <m/>
    <m/>
    <m/>
    <m/>
    <m/>
    <m/>
    <m/>
    <m/>
    <s v="{b4d2490d-734e-423d-bd2f-700dcfd10c3b}"/>
    <d v="2021-04-20T16:44:28"/>
    <s v="ccber_user"/>
    <d v="2021-04-20T16:44:28"/>
    <s v="ccber_user"/>
  </r>
  <r>
    <n v="108"/>
    <d v="2021-04-20T00:00:00"/>
    <d v="2021-04-20T08:16:10"/>
    <x v="29"/>
    <n v="1"/>
    <x v="0"/>
    <s v="Bare ground"/>
    <m/>
    <m/>
    <m/>
    <m/>
    <x v="1"/>
    <m/>
    <m/>
    <m/>
    <m/>
    <m/>
    <m/>
    <m/>
    <m/>
    <m/>
    <m/>
    <m/>
    <m/>
    <m/>
    <m/>
    <m/>
    <s v="{83a8282f-c232-4530-83b4-2efd7d783741}"/>
    <d v="2021-04-20T15:16:10"/>
    <s v="ccber_user"/>
    <d v="2021-04-20T15:16:10"/>
    <s v="ccber_user"/>
  </r>
  <r>
    <n v="124"/>
    <d v="2021-04-20T00:00:00"/>
    <d v="2021-04-20T08:52:15"/>
    <x v="29"/>
    <n v="1"/>
    <x v="0"/>
    <s v="Bare ground"/>
    <m/>
    <m/>
    <m/>
    <m/>
    <x v="1"/>
    <m/>
    <m/>
    <m/>
    <m/>
    <m/>
    <m/>
    <m/>
    <m/>
    <m/>
    <m/>
    <m/>
    <m/>
    <m/>
    <m/>
    <m/>
    <s v="{92de4d99-9185-4799-8c14-5a49de1a5544}"/>
    <d v="2021-04-20T15:52:15"/>
    <s v="ccber_user"/>
    <d v="2021-04-20T15:52:15"/>
    <s v="ccber_user"/>
  </r>
  <r>
    <n v="145"/>
    <d v="2021-04-20T00:00:00"/>
    <d v="2021-04-20T09:15:50"/>
    <x v="29"/>
    <n v="1"/>
    <x v="0"/>
    <s v="Mud"/>
    <m/>
    <m/>
    <m/>
    <m/>
    <x v="1"/>
    <m/>
    <m/>
    <m/>
    <m/>
    <m/>
    <m/>
    <m/>
    <m/>
    <m/>
    <m/>
    <m/>
    <m/>
    <m/>
    <m/>
    <m/>
    <s v="{056bc4ab-8ff4-440d-a49a-9959350a6d18}"/>
    <d v="2021-04-20T16:15:50"/>
    <s v="ccber_user"/>
    <d v="2021-04-20T16:15:50"/>
    <s v="ccber_user"/>
  </r>
  <r>
    <n v="104"/>
    <d v="2021-04-20T00:00:00"/>
    <d v="2021-04-20T08:08:59"/>
    <x v="30"/>
    <n v="1"/>
    <x v="0"/>
    <s v="Water - Wading"/>
    <m/>
    <m/>
    <m/>
    <m/>
    <x v="1"/>
    <m/>
    <m/>
    <m/>
    <m/>
    <m/>
    <m/>
    <m/>
    <m/>
    <m/>
    <m/>
    <m/>
    <m/>
    <m/>
    <m/>
    <m/>
    <s v="{4a16b87e-8acf-424d-8047-4bbec8bfc04e}"/>
    <d v="2021-04-20T15:08:59"/>
    <s v="ccber_user"/>
    <d v="2021-04-20T15:13:32"/>
    <s v="ccber_user"/>
  </r>
  <r>
    <n v="20"/>
    <d v="2021-04-20T00:00:00"/>
    <d v="2021-04-20T07:44:40"/>
    <x v="31"/>
    <n v="1"/>
    <x v="0"/>
    <s v="Vegetation - Herbaceous"/>
    <m/>
    <m/>
    <m/>
    <m/>
    <x v="0"/>
    <m/>
    <m/>
    <m/>
    <m/>
    <m/>
    <m/>
    <m/>
    <m/>
    <m/>
    <m/>
    <m/>
    <m/>
    <m/>
    <m/>
    <m/>
    <s v="{4286d818-1d83-473b-83cd-15687e50f5ad}"/>
    <d v="2021-04-20T14:44:40"/>
    <s v="ccber_user"/>
    <d v="2021-04-20T14:44:40"/>
    <s v="ccber_user"/>
  </r>
  <r>
    <n v="34"/>
    <d v="2021-04-20T00:00:00"/>
    <d v="2021-04-20T08:03:15"/>
    <x v="31"/>
    <n v="1"/>
    <x v="0"/>
    <s v="Vegetation - Tree"/>
    <m/>
    <m/>
    <m/>
    <m/>
    <x v="0"/>
    <m/>
    <m/>
    <m/>
    <m/>
    <m/>
    <m/>
    <m/>
    <m/>
    <m/>
    <m/>
    <m/>
    <m/>
    <m/>
    <m/>
    <m/>
    <s v="{04f03cae-0210-4338-836e-3731763e08f9}"/>
    <d v="2021-04-20T15:03:15"/>
    <s v="ccber_user"/>
    <d v="2021-04-20T15:03:15"/>
    <s v="ccber_user"/>
  </r>
  <r>
    <n v="55"/>
    <d v="2021-04-20T00:00:00"/>
    <d v="2021-04-20T08:32:21"/>
    <x v="31"/>
    <n v="2"/>
    <x v="0"/>
    <s v="Vegetation - Herbaceous"/>
    <m/>
    <m/>
    <m/>
    <m/>
    <x v="0"/>
    <m/>
    <m/>
    <m/>
    <m/>
    <m/>
    <m/>
    <m/>
    <m/>
    <m/>
    <m/>
    <m/>
    <m/>
    <m/>
    <m/>
    <m/>
    <s v="{a8af9a94-59c0-49fc-98a4-e23c867a33fc}"/>
    <d v="2021-04-20T15:32:21"/>
    <s v="ccber_user"/>
    <d v="2021-04-20T15:32:21"/>
    <s v="ccber_user"/>
  </r>
  <r>
    <n v="58"/>
    <d v="2021-04-20T00:00:00"/>
    <d v="2021-04-20T08:34:56"/>
    <x v="31"/>
    <n v="1"/>
    <x v="0"/>
    <s v="Vegetation - Herbaceous"/>
    <m/>
    <m/>
    <m/>
    <m/>
    <x v="0"/>
    <m/>
    <m/>
    <m/>
    <m/>
    <m/>
    <m/>
    <m/>
    <m/>
    <m/>
    <m/>
    <m/>
    <m/>
    <m/>
    <m/>
    <m/>
    <s v="{5fe0573c-48b4-40e5-9e50-7b37004d39f1}"/>
    <d v="2021-04-20T15:34:56"/>
    <s v="ccber_user"/>
    <d v="2021-04-20T15:34:56"/>
    <s v="ccber_user"/>
  </r>
  <r>
    <n v="61"/>
    <d v="2021-04-20T00:00:00"/>
    <d v="2021-04-20T08:42:36"/>
    <x v="31"/>
    <n v="1"/>
    <x v="0"/>
    <s v="Vegetation - Tree"/>
    <m/>
    <m/>
    <m/>
    <m/>
    <x v="0"/>
    <m/>
    <m/>
    <m/>
    <m/>
    <m/>
    <m/>
    <m/>
    <m/>
    <m/>
    <m/>
    <m/>
    <m/>
    <m/>
    <m/>
    <m/>
    <s v="{125fae75-c73a-4e95-bcc8-861661ab409c}"/>
    <d v="2021-04-20T15:42:36"/>
    <s v="ccber_user"/>
    <d v="2021-04-20T15:42:36"/>
    <s v="ccber_user"/>
  </r>
  <r>
    <n v="161"/>
    <d v="2021-04-20T00:00:00"/>
    <d v="2021-04-20T09:38:07"/>
    <x v="31"/>
    <n v="2"/>
    <x v="0"/>
    <s v="Vegetation - Tree"/>
    <m/>
    <m/>
    <m/>
    <m/>
    <x v="1"/>
    <m/>
    <m/>
    <m/>
    <m/>
    <m/>
    <m/>
    <m/>
    <m/>
    <m/>
    <m/>
    <m/>
    <m/>
    <m/>
    <m/>
    <m/>
    <s v="{8a676909-7234-4b83-a872-188e3f925703}"/>
    <d v="2021-04-20T16:38:07"/>
    <s v="ccber_user"/>
    <d v="2021-04-20T16:38:07"/>
    <s v="ccber_user"/>
  </r>
  <r>
    <n v="162"/>
    <d v="2021-04-20T00:00:00"/>
    <d v="2021-04-20T09:39:39"/>
    <x v="31"/>
    <n v="1"/>
    <x v="0"/>
    <s v="Vegetation - Shrub"/>
    <m/>
    <m/>
    <m/>
    <m/>
    <x v="1"/>
    <m/>
    <m/>
    <m/>
    <m/>
    <m/>
    <m/>
    <m/>
    <m/>
    <m/>
    <m/>
    <m/>
    <m/>
    <m/>
    <m/>
    <m/>
    <s v="{a397bb13-09f5-4f55-95ab-47ce67708ac0}"/>
    <d v="2021-04-20T16:39:39"/>
    <s v="ccber_user"/>
    <d v="2021-04-20T16:39:39"/>
    <s v="ccber_user"/>
  </r>
  <r>
    <n v="169"/>
    <d v="2021-04-20T00:00:00"/>
    <d v="2021-04-20T09:53:54"/>
    <x v="31"/>
    <n v="2"/>
    <x v="0"/>
    <s v="Vegetation - Tree"/>
    <m/>
    <m/>
    <m/>
    <m/>
    <x v="1"/>
    <m/>
    <m/>
    <m/>
    <m/>
    <m/>
    <m/>
    <m/>
    <m/>
    <m/>
    <m/>
    <m/>
    <m/>
    <m/>
    <m/>
    <m/>
    <s v="{76f5b189-a93b-4248-aa0f-b6ac07fab0a7}"/>
    <d v="2021-04-20T16:53:54"/>
    <s v="ccber_user"/>
    <d v="2021-04-20T16:53:54"/>
    <s v="ccber_user"/>
  </r>
  <r>
    <n v="105"/>
    <d v="2021-04-20T00:00:00"/>
    <d v="2021-04-20T08:11:34"/>
    <x v="32"/>
    <n v="1"/>
    <x v="0"/>
    <s v="Water - Wading"/>
    <m/>
    <m/>
    <m/>
    <m/>
    <x v="1"/>
    <m/>
    <m/>
    <m/>
    <m/>
    <m/>
    <m/>
    <m/>
    <m/>
    <m/>
    <m/>
    <m/>
    <m/>
    <m/>
    <m/>
    <m/>
    <s v="{f42fb982-9475-4c62-9401-86dfa6e87260}"/>
    <d v="2021-04-20T15:11:34"/>
    <s v="ccber_user"/>
    <d v="2021-04-20T15:11:34"/>
    <s v="ccber_user"/>
  </r>
  <r>
    <n v="67"/>
    <d v="2021-04-20T00:00:00"/>
    <d v="2021-04-20T08:47:06"/>
    <x v="33"/>
    <n v="1"/>
    <x v="0"/>
    <s v="Mud"/>
    <m/>
    <m/>
    <m/>
    <m/>
    <x v="0"/>
    <m/>
    <m/>
    <m/>
    <m/>
    <m/>
    <m/>
    <m/>
    <m/>
    <m/>
    <m/>
    <m/>
    <m/>
    <m/>
    <m/>
    <m/>
    <s v="{b92c721a-257e-481c-99c3-e55fac078104}"/>
    <d v="2021-04-20T15:47:06"/>
    <s v="ccber_user"/>
    <d v="2021-04-20T15:47:06"/>
    <s v="ccber_user"/>
  </r>
  <r>
    <n v="144"/>
    <d v="2021-04-20T00:00:00"/>
    <d v="2021-04-20T09:15:39"/>
    <x v="33"/>
    <n v="2"/>
    <x v="0"/>
    <s v="Water - Floating"/>
    <m/>
    <m/>
    <m/>
    <m/>
    <x v="1"/>
    <m/>
    <m/>
    <m/>
    <m/>
    <m/>
    <m/>
    <m/>
    <m/>
    <m/>
    <m/>
    <m/>
    <m/>
    <m/>
    <m/>
    <m/>
    <s v="{05b57e78-820c-4fe0-890a-84809fb8a4e7}"/>
    <d v="2021-04-20T16:15:39"/>
    <s v="ccber_user"/>
    <d v="2021-04-20T16:15:39"/>
    <s v="ccber_user"/>
  </r>
  <r>
    <n v="158"/>
    <d v="2021-04-20T00:00:00"/>
    <d v="2021-04-20T09:29:19"/>
    <x v="33"/>
    <n v="2"/>
    <x v="0"/>
    <s v="Bare ground"/>
    <m/>
    <m/>
    <m/>
    <m/>
    <x v="1"/>
    <m/>
    <m/>
    <m/>
    <m/>
    <m/>
    <m/>
    <m/>
    <m/>
    <m/>
    <m/>
    <m/>
    <m/>
    <m/>
    <m/>
    <m/>
    <s v="{75f69b63-8a14-4b48-8da9-4952a5a3f0d2}"/>
    <d v="2021-04-20T16:29:19"/>
    <s v="ccber_user"/>
    <d v="2021-04-20T16:29:19"/>
    <s v="ccber_user"/>
  </r>
  <r>
    <n v="83"/>
    <d v="2021-04-20T00:00:00"/>
    <d v="2021-04-20T09:43:35"/>
    <x v="33"/>
    <n v="2"/>
    <x v="0"/>
    <s v="Water - Wading"/>
    <m/>
    <m/>
    <m/>
    <m/>
    <x v="0"/>
    <m/>
    <m/>
    <m/>
    <m/>
    <m/>
    <m/>
    <m/>
    <m/>
    <m/>
    <m/>
    <m/>
    <m/>
    <m/>
    <m/>
    <m/>
    <s v="{6dbcca00-e3e3-4900-88ad-5b67424f0ab3}"/>
    <d v="2021-04-20T16:43:35"/>
    <s v="ccber_user"/>
    <d v="2021-04-20T16:43:35"/>
    <s v="ccber_user"/>
  </r>
  <r>
    <n v="168"/>
    <d v="2021-04-20T00:00:00"/>
    <d v="2021-04-20T09:53:01"/>
    <x v="33"/>
    <n v="2"/>
    <x v="0"/>
    <m/>
    <m/>
    <m/>
    <m/>
    <m/>
    <x v="1"/>
    <m/>
    <m/>
    <m/>
    <m/>
    <m/>
    <m/>
    <m/>
    <m/>
    <m/>
    <m/>
    <m/>
    <m/>
    <m/>
    <m/>
    <m/>
    <s v="{6f477d04-ea87-4d68-9ded-3a2393d76cfa}"/>
    <d v="2021-04-20T16:53:01"/>
    <s v="ccber_user"/>
    <d v="2021-04-20T16:53:01"/>
    <s v="ccber_user"/>
  </r>
  <r>
    <n v="134"/>
    <d v="2021-04-20T00:00:00"/>
    <d v="2021-04-20T09:04:22"/>
    <x v="34"/>
    <n v="1"/>
    <x v="0"/>
    <s v="Vegetation - Herbaceous"/>
    <m/>
    <m/>
    <m/>
    <m/>
    <x v="1"/>
    <m/>
    <m/>
    <m/>
    <m/>
    <m/>
    <m/>
    <m/>
    <m/>
    <m/>
    <m/>
    <m/>
    <m/>
    <m/>
    <m/>
    <m/>
    <s v="{d636640a-a2c4-4da3-aefd-12848fd8759b}"/>
    <d v="2021-04-20T16:04:22"/>
    <s v="ccber_user"/>
    <d v="2021-04-20T16:04:22"/>
    <s v="ccber_user"/>
  </r>
  <r>
    <n v="100"/>
    <d v="2021-04-20T00:00:00"/>
    <d v="2021-04-20T08:02:36"/>
    <x v="35"/>
    <n v="1"/>
    <x v="0"/>
    <s v="Vegetation - Tree"/>
    <m/>
    <m/>
    <m/>
    <m/>
    <x v="1"/>
    <m/>
    <m/>
    <m/>
    <m/>
    <m/>
    <m/>
    <m/>
    <m/>
    <m/>
    <m/>
    <m/>
    <m/>
    <m/>
    <m/>
    <m/>
    <s v="{e7062bc8-11d2-4d4d-a4b9-c0741c240ace}"/>
    <d v="2021-04-20T15:02:36"/>
    <s v="ccber_user"/>
    <d v="2021-04-20T15:02:36"/>
    <s v="ccber_user"/>
  </r>
  <r>
    <n v="155"/>
    <d v="2021-04-20T00:00:00"/>
    <d v="2021-04-20T09:27:48"/>
    <x v="35"/>
    <n v="1"/>
    <x v="0"/>
    <s v="Vegetation - Tree"/>
    <m/>
    <m/>
    <m/>
    <m/>
    <x v="1"/>
    <m/>
    <m/>
    <m/>
    <m/>
    <m/>
    <m/>
    <m/>
    <m/>
    <m/>
    <m/>
    <m/>
    <m/>
    <m/>
    <m/>
    <m/>
    <s v="{6e4770e2-d4e2-4d8f-b4ae-a3202a087803}"/>
    <d v="2021-04-20T16:27:48"/>
    <s v="ccber_user"/>
    <d v="2021-04-20T16:27:48"/>
    <s v="ccber_user"/>
  </r>
  <r>
    <n v="39"/>
    <d v="2021-04-20T00:00:00"/>
    <d v="2021-04-20T08:12:22"/>
    <x v="36"/>
    <n v="1"/>
    <x v="0"/>
    <s v="Vegetation - Tree"/>
    <m/>
    <m/>
    <m/>
    <m/>
    <x v="0"/>
    <m/>
    <m/>
    <m/>
    <m/>
    <m/>
    <m/>
    <m/>
    <m/>
    <m/>
    <m/>
    <m/>
    <m/>
    <m/>
    <m/>
    <m/>
    <s v="{938d13e8-ad2e-4cd1-8553-64408fc6d5ba}"/>
    <d v="2021-04-20T15:12:22"/>
    <s v="ccber_user"/>
    <d v="2021-04-20T15:12:22"/>
    <s v="ccber_user"/>
  </r>
  <r>
    <n v="30"/>
    <d v="2021-04-20T00:00:00"/>
    <d v="2021-04-20T07:54:39"/>
    <x v="37"/>
    <n v="1"/>
    <x v="0"/>
    <s v="Vegetation - Shrub"/>
    <m/>
    <m/>
    <m/>
    <m/>
    <x v="0"/>
    <m/>
    <m/>
    <m/>
    <m/>
    <m/>
    <m/>
    <m/>
    <m/>
    <m/>
    <m/>
    <m/>
    <m/>
    <m/>
    <m/>
    <m/>
    <s v="{12791031-abd1-4123-8497-968bacf80dd2}"/>
    <d v="2021-04-20T14:54:39"/>
    <s v="ccber_user"/>
    <d v="2021-04-20T14:54:39"/>
    <s v="ccber_user"/>
  </r>
  <r>
    <n v="10"/>
    <d v="2021-04-20T00:00:00"/>
    <d v="2021-04-20T07:33:47"/>
    <x v="38"/>
    <n v="2"/>
    <x v="0"/>
    <s v="Water - Floating"/>
    <m/>
    <m/>
    <m/>
    <m/>
    <x v="0"/>
    <m/>
    <m/>
    <m/>
    <m/>
    <m/>
    <m/>
    <m/>
    <m/>
    <m/>
    <m/>
    <m/>
    <m/>
    <m/>
    <m/>
    <m/>
    <s v="{50dc542c-ea20-4eab-8f75-dfcea09e5f2b}"/>
    <d v="2021-04-20T14:33:47"/>
    <s v="ccber_user"/>
    <d v="2021-04-20T14:33:47"/>
    <s v="ccber_user"/>
  </r>
  <r>
    <n v="7"/>
    <d v="2021-04-20T00:00:00"/>
    <d v="2021-04-20T07:31:16"/>
    <x v="39"/>
    <n v="1"/>
    <x v="0"/>
    <s v="Vegetation - Tree"/>
    <m/>
    <m/>
    <m/>
    <m/>
    <x v="0"/>
    <m/>
    <m/>
    <m/>
    <m/>
    <m/>
    <m/>
    <m/>
    <m/>
    <m/>
    <m/>
    <m/>
    <m/>
    <m/>
    <m/>
    <m/>
    <s v="{324a8f06-30e8-4692-be11-4e62e46bec7c}"/>
    <d v="2021-04-20T14:31:16"/>
    <s v="ccber_user"/>
    <d v="2021-04-20T14:31:16"/>
    <s v="ccber_user"/>
  </r>
  <r>
    <n v="27"/>
    <d v="2021-04-20T00:00:00"/>
    <d v="2021-04-20T07:52:24"/>
    <x v="40"/>
    <n v="1"/>
    <x v="0"/>
    <s v="Vegetation - Tree"/>
    <m/>
    <m/>
    <m/>
    <m/>
    <x v="0"/>
    <m/>
    <m/>
    <m/>
    <m/>
    <m/>
    <m/>
    <m/>
    <m/>
    <m/>
    <m/>
    <m/>
    <m/>
    <m/>
    <m/>
    <m/>
    <s v="{671237d1-ada0-4f2d-98cf-1497d57a0e87}"/>
    <d v="2021-04-20T14:52:24"/>
    <s v="ccber_user"/>
    <d v="2021-04-20T14:52:24"/>
    <s v="ccber_user"/>
  </r>
  <r>
    <n v="139"/>
    <d v="2021-04-20T00:00:00"/>
    <d v="2021-04-20T09:10:18"/>
    <x v="40"/>
    <n v="1"/>
    <x v="0"/>
    <s v="Air"/>
    <m/>
    <m/>
    <m/>
    <m/>
    <x v="1"/>
    <m/>
    <m/>
    <m/>
    <m/>
    <m/>
    <m/>
    <m/>
    <m/>
    <m/>
    <m/>
    <m/>
    <m/>
    <m/>
    <m/>
    <m/>
    <s v="{689538c7-9229-4469-9f6e-61b03277b0ff}"/>
    <d v="2021-04-20T16:10:18"/>
    <s v="ccber_user"/>
    <d v="2021-04-20T16:10:18"/>
    <s v="ccber_user"/>
  </r>
  <r>
    <n v="101"/>
    <d v="2021-04-20T00:00:00"/>
    <d v="2021-04-20T08:03:20"/>
    <x v="41"/>
    <n v="5"/>
    <x v="0"/>
    <s v="Water - Wading"/>
    <m/>
    <m/>
    <m/>
    <m/>
    <x v="1"/>
    <m/>
    <m/>
    <m/>
    <m/>
    <m/>
    <m/>
    <m/>
    <m/>
    <m/>
    <m/>
    <m/>
    <m/>
    <m/>
    <m/>
    <m/>
    <s v="{a1822e73-c37c-4e47-8804-db07ac1c4c53}"/>
    <d v="2021-04-20T15:03:20"/>
    <s v="ccber_user"/>
    <d v="2021-04-20T15:03:20"/>
    <s v="ccber_user"/>
  </r>
  <r>
    <n v="141"/>
    <d v="2021-04-20T00:00:00"/>
    <d v="2021-04-20T09:13:43"/>
    <x v="41"/>
    <n v="2"/>
    <x v="0"/>
    <s v="Vegetation - Shrub"/>
    <m/>
    <m/>
    <m/>
    <m/>
    <x v="1"/>
    <m/>
    <m/>
    <m/>
    <m/>
    <m/>
    <m/>
    <m/>
    <m/>
    <m/>
    <m/>
    <m/>
    <m/>
    <m/>
    <m/>
    <m/>
    <s v="{6ee809ed-b801-43ae-9920-773b12c3f1a8}"/>
    <d v="2021-04-20T16:13:43"/>
    <s v="ccber_user"/>
    <d v="2021-04-20T16:13:43"/>
    <s v="ccber_user"/>
  </r>
  <r>
    <n v="14"/>
    <d v="2021-04-20T00:00:00"/>
    <d v="2021-04-20T07:36:18"/>
    <x v="42"/>
    <n v="3"/>
    <x v="0"/>
    <s v="Mud"/>
    <m/>
    <m/>
    <m/>
    <m/>
    <x v="0"/>
    <m/>
    <m/>
    <m/>
    <m/>
    <m/>
    <m/>
    <m/>
    <m/>
    <m/>
    <m/>
    <m/>
    <m/>
    <m/>
    <m/>
    <m/>
    <s v="{adaac9b4-c7dc-45fd-bfb2-1adc3282fdbb}"/>
    <d v="2021-04-20T14:36:18"/>
    <s v="ccber_user"/>
    <d v="2021-04-20T14:36:18"/>
    <s v="ccber_user"/>
  </r>
  <r>
    <n v="76"/>
    <d v="2021-04-20T00:00:00"/>
    <d v="2021-04-20T09:19:48"/>
    <x v="43"/>
    <n v="6"/>
    <x v="0"/>
    <m/>
    <m/>
    <m/>
    <m/>
    <m/>
    <x v="0"/>
    <m/>
    <m/>
    <m/>
    <m/>
    <m/>
    <m/>
    <m/>
    <m/>
    <m/>
    <m/>
    <m/>
    <m/>
    <m/>
    <m/>
    <m/>
    <s v="{58715a04-5e0e-4b9f-9690-57cfc8d02e83}"/>
    <d v="2021-04-20T16:19:48"/>
    <s v="ccber_user"/>
    <d v="2021-04-20T16:50:39"/>
    <s v="ccber_user"/>
  </r>
  <r>
    <m/>
    <d v="2021-04-20T00:00:00"/>
    <m/>
    <x v="43"/>
    <n v="14"/>
    <x v="0"/>
    <m/>
    <m/>
    <m/>
    <s v="Observation added following survey review by Mark H. No spatial data available."/>
    <m/>
    <x v="1"/>
    <m/>
    <m/>
    <m/>
    <m/>
    <m/>
    <m/>
    <m/>
    <m/>
    <m/>
    <m/>
    <m/>
    <m/>
    <m/>
    <m/>
    <m/>
    <m/>
    <m/>
    <m/>
    <m/>
    <m/>
  </r>
  <r>
    <n v="106"/>
    <d v="2021-04-20T00:00:00"/>
    <d v="2021-04-20T08:12:25"/>
    <x v="44"/>
    <n v="2"/>
    <x v="0"/>
    <s v="Vegetation - Herbaceous"/>
    <m/>
    <m/>
    <m/>
    <m/>
    <x v="1"/>
    <m/>
    <m/>
    <m/>
    <m/>
    <m/>
    <m/>
    <m/>
    <m/>
    <m/>
    <m/>
    <m/>
    <m/>
    <m/>
    <m/>
    <m/>
    <s v="{e316cfc5-106e-4d2a-87fc-8da000532e45}"/>
    <d v="2021-04-20T15:12:25"/>
    <s v="ccber_user"/>
    <d v="2021-04-20T15:12:25"/>
    <s v="ccber_user"/>
  </r>
  <r>
    <n v="115"/>
    <d v="2021-04-20T00:00:00"/>
    <d v="2021-04-20T08:32:32"/>
    <x v="44"/>
    <n v="1"/>
    <x v="0"/>
    <s v="Vegetation - Shrub"/>
    <m/>
    <m/>
    <m/>
    <m/>
    <x v="1"/>
    <m/>
    <m/>
    <m/>
    <m/>
    <m/>
    <m/>
    <m/>
    <m/>
    <m/>
    <m/>
    <m/>
    <m/>
    <m/>
    <m/>
    <m/>
    <s v="{b2fbebc9-4245-4193-a18f-848be292d524}"/>
    <d v="2021-04-20T15:32:32"/>
    <s v="ccber_user"/>
    <d v="2021-04-20T15:32:32"/>
    <s v="ccber_user"/>
  </r>
  <r>
    <n v="114"/>
    <d v="2021-04-20T00:00:00"/>
    <d v="2021-04-20T08:29:06"/>
    <x v="45"/>
    <n v="1"/>
    <x v="0"/>
    <s v="Vegetation - Herbaceous"/>
    <s v="F"/>
    <s v="Other"/>
    <s v="sitting on nest"/>
    <m/>
    <x v="1"/>
    <m/>
    <m/>
    <m/>
    <m/>
    <m/>
    <m/>
    <m/>
    <m/>
    <m/>
    <m/>
    <m/>
    <m/>
    <m/>
    <m/>
    <m/>
    <s v="{0e6a10e6-be0b-4ba4-b32a-c6596bcf4102}"/>
    <d v="2021-04-20T15:29:06"/>
    <s v="ccber_user"/>
    <d v="2021-04-20T15:29:06"/>
    <s v="ccber_user"/>
  </r>
  <r>
    <n v="116"/>
    <d v="2021-04-20T00:00:00"/>
    <d v="2021-04-20T08:34:37"/>
    <x v="45"/>
    <n v="2"/>
    <x v="0"/>
    <s v="Vegetation - Shrub"/>
    <m/>
    <m/>
    <m/>
    <m/>
    <x v="1"/>
    <m/>
    <m/>
    <m/>
    <m/>
    <m/>
    <m/>
    <m/>
    <m/>
    <m/>
    <m/>
    <m/>
    <m/>
    <m/>
    <m/>
    <m/>
    <s v="{c8e2c7be-f283-450b-a7a4-a743ee410dcf}"/>
    <d v="2021-04-20T15:34:37"/>
    <s v="ccber_user"/>
    <d v="2021-04-20T15:35:50"/>
    <s v="ccber_user"/>
  </r>
  <r>
    <n v="159"/>
    <d v="2021-04-20T00:00:00"/>
    <d v="2021-04-20T09:30:30"/>
    <x v="46"/>
    <n v="1"/>
    <x v="0"/>
    <s v="Air"/>
    <m/>
    <m/>
    <m/>
    <m/>
    <x v="1"/>
    <m/>
    <m/>
    <m/>
    <m/>
    <m/>
    <m/>
    <m/>
    <m/>
    <m/>
    <m/>
    <m/>
    <m/>
    <m/>
    <m/>
    <m/>
    <s v="{5d2e51ab-5c6a-497b-8493-b854dec878a9}"/>
    <d v="2021-04-20T16:30:30"/>
    <s v="ccber_user"/>
    <d v="2021-04-20T16:30:30"/>
    <s v="ccber_user"/>
  </r>
  <r>
    <n v="82"/>
    <d v="2021-04-20T00:00:00"/>
    <d v="2021-04-20T09:42:15"/>
    <x v="46"/>
    <n v="1"/>
    <x v="0"/>
    <s v="Fence"/>
    <m/>
    <m/>
    <m/>
    <m/>
    <x v="0"/>
    <m/>
    <m/>
    <m/>
    <m/>
    <m/>
    <m/>
    <m/>
    <m/>
    <m/>
    <m/>
    <m/>
    <m/>
    <m/>
    <m/>
    <m/>
    <s v="{7e4245e5-d1a2-4f00-8ee5-fd19a5251cdb}"/>
    <d v="2021-04-20T16:42:15"/>
    <s v="ccber_user"/>
    <d v="2021-04-20T16:42:15"/>
    <s v="ccber_user"/>
  </r>
  <r>
    <n v="126"/>
    <d v="2021-04-20T00:00:00"/>
    <d v="2021-04-20T08:55:39"/>
    <x v="47"/>
    <n v="3"/>
    <x v="0"/>
    <s v="Vegetation - Shrub"/>
    <m/>
    <m/>
    <m/>
    <m/>
    <x v="1"/>
    <m/>
    <m/>
    <m/>
    <m/>
    <m/>
    <m/>
    <m/>
    <m/>
    <m/>
    <m/>
    <m/>
    <m/>
    <m/>
    <m/>
    <m/>
    <s v="{7f161dd7-37ea-429a-896e-80fefd3ebc56}"/>
    <d v="2021-04-20T15:55:39"/>
    <s v="ccber_user"/>
    <d v="2021-04-20T15:55:39"/>
    <s v="ccber_user"/>
  </r>
  <r>
    <n v="77"/>
    <d v="2021-04-20T00:00:00"/>
    <d v="2021-04-20T09:28:50"/>
    <x v="47"/>
    <n v="2"/>
    <x v="0"/>
    <s v="Mud"/>
    <m/>
    <m/>
    <m/>
    <m/>
    <x v="0"/>
    <m/>
    <m/>
    <m/>
    <m/>
    <m/>
    <m/>
    <m/>
    <m/>
    <m/>
    <m/>
    <m/>
    <m/>
    <m/>
    <m/>
    <m/>
    <s v="{832941da-4596-4b27-bdff-3fab4f4d90fc}"/>
    <d v="2021-04-20T16:28:50"/>
    <s v="ccber_user"/>
    <d v="2021-04-20T16:28:50"/>
    <s v="ccber_user"/>
  </r>
  <r>
    <n v="88"/>
    <d v="2021-04-20T00:00:00"/>
    <d v="2021-04-20T07:16:33"/>
    <x v="48"/>
    <n v="5"/>
    <x v="0"/>
    <s v="Bare ground"/>
    <m/>
    <m/>
    <m/>
    <m/>
    <x v="1"/>
    <m/>
    <m/>
    <m/>
    <m/>
    <m/>
    <m/>
    <m/>
    <m/>
    <m/>
    <m/>
    <m/>
    <m/>
    <m/>
    <m/>
    <m/>
    <s v="{8975b5da-3fd8-42dc-96f5-69b51a29fc55}"/>
    <d v="2021-04-20T14:16:33"/>
    <s v="ccber_user"/>
    <d v="2021-04-20T14:17:52"/>
    <s v="ccber_user"/>
  </r>
  <r>
    <n v="132"/>
    <d v="2021-04-20T00:00:00"/>
    <d v="2021-04-20T09:01:08"/>
    <x v="48"/>
    <n v="2"/>
    <x v="0"/>
    <s v="Water - Wading"/>
    <m/>
    <m/>
    <m/>
    <m/>
    <x v="1"/>
    <m/>
    <m/>
    <m/>
    <m/>
    <m/>
    <m/>
    <m/>
    <m/>
    <m/>
    <m/>
    <m/>
    <m/>
    <m/>
    <m/>
    <m/>
    <s v="{75fba4c2-6488-4885-b102-19091fc902c9}"/>
    <d v="2021-04-20T16:01:08"/>
    <s v="ccber_user"/>
    <d v="2021-04-20T16:01:08"/>
    <s v="ccber_user"/>
  </r>
  <r>
    <n v="64"/>
    <d v="2021-04-20T00:00:00"/>
    <d v="2021-04-20T08:43:45"/>
    <x v="49"/>
    <n v="1"/>
    <x v="0"/>
    <s v="Water - Wading"/>
    <m/>
    <m/>
    <m/>
    <m/>
    <x v="0"/>
    <m/>
    <m/>
    <m/>
    <m/>
    <m/>
    <m/>
    <m/>
    <m/>
    <m/>
    <m/>
    <m/>
    <m/>
    <m/>
    <m/>
    <m/>
    <s v="{b81673e6-9c0f-485e-81f4-07f9de8d34c9}"/>
    <d v="2021-04-20T15:43:45"/>
    <s v="ccber_user"/>
    <d v="2021-04-20T15:43:45"/>
    <s v="ccber_user"/>
  </r>
  <r>
    <n v="96"/>
    <d v="2021-04-20T00:00:00"/>
    <d v="2021-04-20T07:33:45"/>
    <x v="50"/>
    <n v="1"/>
    <x v="0"/>
    <s v="Vegetation - Shrub"/>
    <m/>
    <m/>
    <m/>
    <m/>
    <x v="1"/>
    <m/>
    <m/>
    <m/>
    <m/>
    <m/>
    <m/>
    <m/>
    <m/>
    <m/>
    <m/>
    <m/>
    <m/>
    <m/>
    <m/>
    <m/>
    <s v="{4c4a5965-cb72-425c-bfde-8ad4abbb6550}"/>
    <d v="2021-04-20T14:33:45"/>
    <s v="ccber_user"/>
    <d v="2021-04-20T14:33:45"/>
    <s v="ccber_user"/>
  </r>
  <r>
    <n v="25"/>
    <d v="2021-04-20T00:00:00"/>
    <d v="2021-04-20T07:49:52"/>
    <x v="50"/>
    <n v="1"/>
    <x v="0"/>
    <s v="Vegetation - Shrub"/>
    <m/>
    <m/>
    <m/>
    <m/>
    <x v="0"/>
    <m/>
    <m/>
    <m/>
    <m/>
    <m/>
    <m/>
    <m/>
    <m/>
    <m/>
    <m/>
    <m/>
    <m/>
    <m/>
    <m/>
    <m/>
    <s v="{d548f3bd-cadb-493b-8326-c5099d4bf1c0}"/>
    <d v="2021-04-20T14:49:52"/>
    <s v="ccber_user"/>
    <d v="2021-04-20T14:49:52"/>
    <s v="ccber_user"/>
  </r>
  <r>
    <n v="31"/>
    <d v="2021-04-20T00:00:00"/>
    <d v="2021-04-20T07:56:41"/>
    <x v="50"/>
    <n v="1"/>
    <x v="0"/>
    <s v="Vegetation - Tree"/>
    <m/>
    <m/>
    <m/>
    <m/>
    <x v="0"/>
    <m/>
    <m/>
    <m/>
    <m/>
    <m/>
    <m/>
    <m/>
    <m/>
    <m/>
    <m/>
    <m/>
    <m/>
    <m/>
    <m/>
    <m/>
    <s v="{144dc6e5-6b4e-4e28-b615-044019801baf}"/>
    <d v="2021-04-20T14:56:41"/>
    <s v="ccber_user"/>
    <d v="2021-04-20T14:56:41"/>
    <s v="ccber_user"/>
  </r>
  <r>
    <n v="40"/>
    <d v="2021-04-20T00:00:00"/>
    <d v="2021-04-20T08:14:33"/>
    <x v="50"/>
    <n v="1"/>
    <x v="0"/>
    <s v="Vegetation - Tree"/>
    <m/>
    <m/>
    <m/>
    <m/>
    <x v="0"/>
    <m/>
    <m/>
    <m/>
    <m/>
    <m/>
    <m/>
    <m/>
    <m/>
    <m/>
    <m/>
    <m/>
    <m/>
    <m/>
    <m/>
    <m/>
    <s v="{876c05b0-d090-4bf6-8480-34fdbe190a7f}"/>
    <d v="2021-04-20T15:14:33"/>
    <s v="ccber_user"/>
    <d v="2021-04-20T15:14:33"/>
    <s v="ccber_user"/>
  </r>
  <r>
    <n v="43"/>
    <d v="2021-04-20T00:00:00"/>
    <d v="2021-04-20T08:17:17"/>
    <x v="50"/>
    <n v="1"/>
    <x v="0"/>
    <s v="Vegetation - Herbaceous"/>
    <m/>
    <m/>
    <m/>
    <m/>
    <x v="0"/>
    <m/>
    <m/>
    <m/>
    <m/>
    <m/>
    <m/>
    <m/>
    <m/>
    <m/>
    <m/>
    <m/>
    <m/>
    <m/>
    <m/>
    <m/>
    <s v="{f2a804c7-2674-40df-a67d-915738635324}"/>
    <d v="2021-04-20T15:17:17"/>
    <s v="ccber_user"/>
    <d v="2021-04-20T15:17:17"/>
    <s v="ccber_user"/>
  </r>
  <r>
    <n v="109"/>
    <d v="2021-04-20T00:00:00"/>
    <d v="2021-04-20T08:19:57"/>
    <x v="50"/>
    <n v="1"/>
    <x v="0"/>
    <s v="Vegetation - Shrub"/>
    <m/>
    <m/>
    <m/>
    <m/>
    <x v="1"/>
    <m/>
    <m/>
    <m/>
    <m/>
    <m/>
    <m/>
    <m/>
    <m/>
    <m/>
    <m/>
    <m/>
    <m/>
    <m/>
    <m/>
    <m/>
    <s v="{b454440f-6d27-43e5-85fa-591aae668d21}"/>
    <d v="2021-04-20T15:19:57"/>
    <s v="ccber_user"/>
    <d v="2021-04-20T15:19:57"/>
    <s v="ccber_user"/>
  </r>
  <r>
    <n v="54"/>
    <d v="2021-04-20T00:00:00"/>
    <d v="2021-04-20T08:31:57"/>
    <x v="50"/>
    <n v="1"/>
    <x v="0"/>
    <s v="Vegetation - Tree"/>
    <m/>
    <m/>
    <m/>
    <m/>
    <x v="0"/>
    <m/>
    <m/>
    <m/>
    <m/>
    <m/>
    <m/>
    <m/>
    <m/>
    <m/>
    <m/>
    <m/>
    <m/>
    <m/>
    <m/>
    <m/>
    <s v="{e53c26cc-c9ab-4d62-a4ca-d21d7fc5a094}"/>
    <d v="2021-04-20T15:31:57"/>
    <s v="ccber_user"/>
    <d v="2021-04-20T15:31:57"/>
    <s v="ccber_user"/>
  </r>
  <r>
    <n v="129"/>
    <d v="2021-04-20T00:00:00"/>
    <d v="2021-04-20T08:56:57"/>
    <x v="50"/>
    <n v="1"/>
    <x v="0"/>
    <s v="Air"/>
    <m/>
    <m/>
    <m/>
    <m/>
    <x v="1"/>
    <m/>
    <m/>
    <m/>
    <m/>
    <m/>
    <m/>
    <m/>
    <m/>
    <m/>
    <m/>
    <m/>
    <m/>
    <m/>
    <m/>
    <m/>
    <s v="{a8dfdf7e-0b3b-4b1e-b8ad-75648512897d}"/>
    <d v="2021-04-20T15:56:57"/>
    <s v="ccber_user"/>
    <d v="2021-04-20T15:56:57"/>
    <s v="ccber_user"/>
  </r>
  <r>
    <n v="75"/>
    <d v="2021-04-20T00:00:00"/>
    <d v="2021-04-20T09:09:45"/>
    <x v="50"/>
    <n v="1"/>
    <x v="0"/>
    <s v="Mud"/>
    <m/>
    <m/>
    <m/>
    <m/>
    <x v="0"/>
    <m/>
    <m/>
    <m/>
    <m/>
    <m/>
    <m/>
    <m/>
    <m/>
    <m/>
    <m/>
    <m/>
    <m/>
    <m/>
    <m/>
    <m/>
    <s v="{4ab90fb6-d762-4a60-9002-513a6a836060}"/>
    <d v="2021-04-20T16:09:45"/>
    <s v="ccber_user"/>
    <d v="2021-04-20T16:09:45"/>
    <s v="ccber_user"/>
  </r>
  <r>
    <n v="140"/>
    <d v="2021-04-20T00:00:00"/>
    <d v="2021-04-20T09:10:43"/>
    <x v="50"/>
    <n v="4"/>
    <x v="0"/>
    <s v="Vegetation - Tree"/>
    <m/>
    <m/>
    <m/>
    <m/>
    <x v="1"/>
    <m/>
    <m/>
    <m/>
    <m/>
    <m/>
    <m/>
    <m/>
    <m/>
    <m/>
    <m/>
    <m/>
    <m/>
    <m/>
    <m/>
    <m/>
    <s v="{ea3ea302-6946-418f-b1ab-9699476822a7}"/>
    <d v="2021-04-20T16:10:43"/>
    <s v="ccber_user"/>
    <d v="2021-04-20T16:12:20"/>
    <s v="ccber_user"/>
  </r>
  <r>
    <n v="152"/>
    <d v="2021-04-20T00:00:00"/>
    <d v="2021-04-20T09:26:33"/>
    <x v="50"/>
    <n v="1"/>
    <x v="0"/>
    <s v="Vegetation - Shrub"/>
    <m/>
    <m/>
    <m/>
    <m/>
    <x v="1"/>
    <m/>
    <m/>
    <m/>
    <m/>
    <m/>
    <m/>
    <m/>
    <m/>
    <m/>
    <m/>
    <m/>
    <m/>
    <m/>
    <m/>
    <m/>
    <s v="{83f08c56-ab28-4f17-b47a-8ec3ff37ca84}"/>
    <d v="2021-04-20T16:26:33"/>
    <s v="ccber_user"/>
    <d v="2021-04-20T16:26:33"/>
    <s v="ccber_user"/>
  </r>
  <r>
    <n v="73"/>
    <d v="2021-04-20T00:00:00"/>
    <d v="2021-04-20T09:05:49"/>
    <x v="51"/>
    <n v="2"/>
    <x v="0"/>
    <s v="Vegetation - Herbaceous"/>
    <m/>
    <m/>
    <m/>
    <m/>
    <x v="0"/>
    <m/>
    <m/>
    <m/>
    <m/>
    <m/>
    <m/>
    <m/>
    <m/>
    <m/>
    <m/>
    <m/>
    <m/>
    <m/>
    <m/>
    <m/>
    <s v="{3806c2e0-9b7b-4583-8dce-9b7ebd553b94}"/>
    <d v="2021-04-20T16:05:49"/>
    <s v="ccber_user"/>
    <d v="2021-04-20T16:09:30"/>
    <s v="ccber_user"/>
  </r>
  <r>
    <n v="156"/>
    <d v="2021-04-20T00:00:00"/>
    <d v="2021-04-20T09:28:34"/>
    <x v="51"/>
    <n v="1"/>
    <x v="0"/>
    <s v="Water - Wading"/>
    <m/>
    <m/>
    <m/>
    <m/>
    <x v="1"/>
    <m/>
    <m/>
    <m/>
    <m/>
    <m/>
    <m/>
    <m/>
    <m/>
    <m/>
    <m/>
    <m/>
    <m/>
    <m/>
    <m/>
    <m/>
    <s v="{f396a4cf-1db5-4657-9ced-7929e793085b}"/>
    <d v="2021-04-20T16:28:34"/>
    <s v="ccber_user"/>
    <d v="2021-04-20T16:28:34"/>
    <s v="ccber_user"/>
  </r>
  <r>
    <n v="102"/>
    <d v="2021-04-20T00:00:00"/>
    <d v="2021-04-20T08:04:30"/>
    <x v="52"/>
    <n v="2"/>
    <x v="0"/>
    <s v="Air"/>
    <m/>
    <m/>
    <m/>
    <m/>
    <x v="1"/>
    <m/>
    <m/>
    <m/>
    <m/>
    <m/>
    <m/>
    <m/>
    <m/>
    <m/>
    <m/>
    <m/>
    <m/>
    <m/>
    <m/>
    <m/>
    <s v="{dfab1c71-b118-4008-88d8-e8e6746df640}"/>
    <d v="2021-04-20T15:04:30"/>
    <s v="ccber_user"/>
    <d v="2021-04-20T15:04:30"/>
    <s v="ccber_user"/>
  </r>
  <r>
    <n v="113"/>
    <d v="2021-04-20T00:00:00"/>
    <d v="2021-04-20T08:25:50"/>
    <x v="52"/>
    <n v="1"/>
    <x v="0"/>
    <s v="Air"/>
    <m/>
    <m/>
    <m/>
    <m/>
    <x v="1"/>
    <m/>
    <m/>
    <m/>
    <m/>
    <m/>
    <m/>
    <m/>
    <m/>
    <m/>
    <m/>
    <m/>
    <m/>
    <m/>
    <m/>
    <m/>
    <s v="{9a54dfd6-f6a7-48ed-a308-bbca8e1c9adc}"/>
    <d v="2021-04-20T15:25:50"/>
    <s v="ccber_user"/>
    <d v="2021-04-20T15:25:50"/>
    <s v="ccber_user"/>
  </r>
  <r>
    <n v="22"/>
    <d v="2021-04-20T00:00:00"/>
    <d v="2021-04-20T07:46:59"/>
    <x v="53"/>
    <n v="2"/>
    <x v="0"/>
    <s v="Fence"/>
    <m/>
    <m/>
    <m/>
    <m/>
    <x v="0"/>
    <m/>
    <m/>
    <m/>
    <m/>
    <m/>
    <m/>
    <m/>
    <m/>
    <m/>
    <m/>
    <m/>
    <m/>
    <m/>
    <m/>
    <m/>
    <s v="{a8e043cf-ded6-4f62-a2f7-00688b0c1d78}"/>
    <d v="2021-04-20T14:46:59"/>
    <s v="ccber_user"/>
    <d v="2021-04-20T14:46:59"/>
    <s v="ccber_user"/>
  </r>
  <r>
    <n v="38"/>
    <d v="2021-04-20T00:00:00"/>
    <d v="2021-04-20T08:11:55"/>
    <x v="53"/>
    <n v="1"/>
    <x v="0"/>
    <m/>
    <m/>
    <m/>
    <m/>
    <m/>
    <x v="0"/>
    <m/>
    <m/>
    <m/>
    <m/>
    <m/>
    <m/>
    <m/>
    <m/>
    <m/>
    <m/>
    <m/>
    <m/>
    <m/>
    <m/>
    <m/>
    <s v="{242bcead-6898-4744-a84e-19bee6a9397e}"/>
    <d v="2021-04-20T15:11:55"/>
    <s v="ccber_user"/>
    <d v="2021-04-20T15:11:55"/>
    <s v="ccber_user"/>
  </r>
  <r>
    <n v="53"/>
    <d v="2021-04-20T00:00:00"/>
    <d v="2021-04-20T08:31:47"/>
    <x v="53"/>
    <n v="1"/>
    <x v="0"/>
    <s v="Vegetation - Tree"/>
    <m/>
    <m/>
    <m/>
    <m/>
    <x v="0"/>
    <m/>
    <m/>
    <m/>
    <m/>
    <m/>
    <m/>
    <m/>
    <m/>
    <m/>
    <m/>
    <m/>
    <m/>
    <m/>
    <m/>
    <m/>
    <s v="{9fce3534-f108-459b-8928-bb7eb9173ed2}"/>
    <d v="2021-04-20T15:31:47"/>
    <s v="ccber_user"/>
    <d v="2021-04-20T15:31:47"/>
    <s v="ccber_user"/>
  </r>
  <r>
    <n v="160"/>
    <d v="2021-04-20T00:00:00"/>
    <d v="2021-04-20T09:37:53"/>
    <x v="53"/>
    <n v="2"/>
    <x v="0"/>
    <s v="Vegetation - Tree"/>
    <m/>
    <m/>
    <m/>
    <m/>
    <x v="1"/>
    <m/>
    <m/>
    <m/>
    <m/>
    <m/>
    <m/>
    <m/>
    <m/>
    <m/>
    <m/>
    <m/>
    <m/>
    <m/>
    <m/>
    <m/>
    <s v="{a2bd0341-6ad9-408e-98db-e386ab4ff4d2}"/>
    <d v="2021-04-20T16:37:53"/>
    <s v="ccber_user"/>
    <d v="2021-04-20T16:37:53"/>
    <s v="ccber_user"/>
  </r>
  <r>
    <n v="51"/>
    <d v="2021-04-20T00:00:00"/>
    <d v="2021-04-20T08:30:01"/>
    <x v="54"/>
    <n v="1"/>
    <x v="0"/>
    <s v="Flyover"/>
    <m/>
    <m/>
    <m/>
    <m/>
    <x v="0"/>
    <m/>
    <m/>
    <m/>
    <m/>
    <m/>
    <m/>
    <m/>
    <m/>
    <m/>
    <m/>
    <m/>
    <m/>
    <m/>
    <m/>
    <m/>
    <s v="{ea2bde71-409d-4fa0-9a5e-f199d050faaf}"/>
    <d v="2021-04-20T15:30:01"/>
    <s v="ccber_user"/>
    <d v="2021-04-20T15:30:01"/>
    <s v="ccber_user"/>
  </r>
  <r>
    <n v="154"/>
    <d v="2021-04-20T00:00:00"/>
    <d v="2021-04-20T09:27:25"/>
    <x v="55"/>
    <n v="1"/>
    <x v="0"/>
    <s v="Vegetation - Tree"/>
    <m/>
    <m/>
    <m/>
    <m/>
    <x v="1"/>
    <m/>
    <m/>
    <m/>
    <m/>
    <m/>
    <m/>
    <m/>
    <m/>
    <m/>
    <m/>
    <m/>
    <m/>
    <m/>
    <m/>
    <m/>
    <s v="{b4adb14c-0aed-444c-90ca-75f2f158ddcf}"/>
    <d v="2021-04-20T16:27:25"/>
    <s v="ccber_user"/>
    <d v="2021-04-20T16:27:25"/>
    <s v="ccber_user"/>
  </r>
  <r>
    <n v="2"/>
    <d v="2021-04-20T00:00:00"/>
    <d v="2021-04-20T07:14:44"/>
    <x v="56"/>
    <n v="6"/>
    <x v="0"/>
    <s v="Mud"/>
    <m/>
    <m/>
    <m/>
    <m/>
    <x v="0"/>
    <m/>
    <m/>
    <m/>
    <m/>
    <m/>
    <m/>
    <m/>
    <m/>
    <m/>
    <m/>
    <m/>
    <m/>
    <m/>
    <m/>
    <m/>
    <s v="{24ca5a68-e30a-4230-bc4a-d437e3ac9001}"/>
    <d v="2021-04-20T14:14:44"/>
    <s v="ccber_user"/>
    <d v="2021-04-20T14:16:19"/>
    <s v="ccber_user"/>
  </r>
  <r>
    <n v="89"/>
    <d v="2021-04-20T00:00:00"/>
    <d v="2021-04-20T07:17:34"/>
    <x v="56"/>
    <n v="4"/>
    <x v="0"/>
    <s v="Bare ground"/>
    <m/>
    <m/>
    <m/>
    <m/>
    <x v="1"/>
    <m/>
    <m/>
    <m/>
    <m/>
    <m/>
    <m/>
    <m/>
    <m/>
    <m/>
    <m/>
    <m/>
    <m/>
    <m/>
    <m/>
    <m/>
    <s v="{6eebd669-33c8-4594-a6db-5ae0f464cfda}"/>
    <d v="2021-04-20T14:17:34"/>
    <s v="ccber_user"/>
    <d v="2021-04-20T14:17:34"/>
    <s v="ccber_user"/>
  </r>
  <r>
    <n v="12"/>
    <d v="2021-04-20T00:00:00"/>
    <d v="2021-04-20T07:34:52"/>
    <x v="56"/>
    <n v="30"/>
    <x v="0"/>
    <s v="Mud"/>
    <m/>
    <m/>
    <m/>
    <m/>
    <x v="0"/>
    <m/>
    <m/>
    <m/>
    <m/>
    <m/>
    <m/>
    <m/>
    <m/>
    <m/>
    <m/>
    <m/>
    <m/>
    <m/>
    <m/>
    <m/>
    <s v="{dd74f792-d121-4486-b44a-ec9418b9018b}"/>
    <d v="2021-04-20T14:34:52"/>
    <s v="ccber_user"/>
    <d v="2021-04-20T14:34:52"/>
    <s v="ccber_user"/>
  </r>
  <r>
    <n v="13"/>
    <d v="2021-04-20T00:00:00"/>
    <d v="2021-04-20T07:35:07"/>
    <x v="56"/>
    <n v="30"/>
    <x v="0"/>
    <s v="Mud"/>
    <m/>
    <m/>
    <m/>
    <m/>
    <x v="0"/>
    <m/>
    <m/>
    <m/>
    <m/>
    <m/>
    <m/>
    <m/>
    <m/>
    <m/>
    <m/>
    <m/>
    <m/>
    <m/>
    <m/>
    <m/>
    <s v="{1a760343-868e-45fd-afdb-96bf7217504c}"/>
    <d v="2021-04-20T14:35:07"/>
    <s v="ccber_user"/>
    <d v="2021-04-20T14:35:07"/>
    <s v="ccber_user"/>
  </r>
  <r>
    <n v="97"/>
    <d v="2021-04-20T00:00:00"/>
    <d v="2021-04-20T07:38:52"/>
    <x v="56"/>
    <n v="50"/>
    <x v="1"/>
    <s v="Mud"/>
    <m/>
    <m/>
    <m/>
    <m/>
    <x v="1"/>
    <m/>
    <m/>
    <m/>
    <m/>
    <m/>
    <m/>
    <m/>
    <m/>
    <m/>
    <m/>
    <m/>
    <m/>
    <m/>
    <m/>
    <m/>
    <s v="{659fa486-d40e-4429-bbb5-acd1c5bef5f4}"/>
    <d v="2021-04-20T14:38:52"/>
    <s v="ccber_user"/>
    <d v="2021-04-20T14:38:52"/>
    <s v="ccber_user"/>
  </r>
  <r>
    <n v="117"/>
    <d v="2021-04-20T00:00:00"/>
    <d v="2021-04-20T08:43:19"/>
    <x v="56"/>
    <n v="7"/>
    <x v="1"/>
    <s v="Mud"/>
    <m/>
    <m/>
    <m/>
    <m/>
    <x v="1"/>
    <m/>
    <m/>
    <m/>
    <m/>
    <m/>
    <m/>
    <m/>
    <m/>
    <m/>
    <m/>
    <m/>
    <m/>
    <m/>
    <m/>
    <m/>
    <s v="{bb32b7c0-22f5-416f-a517-be9b0d87e9c9}"/>
    <d v="2021-04-20T15:43:19"/>
    <s v="ccber_user"/>
    <d v="2021-04-20T15:43:19"/>
    <s v="ccber_user"/>
  </r>
  <r>
    <n v="46"/>
    <d v="2021-04-20T00:00:00"/>
    <d v="2021-04-20T08:25:45"/>
    <x v="57"/>
    <n v="1"/>
    <x v="0"/>
    <s v="Vegetation - Herbaceous"/>
    <m/>
    <m/>
    <m/>
    <m/>
    <x v="0"/>
    <m/>
    <m/>
    <m/>
    <m/>
    <m/>
    <m/>
    <m/>
    <m/>
    <m/>
    <m/>
    <m/>
    <m/>
    <m/>
    <m/>
    <m/>
    <s v="{f4f77832-79b0-45e4-9c05-81d4511653e6}"/>
    <d v="2021-04-20T15:25:45"/>
    <s v="ccber_user"/>
    <d v="2021-04-20T15:25:45"/>
    <s v="ccber_user"/>
  </r>
  <r>
    <n v="99"/>
    <d v="2021-04-20T00:00:00"/>
    <d v="2021-04-20T08:01:57"/>
    <x v="58"/>
    <n v="1"/>
    <x v="0"/>
    <s v="Air"/>
    <m/>
    <s v="Other"/>
    <s v="carrying food to other kite and hand off"/>
    <m/>
    <x v="1"/>
    <m/>
    <m/>
    <m/>
    <m/>
    <m/>
    <m/>
    <m/>
    <m/>
    <m/>
    <m/>
    <m/>
    <m/>
    <m/>
    <m/>
    <m/>
    <s v="{f5464829-60d9-4508-b809-26c516e9fdcc}"/>
    <d v="2021-04-20T15:01:57"/>
    <s v="ccber_user"/>
    <d v="2021-04-20T15:01:57"/>
    <s v="ccber_user"/>
  </r>
  <r>
    <n v="118"/>
    <d v="2021-04-20T00:00:00"/>
    <d v="2021-04-20T08:44:33"/>
    <x v="58"/>
    <n v="1"/>
    <x v="0"/>
    <s v="Air"/>
    <m/>
    <s v="Other"/>
    <s v="carrying food"/>
    <m/>
    <x v="1"/>
    <m/>
    <m/>
    <m/>
    <m/>
    <m/>
    <m/>
    <m/>
    <m/>
    <m/>
    <m/>
    <m/>
    <m/>
    <m/>
    <m/>
    <m/>
    <s v="{3acbb132-1b0b-4a61-92a9-01323802bc25}"/>
    <d v="2021-04-20T15:44:33"/>
    <s v="ccber_user"/>
    <d v="2021-04-20T15:44:33"/>
    <s v="ccber_user"/>
  </r>
  <r>
    <n v="78"/>
    <d v="2021-04-20T00:00:00"/>
    <d v="2021-04-20T09:29:18"/>
    <x v="59"/>
    <n v="1"/>
    <x v="0"/>
    <s v="Vegetation - Herbaceous"/>
    <m/>
    <m/>
    <m/>
    <m/>
    <x v="0"/>
    <m/>
    <m/>
    <m/>
    <m/>
    <m/>
    <m/>
    <m/>
    <m/>
    <m/>
    <m/>
    <m/>
    <m/>
    <m/>
    <m/>
    <m/>
    <s v="{d46b301a-cef7-44cc-a087-b3b8daa09655}"/>
    <d v="2021-04-20T16:29:18"/>
    <s v="ccber_user"/>
    <d v="2021-04-20T16:29:18"/>
    <s v="ccber_user"/>
  </r>
  <r>
    <n v="133"/>
    <d v="2021-04-20T00:00:00"/>
    <d v="2021-04-20T09:03:31"/>
    <x v="60"/>
    <n v="2"/>
    <x v="0"/>
    <s v="Air"/>
    <s v="M"/>
    <m/>
    <m/>
    <m/>
    <x v="1"/>
    <m/>
    <m/>
    <m/>
    <m/>
    <m/>
    <m/>
    <m/>
    <m/>
    <m/>
    <m/>
    <m/>
    <m/>
    <m/>
    <m/>
    <m/>
    <s v="{39aa599d-8aae-425c-968d-4ab6399f9929}"/>
    <d v="2021-04-20T16:03:31"/>
    <s v="ccber_user"/>
    <d v="2021-04-20T16:03:31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D29E0-87C3-4A29-B079-AC801C06FBFE}" name="PivotTable1" cacheId="14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A3:G67" firstHeaderRow="1" firstDataRow="3" firstDataCol="1"/>
  <pivotFields count="32">
    <pivotField showAll="0"/>
    <pivotField numFmtId="14" showAll="0"/>
    <pivotField showAll="0"/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21">
    <format dxfId="20">
      <pivotArea outline="0" collapsedLevelsAreSubtotals="1" fieldPosition="0"/>
    </format>
    <format dxfId="19">
      <pivotArea field="5" type="button" dataOnly="0" labelOnly="1" outline="0" axis="axisCol" fieldPosition="0"/>
    </format>
    <format dxfId="18">
      <pivotArea field="11" type="button" dataOnly="0" labelOnly="1" outline="0" axis="axisCol" fieldPosition="1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fieldPosition="0">
        <references count="1">
          <reference field="5" count="0" defaultSubtotal="1"/>
        </references>
      </pivotArea>
    </format>
    <format dxfId="14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13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2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1">
      <pivotArea type="topRight" dataOnly="0" labelOnly="1" outline="0" offset="B1:D1" fieldPosition="0"/>
    </format>
    <format dxfId="10">
      <pivotArea dataOnly="0" labelOnly="1" fieldPosition="0">
        <references count="1">
          <reference field="5" count="1">
            <x v="1"/>
          </reference>
        </references>
      </pivotArea>
    </format>
    <format dxfId="9">
      <pivotArea dataOnly="0" labelOnly="1" fieldPosition="0">
        <references count="1">
          <reference field="5" count="1" defaultSubtotal="1">
            <x v="1"/>
          </reference>
        </references>
      </pivotArea>
    </format>
    <format dxfId="8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7">
      <pivotArea collapsedLevelsAreSubtotals="1" fieldPosition="0">
        <references count="2">
          <reference field="3" count="5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5" count="1" selected="0" defaultSubtotal="1">
            <x v="1"/>
          </reference>
        </references>
      </pivotArea>
    </format>
    <format dxfId="6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5">
      <pivotArea type="topRight" dataOnly="0" labelOnly="1" outline="0" offset="A1" fieldPosition="0"/>
    </format>
    <format dxfId="4">
      <pivotArea dataOnly="0" labelOnly="1" fieldPosition="0">
        <references count="1">
          <reference field="5" count="1" defaultSubtotal="1">
            <x v="0"/>
          </reference>
        </references>
      </pivotArea>
    </format>
    <format dxfId="3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2">
      <pivotArea collapsedLevelsAreSubtotals="1" fieldPosition="0">
        <references count="1">
          <reference field="3" count="0"/>
        </references>
      </pivotArea>
    </format>
    <format dxfId="1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3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4"/>
  <sheetViews>
    <sheetView tabSelected="1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J172" sqref="J172"/>
    </sheetView>
  </sheetViews>
  <sheetFormatPr defaultRowHeight="15" x14ac:dyDescent="0.25"/>
  <cols>
    <col min="1" max="1" width="10" style="3" bestFit="1" customWidth="1"/>
    <col min="2" max="2" width="10.42578125" style="3" bestFit="1" customWidth="1"/>
    <col min="3" max="3" width="10" style="5" customWidth="1"/>
    <col min="4" max="4" width="27.5703125" bestFit="1" customWidth="1"/>
    <col min="5" max="5" width="9.140625" style="5"/>
    <col min="6" max="6" width="20.7109375" style="5" bestFit="1" customWidth="1"/>
    <col min="7" max="7" width="23.28515625" bestFit="1" customWidth="1"/>
    <col min="9" max="9" width="21" bestFit="1" customWidth="1"/>
    <col min="12" max="12" width="34" bestFit="1" customWidth="1"/>
  </cols>
  <sheetData>
    <row r="1" spans="1:32" ht="15.75" x14ac:dyDescent="0.25">
      <c r="A1" s="1" t="s">
        <v>0</v>
      </c>
      <c r="B1" s="1" t="s">
        <v>292</v>
      </c>
      <c r="C1" s="4" t="s">
        <v>293</v>
      </c>
      <c r="D1" s="1" t="s">
        <v>1</v>
      </c>
      <c r="E1" s="4" t="s">
        <v>2</v>
      </c>
      <c r="F1" s="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3">
        <v>41</v>
      </c>
      <c r="B2" s="6">
        <v>44306</v>
      </c>
      <c r="C2" s="7">
        <f>AC2-(7/24)</f>
        <v>44306.343993055569</v>
      </c>
      <c r="D2" t="s">
        <v>106</v>
      </c>
      <c r="E2" s="5">
        <v>1</v>
      </c>
      <c r="F2" s="5" t="s">
        <v>31</v>
      </c>
      <c r="G2" t="s">
        <v>70</v>
      </c>
      <c r="L2" t="s">
        <v>291</v>
      </c>
      <c r="AB2" t="s">
        <v>107</v>
      </c>
      <c r="AC2" s="2">
        <v>44306.635659722233</v>
      </c>
      <c r="AD2" t="s">
        <v>33</v>
      </c>
      <c r="AE2" s="2">
        <v>44306.635659722233</v>
      </c>
      <c r="AF2" t="s">
        <v>33</v>
      </c>
    </row>
    <row r="3" spans="1:32" x14ac:dyDescent="0.25">
      <c r="A3" s="3">
        <v>65</v>
      </c>
      <c r="B3" s="6">
        <v>44306</v>
      </c>
      <c r="C3" s="7">
        <f>AC3-(7/24)</f>
        <v>44306.364421296297</v>
      </c>
      <c r="D3" t="s">
        <v>106</v>
      </c>
      <c r="E3" s="5">
        <v>1</v>
      </c>
      <c r="F3" s="5" t="s">
        <v>31</v>
      </c>
      <c r="G3" t="s">
        <v>75</v>
      </c>
      <c r="L3" t="s">
        <v>291</v>
      </c>
      <c r="AB3" t="s">
        <v>138</v>
      </c>
      <c r="AC3" s="2">
        <v>44306.656087962961</v>
      </c>
      <c r="AD3" t="s">
        <v>33</v>
      </c>
      <c r="AE3" s="2">
        <v>44306.656087962961</v>
      </c>
      <c r="AF3" t="s">
        <v>33</v>
      </c>
    </row>
    <row r="4" spans="1:32" x14ac:dyDescent="0.25">
      <c r="A4" s="3">
        <v>170</v>
      </c>
      <c r="B4" s="6">
        <v>44306</v>
      </c>
      <c r="C4" s="7">
        <f>AC4-(7/24)</f>
        <v>44306.412696759253</v>
      </c>
      <c r="D4" t="s">
        <v>106</v>
      </c>
      <c r="E4" s="5">
        <v>1</v>
      </c>
      <c r="F4" s="5" t="s">
        <v>31</v>
      </c>
      <c r="G4" t="s">
        <v>48</v>
      </c>
      <c r="L4" t="s">
        <v>290</v>
      </c>
      <c r="AB4" t="s">
        <v>288</v>
      </c>
      <c r="AC4" s="2">
        <v>44306.704363425917</v>
      </c>
      <c r="AD4" t="s">
        <v>33</v>
      </c>
      <c r="AE4" s="2">
        <v>44306.704363425917</v>
      </c>
      <c r="AF4" t="s">
        <v>33</v>
      </c>
    </row>
    <row r="5" spans="1:32" x14ac:dyDescent="0.25">
      <c r="A5" s="3">
        <v>142</v>
      </c>
      <c r="B5" s="6">
        <v>44306</v>
      </c>
      <c r="C5" s="7">
        <f>AC5-(7/24)</f>
        <v>44306.385543981494</v>
      </c>
      <c r="D5" t="s">
        <v>255</v>
      </c>
      <c r="E5" s="5">
        <v>7</v>
      </c>
      <c r="F5" s="5" t="s">
        <v>31</v>
      </c>
      <c r="G5" t="s">
        <v>51</v>
      </c>
      <c r="L5" t="s">
        <v>290</v>
      </c>
      <c r="AB5" t="s">
        <v>256</v>
      </c>
      <c r="AC5" s="2">
        <v>44306.677210648159</v>
      </c>
      <c r="AD5" t="s">
        <v>33</v>
      </c>
      <c r="AE5" s="2">
        <v>44306.677210648159</v>
      </c>
      <c r="AF5" t="s">
        <v>33</v>
      </c>
    </row>
    <row r="6" spans="1:32" x14ac:dyDescent="0.25">
      <c r="A6" s="3">
        <v>157</v>
      </c>
      <c r="B6" s="6">
        <v>44306</v>
      </c>
      <c r="C6" s="7">
        <f>AC6-(7/24)</f>
        <v>44306.395011574074</v>
      </c>
      <c r="D6" t="s">
        <v>255</v>
      </c>
      <c r="E6" s="5">
        <v>1</v>
      </c>
      <c r="F6" s="5" t="s">
        <v>31</v>
      </c>
      <c r="G6" t="s">
        <v>51</v>
      </c>
      <c r="L6" t="s">
        <v>290</v>
      </c>
      <c r="AB6" t="s">
        <v>274</v>
      </c>
      <c r="AC6" s="2">
        <v>44306.686678240738</v>
      </c>
      <c r="AD6" t="s">
        <v>33</v>
      </c>
      <c r="AE6" s="2">
        <v>44306.686678240738</v>
      </c>
      <c r="AF6" t="s">
        <v>33</v>
      </c>
    </row>
    <row r="7" spans="1:32" x14ac:dyDescent="0.25">
      <c r="A7" s="3">
        <v>166</v>
      </c>
      <c r="B7" s="6">
        <v>44306</v>
      </c>
      <c r="C7" s="7">
        <f>AC7-(7/24)</f>
        <v>44306.411296296297</v>
      </c>
      <c r="D7" t="s">
        <v>255</v>
      </c>
      <c r="E7" s="5">
        <v>6</v>
      </c>
      <c r="F7" s="5" t="s">
        <v>31</v>
      </c>
      <c r="L7" t="s">
        <v>290</v>
      </c>
      <c r="AB7" t="s">
        <v>284</v>
      </c>
      <c r="AC7" s="2">
        <v>44306.702962962961</v>
      </c>
      <c r="AD7" t="s">
        <v>33</v>
      </c>
      <c r="AE7" s="2">
        <v>44306.703298611108</v>
      </c>
      <c r="AF7" t="s">
        <v>33</v>
      </c>
    </row>
    <row r="8" spans="1:32" x14ac:dyDescent="0.25">
      <c r="A8" s="3">
        <v>91</v>
      </c>
      <c r="B8" s="6">
        <v>44306</v>
      </c>
      <c r="C8" s="7">
        <f>AC8-(7/24)</f>
        <v>44306.307615740749</v>
      </c>
      <c r="D8" t="s">
        <v>82</v>
      </c>
      <c r="E8" s="5">
        <v>1</v>
      </c>
      <c r="F8" s="5" t="s">
        <v>31</v>
      </c>
      <c r="G8" t="s">
        <v>75</v>
      </c>
      <c r="L8" t="s">
        <v>290</v>
      </c>
      <c r="AB8" t="s">
        <v>182</v>
      </c>
      <c r="AC8" s="2">
        <v>44306.599282407413</v>
      </c>
      <c r="AD8" t="s">
        <v>33</v>
      </c>
      <c r="AE8" s="2">
        <v>44306.599282407413</v>
      </c>
      <c r="AF8" t="s">
        <v>33</v>
      </c>
    </row>
    <row r="9" spans="1:32" x14ac:dyDescent="0.25">
      <c r="A9" s="3">
        <v>26</v>
      </c>
      <c r="B9" s="6">
        <v>44306</v>
      </c>
      <c r="C9" s="7">
        <f>AC9-(7/24)</f>
        <v>44306.326435185183</v>
      </c>
      <c r="D9" t="s">
        <v>82</v>
      </c>
      <c r="E9" s="5">
        <v>1</v>
      </c>
      <c r="F9" s="5" t="s">
        <v>31</v>
      </c>
      <c r="G9" t="s">
        <v>70</v>
      </c>
      <c r="L9" t="s">
        <v>291</v>
      </c>
      <c r="AB9" t="s">
        <v>83</v>
      </c>
      <c r="AC9" s="2">
        <v>44306.618101851847</v>
      </c>
      <c r="AD9" t="s">
        <v>33</v>
      </c>
      <c r="AE9" s="2">
        <v>44306.618101851847</v>
      </c>
      <c r="AF9" t="s">
        <v>33</v>
      </c>
    </row>
    <row r="10" spans="1:32" x14ac:dyDescent="0.25">
      <c r="A10" s="3">
        <v>103</v>
      </c>
      <c r="B10" s="6">
        <v>44306</v>
      </c>
      <c r="C10" s="7">
        <f>AC10-(7/24)</f>
        <v>44306.338634259264</v>
      </c>
      <c r="D10" t="s">
        <v>82</v>
      </c>
      <c r="E10" s="5">
        <v>1</v>
      </c>
      <c r="F10" s="5" t="s">
        <v>31</v>
      </c>
      <c r="G10" t="s">
        <v>200</v>
      </c>
      <c r="L10" t="s">
        <v>290</v>
      </c>
      <c r="AB10" t="s">
        <v>201</v>
      </c>
      <c r="AC10" s="2">
        <v>44306.630300925928</v>
      </c>
      <c r="AD10" t="s">
        <v>33</v>
      </c>
      <c r="AE10" s="2">
        <v>44306.630300925928</v>
      </c>
      <c r="AF10" t="s">
        <v>33</v>
      </c>
    </row>
    <row r="11" spans="1:32" x14ac:dyDescent="0.25">
      <c r="A11" s="3">
        <v>49</v>
      </c>
      <c r="B11" s="6">
        <v>44306</v>
      </c>
      <c r="C11" s="7">
        <f>AC11-(7/24)</f>
        <v>44306.353449074079</v>
      </c>
      <c r="D11" t="s">
        <v>82</v>
      </c>
      <c r="E11" s="5">
        <v>1</v>
      </c>
      <c r="F11" s="5" t="s">
        <v>31</v>
      </c>
      <c r="G11" t="s">
        <v>70</v>
      </c>
      <c r="L11" t="s">
        <v>291</v>
      </c>
      <c r="AB11" t="s">
        <v>117</v>
      </c>
      <c r="AC11" s="2">
        <v>44306.645115740743</v>
      </c>
      <c r="AD11" t="s">
        <v>33</v>
      </c>
      <c r="AE11" s="2">
        <v>44306.645115740743</v>
      </c>
      <c r="AF11" t="s">
        <v>33</v>
      </c>
    </row>
    <row r="12" spans="1:32" x14ac:dyDescent="0.25">
      <c r="A12" s="3">
        <v>52</v>
      </c>
      <c r="B12" s="6">
        <v>44306</v>
      </c>
      <c r="C12" s="7">
        <f>AC12-(7/24)</f>
        <v>44306.354699074087</v>
      </c>
      <c r="D12" t="s">
        <v>82</v>
      </c>
      <c r="E12" s="5">
        <v>1</v>
      </c>
      <c r="F12" s="5" t="s">
        <v>31</v>
      </c>
      <c r="G12" t="s">
        <v>48</v>
      </c>
      <c r="L12" t="s">
        <v>291</v>
      </c>
      <c r="AB12" t="s">
        <v>123</v>
      </c>
      <c r="AC12" s="2">
        <v>44306.646365740751</v>
      </c>
      <c r="AD12" t="s">
        <v>33</v>
      </c>
      <c r="AE12" s="2">
        <v>44306.646365740751</v>
      </c>
      <c r="AF12" t="s">
        <v>33</v>
      </c>
    </row>
    <row r="13" spans="1:32" x14ac:dyDescent="0.25">
      <c r="A13" s="3">
        <v>74</v>
      </c>
      <c r="B13" s="6">
        <v>44306</v>
      </c>
      <c r="C13" s="7">
        <f>AC13-(7/24)</f>
        <v>44306.379930555559</v>
      </c>
      <c r="D13" t="s">
        <v>82</v>
      </c>
      <c r="E13" s="5">
        <v>1</v>
      </c>
      <c r="F13" s="5" t="s">
        <v>31</v>
      </c>
      <c r="G13" t="s">
        <v>70</v>
      </c>
      <c r="L13" t="s">
        <v>291</v>
      </c>
      <c r="AB13" t="s">
        <v>149</v>
      </c>
      <c r="AC13" s="2">
        <v>44306.671597222223</v>
      </c>
      <c r="AD13" t="s">
        <v>33</v>
      </c>
      <c r="AE13" s="2">
        <v>44306.671597222223</v>
      </c>
      <c r="AF13" t="s">
        <v>33</v>
      </c>
    </row>
    <row r="14" spans="1:32" x14ac:dyDescent="0.25">
      <c r="A14" s="3">
        <v>153</v>
      </c>
      <c r="B14" s="6">
        <v>44306</v>
      </c>
      <c r="C14" s="7">
        <f>AC14-(7/24)</f>
        <v>44306.393784722226</v>
      </c>
      <c r="D14" t="s">
        <v>82</v>
      </c>
      <c r="E14" s="5">
        <v>1</v>
      </c>
      <c r="F14" s="5" t="s">
        <v>31</v>
      </c>
      <c r="G14" t="s">
        <v>43</v>
      </c>
      <c r="L14" t="s">
        <v>290</v>
      </c>
      <c r="AB14" t="s">
        <v>269</v>
      </c>
      <c r="AC14" s="2">
        <v>44306.68545138889</v>
      </c>
      <c r="AD14" t="s">
        <v>33</v>
      </c>
      <c r="AE14" s="2">
        <v>44306.68545138889</v>
      </c>
      <c r="AF14" t="s">
        <v>33</v>
      </c>
    </row>
    <row r="15" spans="1:32" x14ac:dyDescent="0.25">
      <c r="A15" s="3">
        <v>107</v>
      </c>
      <c r="B15" s="6">
        <v>44306</v>
      </c>
      <c r="C15" s="7">
        <f>AC15-(7/24)</f>
        <v>44306.342210648159</v>
      </c>
      <c r="D15" t="s">
        <v>208</v>
      </c>
      <c r="E15" s="5">
        <v>2</v>
      </c>
      <c r="F15" s="5" t="s">
        <v>31</v>
      </c>
      <c r="G15" t="s">
        <v>43</v>
      </c>
      <c r="L15" t="s">
        <v>290</v>
      </c>
      <c r="AB15" t="s">
        <v>209</v>
      </c>
      <c r="AC15" s="2">
        <v>44306.633877314824</v>
      </c>
      <c r="AD15" t="s">
        <v>33</v>
      </c>
      <c r="AE15" s="2">
        <v>44306.633877314824</v>
      </c>
      <c r="AF15" t="s">
        <v>33</v>
      </c>
    </row>
    <row r="16" spans="1:32" x14ac:dyDescent="0.25">
      <c r="A16" s="3">
        <v>122</v>
      </c>
      <c r="B16" s="6">
        <v>44306</v>
      </c>
      <c r="C16" s="7">
        <f>AC16-(7/24)</f>
        <v>44306.366956018523</v>
      </c>
      <c r="D16" t="s">
        <v>208</v>
      </c>
      <c r="E16" s="5">
        <v>2</v>
      </c>
      <c r="F16" s="5" t="s">
        <v>31</v>
      </c>
      <c r="G16" t="s">
        <v>175</v>
      </c>
      <c r="L16" t="s">
        <v>290</v>
      </c>
      <c r="AB16" t="s">
        <v>230</v>
      </c>
      <c r="AC16" s="2">
        <v>44306.658622685187</v>
      </c>
      <c r="AD16" t="s">
        <v>33</v>
      </c>
      <c r="AE16" s="2">
        <v>44306.658622685187</v>
      </c>
      <c r="AF16" t="s">
        <v>33</v>
      </c>
    </row>
    <row r="17" spans="1:32" x14ac:dyDescent="0.25">
      <c r="A17" s="3">
        <v>8</v>
      </c>
      <c r="B17" s="6">
        <v>44306</v>
      </c>
      <c r="C17" s="7">
        <f>AC17-(7/24)</f>
        <v>44306.314571759263</v>
      </c>
      <c r="D17" t="s">
        <v>50</v>
      </c>
      <c r="E17" s="5">
        <v>8</v>
      </c>
      <c r="F17" s="5" t="s">
        <v>31</v>
      </c>
      <c r="G17" t="s">
        <v>51</v>
      </c>
      <c r="L17" t="s">
        <v>291</v>
      </c>
      <c r="AB17" t="s">
        <v>52</v>
      </c>
      <c r="AC17" s="2">
        <v>44306.606238425928</v>
      </c>
      <c r="AD17" t="s">
        <v>33</v>
      </c>
      <c r="AE17" s="2">
        <v>44306.606238425928</v>
      </c>
      <c r="AF17" t="s">
        <v>33</v>
      </c>
    </row>
    <row r="18" spans="1:32" x14ac:dyDescent="0.25">
      <c r="A18" s="3">
        <v>66</v>
      </c>
      <c r="B18" s="6">
        <v>44306</v>
      </c>
      <c r="C18" s="7">
        <f>AC18-(7/24)</f>
        <v>44306.364606481489</v>
      </c>
      <c r="D18" t="s">
        <v>50</v>
      </c>
      <c r="E18" s="5">
        <v>11</v>
      </c>
      <c r="F18" s="5" t="s">
        <v>31</v>
      </c>
      <c r="G18" t="s">
        <v>51</v>
      </c>
      <c r="L18" t="s">
        <v>291</v>
      </c>
      <c r="AB18" t="s">
        <v>139</v>
      </c>
      <c r="AC18" s="2">
        <v>44306.656273148154</v>
      </c>
      <c r="AD18" t="s">
        <v>33</v>
      </c>
      <c r="AE18" s="2">
        <v>44306.657314814824</v>
      </c>
      <c r="AF18" t="s">
        <v>33</v>
      </c>
    </row>
    <row r="19" spans="1:32" x14ac:dyDescent="0.25">
      <c r="A19" s="3">
        <v>120</v>
      </c>
      <c r="B19" s="6">
        <v>44306</v>
      </c>
      <c r="C19" s="7">
        <f>AC19-(7/24)</f>
        <v>44306.364756944444</v>
      </c>
      <c r="D19" t="s">
        <v>50</v>
      </c>
      <c r="E19" s="5">
        <v>8</v>
      </c>
      <c r="F19" s="5" t="s">
        <v>171</v>
      </c>
      <c r="G19" t="s">
        <v>35</v>
      </c>
      <c r="L19" t="s">
        <v>290</v>
      </c>
      <c r="AB19" t="s">
        <v>228</v>
      </c>
      <c r="AC19" s="2">
        <v>44306.656423611108</v>
      </c>
      <c r="AD19" t="s">
        <v>33</v>
      </c>
      <c r="AE19" s="2">
        <v>44306.656423611108</v>
      </c>
      <c r="AF19" t="s">
        <v>33</v>
      </c>
    </row>
    <row r="20" spans="1:32" x14ac:dyDescent="0.25">
      <c r="A20" s="3">
        <v>90</v>
      </c>
      <c r="B20" s="6">
        <v>44306</v>
      </c>
      <c r="C20" s="7">
        <f>AC20-(7/24)</f>
        <v>44306.306435185186</v>
      </c>
      <c r="D20" t="s">
        <v>45</v>
      </c>
      <c r="E20" s="5">
        <v>1</v>
      </c>
      <c r="F20" s="5" t="s">
        <v>31</v>
      </c>
      <c r="G20" t="s">
        <v>75</v>
      </c>
      <c r="L20" t="s">
        <v>290</v>
      </c>
      <c r="AB20" t="s">
        <v>181</v>
      </c>
      <c r="AC20" s="2">
        <v>44306.598101851851</v>
      </c>
      <c r="AD20" t="s">
        <v>33</v>
      </c>
      <c r="AE20" s="2">
        <v>44306.598101851851</v>
      </c>
      <c r="AF20" t="s">
        <v>33</v>
      </c>
    </row>
    <row r="21" spans="1:32" x14ac:dyDescent="0.25">
      <c r="A21" s="3">
        <v>6</v>
      </c>
      <c r="B21" s="6">
        <v>44306</v>
      </c>
      <c r="C21" s="7">
        <f>AC21-(7/24)</f>
        <v>44306.311053240745</v>
      </c>
      <c r="D21" t="s">
        <v>45</v>
      </c>
      <c r="E21" s="5">
        <v>1</v>
      </c>
      <c r="F21" s="5" t="s">
        <v>31</v>
      </c>
      <c r="G21" t="s">
        <v>40</v>
      </c>
      <c r="L21" t="s">
        <v>291</v>
      </c>
      <c r="AB21" t="s">
        <v>46</v>
      </c>
      <c r="AC21" s="2">
        <v>44306.602719907409</v>
      </c>
      <c r="AD21" t="s">
        <v>33</v>
      </c>
      <c r="AE21" s="2">
        <v>44306.602997685193</v>
      </c>
      <c r="AF21" t="s">
        <v>33</v>
      </c>
    </row>
    <row r="22" spans="1:32" x14ac:dyDescent="0.25">
      <c r="A22" s="3">
        <v>95</v>
      </c>
      <c r="B22" s="6">
        <v>44306</v>
      </c>
      <c r="C22" s="7">
        <f>AC22-(7/24)</f>
        <v>44306.311851851853</v>
      </c>
      <c r="D22" t="s">
        <v>45</v>
      </c>
      <c r="E22" s="5">
        <v>1</v>
      </c>
      <c r="F22" s="5" t="s">
        <v>31</v>
      </c>
      <c r="G22" t="s">
        <v>43</v>
      </c>
      <c r="H22" t="s">
        <v>186</v>
      </c>
      <c r="L22" t="s">
        <v>290</v>
      </c>
      <c r="AB22" t="s">
        <v>187</v>
      </c>
      <c r="AC22" s="2">
        <v>44306.603518518517</v>
      </c>
      <c r="AD22" t="s">
        <v>33</v>
      </c>
      <c r="AE22" s="2">
        <v>44306.603518518517</v>
      </c>
      <c r="AF22" t="s">
        <v>33</v>
      </c>
    </row>
    <row r="23" spans="1:32" x14ac:dyDescent="0.25">
      <c r="A23" s="3">
        <v>11</v>
      </c>
      <c r="B23" s="6">
        <v>44306</v>
      </c>
      <c r="C23" s="7">
        <f>AC23-(7/24)</f>
        <v>44306.315347222226</v>
      </c>
      <c r="D23" t="s">
        <v>45</v>
      </c>
      <c r="E23" s="5">
        <v>1</v>
      </c>
      <c r="F23" s="5" t="s">
        <v>31</v>
      </c>
      <c r="G23" t="s">
        <v>40</v>
      </c>
      <c r="L23" t="s">
        <v>291</v>
      </c>
      <c r="AB23" t="s">
        <v>57</v>
      </c>
      <c r="AC23" s="2">
        <v>44306.60701388889</v>
      </c>
      <c r="AD23" t="s">
        <v>33</v>
      </c>
      <c r="AE23" s="2">
        <v>44306.60701388889</v>
      </c>
      <c r="AF23" t="s">
        <v>33</v>
      </c>
    </row>
    <row r="24" spans="1:32" x14ac:dyDescent="0.25">
      <c r="A24" s="3">
        <v>35</v>
      </c>
      <c r="B24" s="6">
        <v>44306</v>
      </c>
      <c r="C24" s="7">
        <f>AC24-(7/24)</f>
        <v>44306.336365740754</v>
      </c>
      <c r="D24" t="s">
        <v>45</v>
      </c>
      <c r="E24" s="5">
        <v>1</v>
      </c>
      <c r="F24" s="5" t="s">
        <v>31</v>
      </c>
      <c r="G24" t="s">
        <v>48</v>
      </c>
      <c r="L24" t="s">
        <v>291</v>
      </c>
      <c r="AB24" t="s">
        <v>98</v>
      </c>
      <c r="AC24" s="2">
        <v>44306.628032407418</v>
      </c>
      <c r="AD24" t="s">
        <v>33</v>
      </c>
      <c r="AE24" s="2">
        <v>44306.628032407418</v>
      </c>
      <c r="AF24" t="s">
        <v>33</v>
      </c>
    </row>
    <row r="25" spans="1:32" x14ac:dyDescent="0.25">
      <c r="A25" s="3">
        <v>110</v>
      </c>
      <c r="B25" s="6">
        <v>44306</v>
      </c>
      <c r="C25" s="7">
        <f>AC25-(7/24)</f>
        <v>44306.347928240742</v>
      </c>
      <c r="D25" t="s">
        <v>45</v>
      </c>
      <c r="E25" s="5">
        <v>1</v>
      </c>
      <c r="F25" s="5" t="s">
        <v>31</v>
      </c>
      <c r="G25" t="s">
        <v>48</v>
      </c>
      <c r="H25" t="s">
        <v>186</v>
      </c>
      <c r="L25" t="s">
        <v>290</v>
      </c>
      <c r="AB25" t="s">
        <v>213</v>
      </c>
      <c r="AC25" s="2">
        <v>44306.639594907407</v>
      </c>
      <c r="AD25" t="s">
        <v>33</v>
      </c>
      <c r="AE25" s="2">
        <v>44306.639594907407</v>
      </c>
      <c r="AF25" t="s">
        <v>33</v>
      </c>
    </row>
    <row r="26" spans="1:32" x14ac:dyDescent="0.25">
      <c r="A26" s="3">
        <v>60</v>
      </c>
      <c r="B26" s="6">
        <v>44306</v>
      </c>
      <c r="C26" s="7">
        <f>AC26-(7/24)</f>
        <v>44306.361238425925</v>
      </c>
      <c r="D26" t="s">
        <v>45</v>
      </c>
      <c r="E26" s="5">
        <v>1</v>
      </c>
      <c r="F26" s="5" t="s">
        <v>31</v>
      </c>
      <c r="G26" t="s">
        <v>48</v>
      </c>
      <c r="L26" t="s">
        <v>291</v>
      </c>
      <c r="AB26" t="s">
        <v>131</v>
      </c>
      <c r="AC26" s="2">
        <v>44306.652905092589</v>
      </c>
      <c r="AD26" t="s">
        <v>33</v>
      </c>
      <c r="AE26" s="2">
        <v>44306.652905092589</v>
      </c>
      <c r="AF26" t="s">
        <v>33</v>
      </c>
    </row>
    <row r="27" spans="1:32" x14ac:dyDescent="0.25">
      <c r="A27" s="3">
        <v>121</v>
      </c>
      <c r="B27" s="6">
        <v>44306</v>
      </c>
      <c r="C27" s="7">
        <f>AC27-(7/24)</f>
        <v>44306.365798611114</v>
      </c>
      <c r="D27" t="s">
        <v>45</v>
      </c>
      <c r="E27" s="5">
        <v>1</v>
      </c>
      <c r="F27" s="5" t="s">
        <v>31</v>
      </c>
      <c r="G27" t="s">
        <v>40</v>
      </c>
      <c r="L27" t="s">
        <v>290</v>
      </c>
      <c r="AB27" t="s">
        <v>229</v>
      </c>
      <c r="AC27" s="2">
        <v>44306.657465277778</v>
      </c>
      <c r="AD27" t="s">
        <v>33</v>
      </c>
      <c r="AE27" s="2">
        <v>44306.657465277778</v>
      </c>
      <c r="AF27" t="s">
        <v>33</v>
      </c>
    </row>
    <row r="28" spans="1:32" x14ac:dyDescent="0.25">
      <c r="A28" s="3">
        <v>131</v>
      </c>
      <c r="B28" s="6">
        <v>44306</v>
      </c>
      <c r="C28" s="7">
        <f>AC28-(7/24)</f>
        <v>44306.374108796299</v>
      </c>
      <c r="D28" t="s">
        <v>45</v>
      </c>
      <c r="E28" s="5">
        <v>1</v>
      </c>
      <c r="F28" s="5" t="s">
        <v>31</v>
      </c>
      <c r="G28" t="s">
        <v>48</v>
      </c>
      <c r="L28" t="s">
        <v>290</v>
      </c>
      <c r="AB28" t="s">
        <v>240</v>
      </c>
      <c r="AC28" s="2">
        <v>44306.665775462963</v>
      </c>
      <c r="AD28" t="s">
        <v>33</v>
      </c>
      <c r="AE28" s="2">
        <v>44306.665775462963</v>
      </c>
      <c r="AF28" t="s">
        <v>33</v>
      </c>
    </row>
    <row r="29" spans="1:32" x14ac:dyDescent="0.25">
      <c r="A29" s="3">
        <v>151</v>
      </c>
      <c r="B29" s="6">
        <v>44306</v>
      </c>
      <c r="C29" s="7">
        <f>AC29-(7/24)</f>
        <v>44306.393125000002</v>
      </c>
      <c r="D29" t="s">
        <v>45</v>
      </c>
      <c r="E29" s="5">
        <v>1</v>
      </c>
      <c r="F29" s="5" t="s">
        <v>31</v>
      </c>
      <c r="G29" t="s">
        <v>40</v>
      </c>
      <c r="L29" t="s">
        <v>290</v>
      </c>
      <c r="AB29" t="s">
        <v>267</v>
      </c>
      <c r="AC29" s="2">
        <v>44306.684791666667</v>
      </c>
      <c r="AD29" t="s">
        <v>33</v>
      </c>
      <c r="AE29" s="2">
        <v>44306.684791666667</v>
      </c>
      <c r="AF29" t="s">
        <v>33</v>
      </c>
    </row>
    <row r="30" spans="1:32" x14ac:dyDescent="0.25">
      <c r="A30" s="3">
        <v>1</v>
      </c>
      <c r="B30" s="6">
        <v>44306</v>
      </c>
      <c r="C30" s="7">
        <f>AC30-(7/24)</f>
        <v>44306.300868055558</v>
      </c>
      <c r="D30" t="s">
        <v>30</v>
      </c>
      <c r="E30" s="5">
        <v>1</v>
      </c>
      <c r="F30" s="5" t="s">
        <v>31</v>
      </c>
      <c r="L30" t="s">
        <v>291</v>
      </c>
      <c r="AB30" t="s">
        <v>32</v>
      </c>
      <c r="AC30" s="2">
        <v>44306.592534722222</v>
      </c>
      <c r="AD30" t="s">
        <v>33</v>
      </c>
      <c r="AE30" s="2">
        <v>44306.592534722222</v>
      </c>
      <c r="AF30" t="s">
        <v>33</v>
      </c>
    </row>
    <row r="31" spans="1:32" x14ac:dyDescent="0.25">
      <c r="A31" s="3">
        <v>42</v>
      </c>
      <c r="B31" s="6">
        <v>44306</v>
      </c>
      <c r="C31" s="7">
        <f>AC31-(7/24)</f>
        <v>44306.344884259262</v>
      </c>
      <c r="D31" t="s">
        <v>30</v>
      </c>
      <c r="E31" s="5">
        <v>1</v>
      </c>
      <c r="F31" s="5" t="s">
        <v>31</v>
      </c>
      <c r="G31" t="s">
        <v>70</v>
      </c>
      <c r="L31" t="s">
        <v>291</v>
      </c>
      <c r="AB31" t="s">
        <v>108</v>
      </c>
      <c r="AC31" s="2">
        <v>44306.636550925927</v>
      </c>
      <c r="AD31" t="s">
        <v>33</v>
      </c>
      <c r="AE31" s="2">
        <v>44306.636550925927</v>
      </c>
      <c r="AF31" t="s">
        <v>33</v>
      </c>
    </row>
    <row r="32" spans="1:32" x14ac:dyDescent="0.25">
      <c r="A32" s="3">
        <v>44</v>
      </c>
      <c r="B32" s="6">
        <v>44306</v>
      </c>
      <c r="C32" s="7">
        <f>AC32-(7/24)</f>
        <v>44306.345509259263</v>
      </c>
      <c r="D32" t="s">
        <v>30</v>
      </c>
      <c r="E32" s="5">
        <v>2</v>
      </c>
      <c r="F32" s="5" t="s">
        <v>31</v>
      </c>
      <c r="G32" t="s">
        <v>70</v>
      </c>
      <c r="L32" t="s">
        <v>291</v>
      </c>
      <c r="AB32" t="s">
        <v>110</v>
      </c>
      <c r="AC32" s="2">
        <v>44306.637175925927</v>
      </c>
      <c r="AD32" t="s">
        <v>33</v>
      </c>
      <c r="AE32" s="2">
        <v>44306.637175925927</v>
      </c>
      <c r="AF32" t="s">
        <v>33</v>
      </c>
    </row>
    <row r="33" spans="1:32" x14ac:dyDescent="0.25">
      <c r="A33" s="3">
        <v>3</v>
      </c>
      <c r="B33" s="6">
        <v>44306</v>
      </c>
      <c r="C33" s="7">
        <f>AC33-(7/24)</f>
        <v>44306.302534722228</v>
      </c>
      <c r="D33" t="s">
        <v>37</v>
      </c>
      <c r="E33" s="5">
        <v>2</v>
      </c>
      <c r="F33" s="5" t="s">
        <v>31</v>
      </c>
      <c r="G33" t="s">
        <v>35</v>
      </c>
      <c r="L33" t="s">
        <v>291</v>
      </c>
      <c r="AB33" t="s">
        <v>38</v>
      </c>
      <c r="AC33" s="2">
        <v>44306.594201388893</v>
      </c>
      <c r="AD33" t="s">
        <v>33</v>
      </c>
      <c r="AE33" s="2">
        <v>44306.594502314823</v>
      </c>
      <c r="AF33" t="s">
        <v>33</v>
      </c>
    </row>
    <row r="34" spans="1:32" x14ac:dyDescent="0.25">
      <c r="A34" s="3">
        <v>71</v>
      </c>
      <c r="B34" s="6">
        <v>44306</v>
      </c>
      <c r="C34" s="7">
        <f>AC34-(7/24)</f>
        <v>44306.371041666673</v>
      </c>
      <c r="D34" t="s">
        <v>37</v>
      </c>
      <c r="E34" s="5">
        <v>1</v>
      </c>
      <c r="F34" s="5" t="s">
        <v>31</v>
      </c>
      <c r="G34" t="s">
        <v>134</v>
      </c>
      <c r="L34" t="s">
        <v>291</v>
      </c>
      <c r="AB34" t="s">
        <v>145</v>
      </c>
      <c r="AC34" s="2">
        <v>44306.662708333337</v>
      </c>
      <c r="AD34" t="s">
        <v>33</v>
      </c>
      <c r="AE34" s="2">
        <v>44306.662708333337</v>
      </c>
      <c r="AF34" t="s">
        <v>33</v>
      </c>
    </row>
    <row r="35" spans="1:32" x14ac:dyDescent="0.25">
      <c r="A35" s="3">
        <v>29</v>
      </c>
      <c r="B35" s="6">
        <v>44306</v>
      </c>
      <c r="C35" s="7">
        <f>AC35-(7/24)</f>
        <v>44306.328564814816</v>
      </c>
      <c r="D35" t="s">
        <v>88</v>
      </c>
      <c r="E35" s="5">
        <v>1</v>
      </c>
      <c r="F35" s="5" t="s">
        <v>31</v>
      </c>
      <c r="G35" t="s">
        <v>48</v>
      </c>
      <c r="L35" t="s">
        <v>291</v>
      </c>
      <c r="AB35" t="s">
        <v>89</v>
      </c>
      <c r="AC35" s="2">
        <v>44306.62023148148</v>
      </c>
      <c r="AD35" t="s">
        <v>33</v>
      </c>
      <c r="AE35" s="2">
        <v>44306.62023148148</v>
      </c>
      <c r="AF35" t="s">
        <v>33</v>
      </c>
    </row>
    <row r="36" spans="1:32" x14ac:dyDescent="0.25">
      <c r="A36" s="3">
        <v>165</v>
      </c>
      <c r="B36" s="6">
        <v>44306</v>
      </c>
      <c r="C36" s="7">
        <f>AC36-(7/24)</f>
        <v>44306.408958333333</v>
      </c>
      <c r="D36" t="s">
        <v>170</v>
      </c>
      <c r="E36" s="5">
        <v>1</v>
      </c>
      <c r="F36" s="5" t="s">
        <v>31</v>
      </c>
      <c r="G36" t="s">
        <v>51</v>
      </c>
      <c r="L36" t="s">
        <v>290</v>
      </c>
      <c r="AB36" t="s">
        <v>283</v>
      </c>
      <c r="AC36" s="2">
        <v>44306.700624999998</v>
      </c>
      <c r="AD36" t="s">
        <v>33</v>
      </c>
      <c r="AE36" s="2">
        <v>44306.700624999998</v>
      </c>
      <c r="AF36" t="s">
        <v>33</v>
      </c>
    </row>
    <row r="37" spans="1:32" x14ac:dyDescent="0.25">
      <c r="A37" s="3">
        <v>85</v>
      </c>
      <c r="B37" s="6">
        <v>44306</v>
      </c>
      <c r="C37" s="7">
        <f>AC37-(7/24)</f>
        <v>44306.415162037032</v>
      </c>
      <c r="D37" t="s">
        <v>170</v>
      </c>
      <c r="E37" s="5">
        <v>1</v>
      </c>
      <c r="F37" s="5" t="s">
        <v>171</v>
      </c>
      <c r="G37" t="s">
        <v>119</v>
      </c>
      <c r="L37" t="s">
        <v>291</v>
      </c>
      <c r="AB37" t="s">
        <v>172</v>
      </c>
      <c r="AC37" s="2">
        <v>44306.706828703696</v>
      </c>
      <c r="AD37" t="s">
        <v>33</v>
      </c>
      <c r="AE37" s="2">
        <v>44306.707395833328</v>
      </c>
      <c r="AF37" t="s">
        <v>33</v>
      </c>
    </row>
    <row r="38" spans="1:32" x14ac:dyDescent="0.25">
      <c r="A38" s="3">
        <v>36</v>
      </c>
      <c r="B38" s="6">
        <v>44306</v>
      </c>
      <c r="C38" s="7">
        <f>AC38-(7/24)</f>
        <v>44306.341192129643</v>
      </c>
      <c r="D38" t="s">
        <v>99</v>
      </c>
      <c r="E38" s="5">
        <v>5</v>
      </c>
      <c r="F38" s="5" t="s">
        <v>31</v>
      </c>
      <c r="L38" t="s">
        <v>291</v>
      </c>
      <c r="AB38" t="s">
        <v>100</v>
      </c>
      <c r="AC38" s="2">
        <v>44306.632858796307</v>
      </c>
      <c r="AD38" t="s">
        <v>33</v>
      </c>
      <c r="AE38" s="2">
        <v>44306.632858796307</v>
      </c>
      <c r="AF38" t="s">
        <v>33</v>
      </c>
    </row>
    <row r="39" spans="1:32" x14ac:dyDescent="0.25">
      <c r="A39" s="3">
        <v>135</v>
      </c>
      <c r="B39" s="6">
        <v>44306</v>
      </c>
      <c r="C39" s="7">
        <f>AC39-(7/24)</f>
        <v>44306.378287037049</v>
      </c>
      <c r="D39" t="s">
        <v>99</v>
      </c>
      <c r="E39" s="5">
        <v>2</v>
      </c>
      <c r="F39" s="5" t="s">
        <v>31</v>
      </c>
      <c r="G39" t="s">
        <v>48</v>
      </c>
      <c r="J39" t="s">
        <v>302</v>
      </c>
      <c r="L39" t="s">
        <v>290</v>
      </c>
      <c r="AB39" t="s">
        <v>246</v>
      </c>
      <c r="AC39" s="2">
        <v>44306.669953703713</v>
      </c>
      <c r="AD39" t="s">
        <v>33</v>
      </c>
      <c r="AE39" s="2">
        <v>44306.669953703713</v>
      </c>
      <c r="AF39" t="s">
        <v>33</v>
      </c>
    </row>
    <row r="40" spans="1:32" x14ac:dyDescent="0.25">
      <c r="A40" s="3">
        <v>33</v>
      </c>
      <c r="B40" s="6">
        <v>44306</v>
      </c>
      <c r="C40" s="7">
        <f>AC40-(7/24)</f>
        <v>44306.335046296299</v>
      </c>
      <c r="D40" t="s">
        <v>95</v>
      </c>
      <c r="E40" s="5">
        <v>2</v>
      </c>
      <c r="F40" s="5" t="s">
        <v>31</v>
      </c>
      <c r="G40" t="s">
        <v>70</v>
      </c>
      <c r="L40" t="s">
        <v>291</v>
      </c>
      <c r="AB40" t="s">
        <v>96</v>
      </c>
      <c r="AC40" s="2">
        <v>44306.626712962963</v>
      </c>
      <c r="AD40" t="s">
        <v>33</v>
      </c>
      <c r="AE40" s="2">
        <v>44306.626712962963</v>
      </c>
      <c r="AF40" t="s">
        <v>33</v>
      </c>
    </row>
    <row r="41" spans="1:32" x14ac:dyDescent="0.25">
      <c r="A41" s="3">
        <v>37</v>
      </c>
      <c r="B41" s="6">
        <v>44306</v>
      </c>
      <c r="C41" s="7">
        <f>AC41-(7/24)</f>
        <v>44306.341412037036</v>
      </c>
      <c r="D41" t="s">
        <v>95</v>
      </c>
      <c r="E41" s="5">
        <v>1</v>
      </c>
      <c r="F41" s="5" t="s">
        <v>31</v>
      </c>
      <c r="G41" t="s">
        <v>48</v>
      </c>
      <c r="L41" t="s">
        <v>291</v>
      </c>
      <c r="AB41" t="s">
        <v>101</v>
      </c>
      <c r="AC41" s="2">
        <v>44306.6330787037</v>
      </c>
      <c r="AD41" t="s">
        <v>33</v>
      </c>
      <c r="AE41" s="2">
        <v>44306.6330787037</v>
      </c>
      <c r="AF41" t="s">
        <v>33</v>
      </c>
    </row>
    <row r="42" spans="1:32" x14ac:dyDescent="0.25">
      <c r="A42" s="3">
        <v>112</v>
      </c>
      <c r="B42" s="6">
        <v>44306</v>
      </c>
      <c r="C42" s="7">
        <f>AC42-(7/24)</f>
        <v>44306.349560185183</v>
      </c>
      <c r="D42" t="s">
        <v>95</v>
      </c>
      <c r="E42" s="5">
        <v>1</v>
      </c>
      <c r="F42" s="5" t="s">
        <v>31</v>
      </c>
      <c r="G42" t="s">
        <v>175</v>
      </c>
      <c r="I42" t="s">
        <v>162</v>
      </c>
      <c r="J42" t="s">
        <v>215</v>
      </c>
      <c r="L42" t="s">
        <v>290</v>
      </c>
      <c r="AB42" t="s">
        <v>216</v>
      </c>
      <c r="AC42" s="2">
        <v>44306.641226851847</v>
      </c>
      <c r="AD42" t="s">
        <v>33</v>
      </c>
      <c r="AE42" s="2">
        <v>44306.646469907413</v>
      </c>
      <c r="AF42" t="s">
        <v>33</v>
      </c>
    </row>
    <row r="43" spans="1:32" x14ac:dyDescent="0.25">
      <c r="A43" s="3">
        <v>59</v>
      </c>
      <c r="B43" s="6">
        <v>44306</v>
      </c>
      <c r="C43" s="7">
        <f>AC43-(7/24)</f>
        <v>44306.360856481486</v>
      </c>
      <c r="D43" t="s">
        <v>95</v>
      </c>
      <c r="E43" s="5">
        <v>2</v>
      </c>
      <c r="F43" s="5" t="s">
        <v>31</v>
      </c>
      <c r="G43" t="s">
        <v>70</v>
      </c>
      <c r="L43" t="s">
        <v>291</v>
      </c>
      <c r="AB43" t="s">
        <v>130</v>
      </c>
      <c r="AC43" s="2">
        <v>44306.65252314815</v>
      </c>
      <c r="AD43" t="s">
        <v>33</v>
      </c>
      <c r="AE43" s="2">
        <v>44306.65252314815</v>
      </c>
      <c r="AF43" t="s">
        <v>33</v>
      </c>
    </row>
    <row r="44" spans="1:32" x14ac:dyDescent="0.25">
      <c r="A44" s="3">
        <v>72</v>
      </c>
      <c r="B44" s="6">
        <v>44306</v>
      </c>
      <c r="C44" s="7">
        <f>AC44-(7/24)</f>
        <v>44306.372094907412</v>
      </c>
      <c r="D44" t="s">
        <v>95</v>
      </c>
      <c r="E44" s="5">
        <v>1</v>
      </c>
      <c r="F44" s="5" t="s">
        <v>31</v>
      </c>
      <c r="G44" t="s">
        <v>48</v>
      </c>
      <c r="L44" t="s">
        <v>291</v>
      </c>
      <c r="AB44" t="s">
        <v>146</v>
      </c>
      <c r="AC44" s="2">
        <v>44306.663761574076</v>
      </c>
      <c r="AD44" t="s">
        <v>33</v>
      </c>
      <c r="AE44" s="2">
        <v>44306.663761574076</v>
      </c>
      <c r="AF44" t="s">
        <v>33</v>
      </c>
    </row>
    <row r="45" spans="1:32" x14ac:dyDescent="0.25">
      <c r="B45" s="6">
        <v>44306</v>
      </c>
      <c r="D45" t="s">
        <v>95</v>
      </c>
      <c r="E45" s="5">
        <v>2</v>
      </c>
      <c r="F45" s="5" t="s">
        <v>31</v>
      </c>
      <c r="J45" t="s">
        <v>304</v>
      </c>
      <c r="L45" t="s">
        <v>290</v>
      </c>
    </row>
    <row r="46" spans="1:32" x14ac:dyDescent="0.25">
      <c r="A46" s="3">
        <v>87</v>
      </c>
      <c r="B46" s="6">
        <v>44306</v>
      </c>
      <c r="C46" s="7">
        <f>AC46-(7/24)</f>
        <v>44306.302002314827</v>
      </c>
      <c r="D46" t="s">
        <v>161</v>
      </c>
      <c r="E46" s="5">
        <v>2</v>
      </c>
      <c r="F46" s="5" t="s">
        <v>31</v>
      </c>
      <c r="G46" t="s">
        <v>175</v>
      </c>
      <c r="J46" t="s">
        <v>176</v>
      </c>
      <c r="L46" t="s">
        <v>290</v>
      </c>
      <c r="AB46" t="s">
        <v>177</v>
      </c>
      <c r="AC46" s="2">
        <v>44306.593668981492</v>
      </c>
      <c r="AD46" t="s">
        <v>33</v>
      </c>
      <c r="AE46" s="2">
        <v>44306.593668981492</v>
      </c>
      <c r="AF46" t="s">
        <v>33</v>
      </c>
    </row>
    <row r="47" spans="1:32" x14ac:dyDescent="0.25">
      <c r="A47" s="3">
        <v>143</v>
      </c>
      <c r="B47" s="6">
        <v>44306</v>
      </c>
      <c r="C47" s="7">
        <f>AC47-(7/24)</f>
        <v>44306.385706018518</v>
      </c>
      <c r="D47" t="s">
        <v>161</v>
      </c>
      <c r="E47" s="5">
        <v>1</v>
      </c>
      <c r="F47" s="5" t="s">
        <v>31</v>
      </c>
      <c r="G47" t="s">
        <v>51</v>
      </c>
      <c r="L47" t="s">
        <v>290</v>
      </c>
      <c r="AB47" t="s">
        <v>257</v>
      </c>
      <c r="AC47" s="2">
        <v>44306.677372685182</v>
      </c>
      <c r="AD47" t="s">
        <v>33</v>
      </c>
      <c r="AE47" s="2">
        <v>44306.677372685182</v>
      </c>
      <c r="AF47" t="s">
        <v>33</v>
      </c>
    </row>
    <row r="48" spans="1:32" x14ac:dyDescent="0.25">
      <c r="A48" s="3">
        <v>81</v>
      </c>
      <c r="B48" s="6">
        <v>44306</v>
      </c>
      <c r="C48" s="7">
        <f>AC48-(7/24)</f>
        <v>44306.404108796298</v>
      </c>
      <c r="D48" t="s">
        <v>161</v>
      </c>
      <c r="E48" s="5">
        <v>6</v>
      </c>
      <c r="F48" s="5" t="s">
        <v>31</v>
      </c>
      <c r="I48" t="s">
        <v>162</v>
      </c>
      <c r="J48" t="s">
        <v>163</v>
      </c>
      <c r="L48" t="s">
        <v>291</v>
      </c>
      <c r="AB48" t="s">
        <v>164</v>
      </c>
      <c r="AC48" s="2">
        <v>44306.695775462962</v>
      </c>
      <c r="AD48" t="s">
        <v>33</v>
      </c>
      <c r="AE48" s="2">
        <v>44306.695775462962</v>
      </c>
      <c r="AF48" t="s">
        <v>33</v>
      </c>
    </row>
    <row r="49" spans="1:32" x14ac:dyDescent="0.25">
      <c r="A49" s="3">
        <v>23</v>
      </c>
      <c r="B49" s="6">
        <v>44306</v>
      </c>
      <c r="C49" s="7">
        <f>AC49-(7/24)</f>
        <v>44306.325335648158</v>
      </c>
      <c r="D49" t="s">
        <v>77</v>
      </c>
      <c r="E49" s="5">
        <v>1</v>
      </c>
      <c r="F49" s="5" t="s">
        <v>31</v>
      </c>
      <c r="G49" t="s">
        <v>75</v>
      </c>
      <c r="L49" t="s">
        <v>291</v>
      </c>
      <c r="AB49" t="s">
        <v>78</v>
      </c>
      <c r="AC49" s="2">
        <v>44306.617002314822</v>
      </c>
      <c r="AD49" t="s">
        <v>33</v>
      </c>
      <c r="AE49" s="2">
        <v>44306.617002314822</v>
      </c>
      <c r="AF49" t="s">
        <v>33</v>
      </c>
    </row>
    <row r="50" spans="1:32" x14ac:dyDescent="0.25">
      <c r="A50" s="3">
        <v>50</v>
      </c>
      <c r="B50" s="6">
        <v>44306</v>
      </c>
      <c r="C50" s="7">
        <f>AC50-(7/24)</f>
        <v>44306.353946759264</v>
      </c>
      <c r="D50" t="s">
        <v>118</v>
      </c>
      <c r="E50" s="5">
        <v>20</v>
      </c>
      <c r="F50" s="5" t="s">
        <v>31</v>
      </c>
      <c r="G50" t="s">
        <v>119</v>
      </c>
      <c r="L50" t="s">
        <v>291</v>
      </c>
      <c r="AB50" t="s">
        <v>120</v>
      </c>
      <c r="AC50" s="2">
        <v>44306.645613425928</v>
      </c>
      <c r="AD50" t="s">
        <v>33</v>
      </c>
      <c r="AE50" s="2">
        <v>44306.645613425928</v>
      </c>
      <c r="AF50" t="s">
        <v>33</v>
      </c>
    </row>
    <row r="51" spans="1:32" x14ac:dyDescent="0.25">
      <c r="A51" s="3">
        <v>94</v>
      </c>
      <c r="B51" s="6">
        <v>44306</v>
      </c>
      <c r="C51" s="7">
        <f>AC51-(7/24)</f>
        <v>44306.309421296297</v>
      </c>
      <c r="D51" t="s">
        <v>42</v>
      </c>
      <c r="E51" s="5">
        <v>30</v>
      </c>
      <c r="F51" s="5" t="s">
        <v>31</v>
      </c>
      <c r="G51" t="s">
        <v>43</v>
      </c>
      <c r="L51" t="s">
        <v>290</v>
      </c>
      <c r="AB51" t="s">
        <v>185</v>
      </c>
      <c r="AC51" s="2">
        <v>44306.601087962961</v>
      </c>
      <c r="AD51" t="s">
        <v>33</v>
      </c>
      <c r="AE51" s="2">
        <v>44306.601527777777</v>
      </c>
      <c r="AF51" t="s">
        <v>33</v>
      </c>
    </row>
    <row r="52" spans="1:32" x14ac:dyDescent="0.25">
      <c r="A52" s="3">
        <v>5</v>
      </c>
      <c r="B52" s="6">
        <v>44306</v>
      </c>
      <c r="C52" s="7">
        <f>AC52-(7/24)</f>
        <v>44306.309641203705</v>
      </c>
      <c r="D52" t="s">
        <v>42</v>
      </c>
      <c r="E52" s="5">
        <v>30</v>
      </c>
      <c r="F52" s="5" t="s">
        <v>31</v>
      </c>
      <c r="G52" t="s">
        <v>43</v>
      </c>
      <c r="L52" t="s">
        <v>291</v>
      </c>
      <c r="AB52" t="s">
        <v>44</v>
      </c>
      <c r="AC52" s="2">
        <v>44306.601307870369</v>
      </c>
      <c r="AD52" t="s">
        <v>33</v>
      </c>
      <c r="AE52" s="2">
        <v>44306.604305555556</v>
      </c>
      <c r="AF52" t="s">
        <v>33</v>
      </c>
    </row>
    <row r="53" spans="1:32" x14ac:dyDescent="0.25">
      <c r="A53" s="3">
        <v>17</v>
      </c>
      <c r="B53" s="6">
        <v>44306</v>
      </c>
      <c r="C53" s="7">
        <f>AC53-(7/24)</f>
        <v>44306.320648148168</v>
      </c>
      <c r="D53" t="s">
        <v>42</v>
      </c>
      <c r="E53" s="5">
        <v>20</v>
      </c>
      <c r="F53" s="5" t="s">
        <v>31</v>
      </c>
      <c r="G53" t="s">
        <v>43</v>
      </c>
      <c r="L53" t="s">
        <v>291</v>
      </c>
      <c r="AB53" t="s">
        <v>65</v>
      </c>
      <c r="AC53" s="2">
        <v>44306.612314814833</v>
      </c>
      <c r="AD53" t="s">
        <v>33</v>
      </c>
      <c r="AE53" s="2">
        <v>44306.612314814833</v>
      </c>
      <c r="AF53" t="s">
        <v>33</v>
      </c>
    </row>
    <row r="54" spans="1:32" x14ac:dyDescent="0.25">
      <c r="A54" s="3">
        <v>136</v>
      </c>
      <c r="B54" s="6">
        <v>44306</v>
      </c>
      <c r="C54" s="7">
        <f>AC54-(7/24)</f>
        <v>44306.379016203704</v>
      </c>
      <c r="D54" t="s">
        <v>42</v>
      </c>
      <c r="E54" s="5">
        <v>140</v>
      </c>
      <c r="F54" s="5" t="s">
        <v>31</v>
      </c>
      <c r="G54" t="s">
        <v>35</v>
      </c>
      <c r="I54" t="s">
        <v>247</v>
      </c>
      <c r="J54" t="s">
        <v>248</v>
      </c>
      <c r="L54" t="s">
        <v>290</v>
      </c>
      <c r="AB54" t="s">
        <v>249</v>
      </c>
      <c r="AC54" s="2">
        <v>44306.670682870368</v>
      </c>
      <c r="AD54" t="s">
        <v>33</v>
      </c>
      <c r="AE54" s="2">
        <v>44306.679965277777</v>
      </c>
      <c r="AF54" t="s">
        <v>33</v>
      </c>
    </row>
    <row r="55" spans="1:32" x14ac:dyDescent="0.25">
      <c r="A55" s="3">
        <v>28</v>
      </c>
      <c r="B55" s="6">
        <v>44306</v>
      </c>
      <c r="C55" s="7">
        <f>AC55-(7/24)</f>
        <v>44306.328252314815</v>
      </c>
      <c r="D55" t="s">
        <v>86</v>
      </c>
      <c r="E55" s="5">
        <v>1</v>
      </c>
      <c r="F55" s="5" t="s">
        <v>31</v>
      </c>
      <c r="G55" t="s">
        <v>48</v>
      </c>
      <c r="L55" t="s">
        <v>291</v>
      </c>
      <c r="AB55" t="s">
        <v>87</v>
      </c>
      <c r="AC55" s="2">
        <v>44306.61991898148</v>
      </c>
      <c r="AD55" t="s">
        <v>33</v>
      </c>
      <c r="AE55" s="2">
        <v>44306.61991898148</v>
      </c>
      <c r="AF55" t="s">
        <v>33</v>
      </c>
    </row>
    <row r="56" spans="1:32" x14ac:dyDescent="0.25">
      <c r="A56" s="3">
        <v>128</v>
      </c>
      <c r="B56" s="6">
        <v>44306</v>
      </c>
      <c r="C56" s="7">
        <f>AC56-(7/24)</f>
        <v>44306.372731481482</v>
      </c>
      <c r="D56" t="s">
        <v>86</v>
      </c>
      <c r="E56" s="5">
        <v>1</v>
      </c>
      <c r="F56" s="5" t="s">
        <v>31</v>
      </c>
      <c r="G56" t="s">
        <v>43</v>
      </c>
      <c r="L56" t="s">
        <v>290</v>
      </c>
      <c r="AB56" t="s">
        <v>237</v>
      </c>
      <c r="AC56" s="2">
        <v>44306.664398148147</v>
      </c>
      <c r="AD56" t="s">
        <v>33</v>
      </c>
      <c r="AE56" s="2">
        <v>44306.664398148147</v>
      </c>
      <c r="AF56" t="s">
        <v>33</v>
      </c>
    </row>
    <row r="57" spans="1:32" x14ac:dyDescent="0.25">
      <c r="A57" s="3">
        <v>137</v>
      </c>
      <c r="B57" s="6">
        <v>44306</v>
      </c>
      <c r="C57" s="7">
        <f>AC57-(7/24)</f>
        <v>44306.380671296298</v>
      </c>
      <c r="D57" t="s">
        <v>86</v>
      </c>
      <c r="E57" s="5">
        <v>2</v>
      </c>
      <c r="F57" s="5" t="s">
        <v>31</v>
      </c>
      <c r="G57" t="s">
        <v>48</v>
      </c>
      <c r="L57" t="s">
        <v>290</v>
      </c>
      <c r="AB57" t="s">
        <v>250</v>
      </c>
      <c r="AC57" s="2">
        <v>44306.672337962962</v>
      </c>
      <c r="AD57" t="s">
        <v>33</v>
      </c>
      <c r="AE57" s="2">
        <v>44306.672337962962</v>
      </c>
      <c r="AF57" t="s">
        <v>33</v>
      </c>
    </row>
    <row r="58" spans="1:32" x14ac:dyDescent="0.25">
      <c r="A58" s="3">
        <v>149</v>
      </c>
      <c r="B58" s="6">
        <v>44306</v>
      </c>
      <c r="C58" s="7">
        <f>AC58-(7/24)</f>
        <v>44306.389814814815</v>
      </c>
      <c r="D58" t="s">
        <v>86</v>
      </c>
      <c r="E58" s="5">
        <v>1</v>
      </c>
      <c r="F58" s="5" t="s">
        <v>31</v>
      </c>
      <c r="G58" t="s">
        <v>70</v>
      </c>
      <c r="L58" t="s">
        <v>290</v>
      </c>
      <c r="AB58" t="s">
        <v>265</v>
      </c>
      <c r="AC58" s="2">
        <v>44306.681481481479</v>
      </c>
      <c r="AD58" t="s">
        <v>33</v>
      </c>
      <c r="AE58" s="2">
        <v>44306.681481481479</v>
      </c>
      <c r="AF58" t="s">
        <v>33</v>
      </c>
    </row>
    <row r="59" spans="1:32" x14ac:dyDescent="0.25">
      <c r="A59" s="3">
        <v>150</v>
      </c>
      <c r="B59" s="6">
        <v>44306</v>
      </c>
      <c r="C59" s="7">
        <f>AC59-(7/24)</f>
        <v>44306.392615740733</v>
      </c>
      <c r="D59" t="s">
        <v>86</v>
      </c>
      <c r="E59" s="5">
        <v>2</v>
      </c>
      <c r="F59" s="5" t="s">
        <v>31</v>
      </c>
      <c r="G59" t="s">
        <v>40</v>
      </c>
      <c r="L59" t="s">
        <v>290</v>
      </c>
      <c r="AB59" t="s">
        <v>266</v>
      </c>
      <c r="AC59" s="2">
        <v>44306.684282407397</v>
      </c>
      <c r="AD59" t="s">
        <v>33</v>
      </c>
      <c r="AE59" s="2">
        <v>44306.684282407397</v>
      </c>
      <c r="AF59" t="s">
        <v>33</v>
      </c>
    </row>
    <row r="60" spans="1:32" x14ac:dyDescent="0.25">
      <c r="A60" s="3">
        <v>164</v>
      </c>
      <c r="B60" s="6">
        <v>44306</v>
      </c>
      <c r="C60" s="7">
        <f>AC60-(7/24)</f>
        <v>44306.403391203705</v>
      </c>
      <c r="D60" t="s">
        <v>86</v>
      </c>
      <c r="E60" s="5">
        <v>1</v>
      </c>
      <c r="F60" s="5" t="s">
        <v>31</v>
      </c>
      <c r="G60" t="s">
        <v>40</v>
      </c>
      <c r="H60" t="s">
        <v>281</v>
      </c>
      <c r="L60" t="s">
        <v>290</v>
      </c>
      <c r="AB60" t="s">
        <v>282</v>
      </c>
      <c r="AC60" s="2">
        <v>44306.695057870369</v>
      </c>
      <c r="AD60" t="s">
        <v>33</v>
      </c>
      <c r="AE60" s="2">
        <v>44306.695057870369</v>
      </c>
      <c r="AF60" t="s">
        <v>33</v>
      </c>
    </row>
    <row r="61" spans="1:32" x14ac:dyDescent="0.25">
      <c r="A61" s="3">
        <v>148</v>
      </c>
      <c r="B61" s="6">
        <v>44306</v>
      </c>
      <c r="C61" s="7">
        <f>AC61-(7/24)</f>
        <v>44306.389224537037</v>
      </c>
      <c r="D61" t="s">
        <v>263</v>
      </c>
      <c r="E61" s="5">
        <v>1</v>
      </c>
      <c r="F61" s="5" t="s">
        <v>31</v>
      </c>
      <c r="G61" t="s">
        <v>48</v>
      </c>
      <c r="L61" t="s">
        <v>290</v>
      </c>
      <c r="AB61" t="s">
        <v>264</v>
      </c>
      <c r="AC61" s="2">
        <v>44306.680891203701</v>
      </c>
      <c r="AD61" t="s">
        <v>33</v>
      </c>
      <c r="AE61" s="2">
        <v>44306.680891203701</v>
      </c>
      <c r="AF61" t="s">
        <v>33</v>
      </c>
    </row>
    <row r="62" spans="1:32" x14ac:dyDescent="0.25">
      <c r="A62" s="3">
        <v>167</v>
      </c>
      <c r="B62" s="6">
        <v>44306</v>
      </c>
      <c r="C62" s="7">
        <f>AC62-(7/24)</f>
        <v>44306.411516203705</v>
      </c>
      <c r="D62" t="s">
        <v>263</v>
      </c>
      <c r="E62" s="5">
        <v>1</v>
      </c>
      <c r="F62" s="5" t="s">
        <v>31</v>
      </c>
      <c r="G62" t="s">
        <v>75</v>
      </c>
      <c r="L62" t="s">
        <v>290</v>
      </c>
      <c r="AB62" t="s">
        <v>285</v>
      </c>
      <c r="AC62" s="2">
        <v>44306.703182870369</v>
      </c>
      <c r="AD62" t="s">
        <v>33</v>
      </c>
      <c r="AE62" s="2">
        <v>44306.703182870369</v>
      </c>
      <c r="AF62" t="s">
        <v>33</v>
      </c>
    </row>
    <row r="63" spans="1:32" x14ac:dyDescent="0.25">
      <c r="A63" s="3">
        <v>93</v>
      </c>
      <c r="B63" s="6">
        <v>44306</v>
      </c>
      <c r="C63" s="7">
        <f>AC63-(7/24)</f>
        <v>44306.309166666666</v>
      </c>
      <c r="D63" t="s">
        <v>67</v>
      </c>
      <c r="E63" s="5">
        <v>1</v>
      </c>
      <c r="F63" s="5" t="s">
        <v>31</v>
      </c>
      <c r="G63" t="s">
        <v>175</v>
      </c>
      <c r="L63" t="s">
        <v>290</v>
      </c>
      <c r="AB63" t="s">
        <v>184</v>
      </c>
      <c r="AC63" s="2">
        <v>44306.60083333333</v>
      </c>
      <c r="AD63" t="s">
        <v>33</v>
      </c>
      <c r="AE63" s="2">
        <v>44306.60083333333</v>
      </c>
      <c r="AF63" t="s">
        <v>33</v>
      </c>
    </row>
    <row r="64" spans="1:32" x14ac:dyDescent="0.25">
      <c r="A64" s="3">
        <v>19</v>
      </c>
      <c r="B64" s="6">
        <v>44306</v>
      </c>
      <c r="C64" s="7">
        <f>AC64-(7/24)</f>
        <v>44306.321388888893</v>
      </c>
      <c r="D64" t="s">
        <v>67</v>
      </c>
      <c r="E64" s="5">
        <v>1</v>
      </c>
      <c r="F64" s="5" t="s">
        <v>31</v>
      </c>
      <c r="G64" t="s">
        <v>35</v>
      </c>
      <c r="L64" t="s">
        <v>291</v>
      </c>
      <c r="AB64" t="s">
        <v>68</v>
      </c>
      <c r="AC64" s="2">
        <v>44306.613055555557</v>
      </c>
      <c r="AD64" t="s">
        <v>33</v>
      </c>
      <c r="AE64" s="2">
        <v>44306.613055555557</v>
      </c>
      <c r="AF64" t="s">
        <v>33</v>
      </c>
    </row>
    <row r="65" spans="1:32" x14ac:dyDescent="0.25">
      <c r="A65" s="3">
        <v>80</v>
      </c>
      <c r="B65" s="6">
        <v>44306</v>
      </c>
      <c r="C65" s="7">
        <f>AC65-(7/24)</f>
        <v>44306.403634259259</v>
      </c>
      <c r="D65" t="s">
        <v>289</v>
      </c>
      <c r="E65" s="5">
        <v>1</v>
      </c>
      <c r="F65" s="5" t="s">
        <v>31</v>
      </c>
      <c r="G65" t="s">
        <v>51</v>
      </c>
      <c r="J65" t="s">
        <v>159</v>
      </c>
      <c r="L65" t="s">
        <v>291</v>
      </c>
      <c r="AB65" t="s">
        <v>160</v>
      </c>
      <c r="AC65" s="2">
        <v>44306.695300925923</v>
      </c>
      <c r="AD65" t="s">
        <v>33</v>
      </c>
      <c r="AE65" s="2">
        <v>44306.695300925923</v>
      </c>
      <c r="AF65" t="s">
        <v>33</v>
      </c>
    </row>
    <row r="66" spans="1:32" x14ac:dyDescent="0.25">
      <c r="A66" s="3">
        <v>146</v>
      </c>
      <c r="B66" s="6">
        <v>44306</v>
      </c>
      <c r="C66" s="7">
        <f>AC66-(7/24)</f>
        <v>44306.386273148142</v>
      </c>
      <c r="D66" t="s">
        <v>260</v>
      </c>
      <c r="E66" s="5">
        <v>7</v>
      </c>
      <c r="F66" s="5" t="s">
        <v>31</v>
      </c>
      <c r="G66" t="s">
        <v>175</v>
      </c>
      <c r="J66" t="s">
        <v>303</v>
      </c>
      <c r="L66" t="s">
        <v>290</v>
      </c>
      <c r="AB66" t="s">
        <v>261</v>
      </c>
      <c r="AC66" s="2">
        <v>44306.677939814806</v>
      </c>
      <c r="AD66" t="s">
        <v>33</v>
      </c>
      <c r="AE66" s="2">
        <v>44306.677939814806</v>
      </c>
      <c r="AF66" t="s">
        <v>33</v>
      </c>
    </row>
    <row r="67" spans="1:32" x14ac:dyDescent="0.25">
      <c r="A67" s="3">
        <v>9</v>
      </c>
      <c r="B67" s="6">
        <v>44306</v>
      </c>
      <c r="C67" s="7">
        <f>AC67-(7/24)</f>
        <v>44306.314803240733</v>
      </c>
      <c r="D67" t="s">
        <v>53</v>
      </c>
      <c r="E67" s="5">
        <v>7</v>
      </c>
      <c r="F67" s="5" t="s">
        <v>31</v>
      </c>
      <c r="G67" t="s">
        <v>51</v>
      </c>
      <c r="L67" t="s">
        <v>291</v>
      </c>
      <c r="AB67" t="s">
        <v>54</v>
      </c>
      <c r="AC67" s="2">
        <v>44306.606469907398</v>
      </c>
      <c r="AD67" t="s">
        <v>33</v>
      </c>
      <c r="AE67" s="2">
        <v>44306.606469907398</v>
      </c>
      <c r="AF67" t="s">
        <v>33</v>
      </c>
    </row>
    <row r="68" spans="1:32" x14ac:dyDescent="0.25">
      <c r="A68" s="3">
        <v>18</v>
      </c>
      <c r="B68" s="6">
        <v>44306</v>
      </c>
      <c r="C68" s="7">
        <f>AC68-(7/24)</f>
        <v>44306.321215277778</v>
      </c>
      <c r="D68" t="s">
        <v>53</v>
      </c>
      <c r="E68" s="5">
        <v>2</v>
      </c>
      <c r="F68" s="5" t="s">
        <v>31</v>
      </c>
      <c r="G68" t="s">
        <v>51</v>
      </c>
      <c r="L68" t="s">
        <v>291</v>
      </c>
      <c r="AB68" t="s">
        <v>66</v>
      </c>
      <c r="AC68" s="2">
        <v>44306.612881944442</v>
      </c>
      <c r="AD68" t="s">
        <v>33</v>
      </c>
      <c r="AE68" s="2">
        <v>44306.612881944442</v>
      </c>
      <c r="AF68" t="s">
        <v>33</v>
      </c>
    </row>
    <row r="69" spans="1:32" x14ac:dyDescent="0.25">
      <c r="A69" s="3">
        <v>119</v>
      </c>
      <c r="B69" s="6">
        <v>44306</v>
      </c>
      <c r="C69" s="7">
        <f>AC69-(7/24)</f>
        <v>44306.364525462966</v>
      </c>
      <c r="D69" t="s">
        <v>53</v>
      </c>
      <c r="E69" s="5">
        <v>3</v>
      </c>
      <c r="F69" s="5" t="s">
        <v>171</v>
      </c>
      <c r="G69" t="s">
        <v>35</v>
      </c>
      <c r="L69" t="s">
        <v>290</v>
      </c>
      <c r="AB69" t="s">
        <v>227</v>
      </c>
      <c r="AC69" s="2">
        <v>44306.656192129631</v>
      </c>
      <c r="AD69" t="s">
        <v>33</v>
      </c>
      <c r="AE69" s="2">
        <v>44306.656192129631</v>
      </c>
      <c r="AF69" t="s">
        <v>33</v>
      </c>
    </row>
    <row r="70" spans="1:32" x14ac:dyDescent="0.25">
      <c r="A70" s="3">
        <v>68</v>
      </c>
      <c r="B70" s="6">
        <v>44306</v>
      </c>
      <c r="C70" s="7">
        <f>AC70-(7/24)</f>
        <v>44306.366527777798</v>
      </c>
      <c r="D70" t="s">
        <v>53</v>
      </c>
      <c r="E70" s="5">
        <v>2</v>
      </c>
      <c r="F70" s="5" t="s">
        <v>31</v>
      </c>
      <c r="G70" t="s">
        <v>35</v>
      </c>
      <c r="L70" t="s">
        <v>291</v>
      </c>
      <c r="AB70" t="s">
        <v>142</v>
      </c>
      <c r="AC70" s="2">
        <v>44306.658194444462</v>
      </c>
      <c r="AD70" t="s">
        <v>33</v>
      </c>
      <c r="AE70" s="2">
        <v>44306.658194444462</v>
      </c>
      <c r="AF70" t="s">
        <v>33</v>
      </c>
    </row>
    <row r="71" spans="1:32" x14ac:dyDescent="0.25">
      <c r="A71" s="3">
        <v>138</v>
      </c>
      <c r="B71" s="6">
        <v>44306</v>
      </c>
      <c r="C71" s="7">
        <f>AC71-(7/24)</f>
        <v>44306.381446759253</v>
      </c>
      <c r="D71" t="s">
        <v>53</v>
      </c>
      <c r="E71" s="5">
        <v>14</v>
      </c>
      <c r="F71" s="5" t="s">
        <v>31</v>
      </c>
      <c r="G71" t="s">
        <v>43</v>
      </c>
      <c r="L71" t="s">
        <v>290</v>
      </c>
      <c r="AB71" t="s">
        <v>251</v>
      </c>
      <c r="AC71" s="2">
        <v>44306.673113425917</v>
      </c>
      <c r="AD71" t="s">
        <v>33</v>
      </c>
      <c r="AE71" s="2">
        <v>44306.673113425917</v>
      </c>
      <c r="AF71" t="s">
        <v>33</v>
      </c>
    </row>
    <row r="72" spans="1:32" x14ac:dyDescent="0.25">
      <c r="A72" s="3">
        <v>86</v>
      </c>
      <c r="B72" s="6">
        <v>44306</v>
      </c>
      <c r="C72" s="7">
        <f>AC72-(7/24)</f>
        <v>44306.299189814818</v>
      </c>
      <c r="D72" t="s">
        <v>72</v>
      </c>
      <c r="E72" s="5">
        <v>1</v>
      </c>
      <c r="F72" s="5" t="s">
        <v>31</v>
      </c>
      <c r="G72" t="s">
        <v>134</v>
      </c>
      <c r="K72">
        <v>5.5</v>
      </c>
      <c r="L72" t="s">
        <v>290</v>
      </c>
      <c r="M72" t="s">
        <v>173</v>
      </c>
      <c r="O72">
        <v>58</v>
      </c>
      <c r="P72">
        <v>0</v>
      </c>
      <c r="AB72" t="s">
        <v>174</v>
      </c>
      <c r="AC72" s="2">
        <v>44306.590856481482</v>
      </c>
      <c r="AD72" t="s">
        <v>33</v>
      </c>
      <c r="AE72" s="2">
        <v>44306.590856481482</v>
      </c>
      <c r="AF72" t="s">
        <v>33</v>
      </c>
    </row>
    <row r="73" spans="1:32" x14ac:dyDescent="0.25">
      <c r="A73" s="3">
        <v>21</v>
      </c>
      <c r="B73" s="6">
        <v>44306</v>
      </c>
      <c r="C73" s="7">
        <f>AC73-(7/24)</f>
        <v>44306.322870370379</v>
      </c>
      <c r="D73" t="s">
        <v>72</v>
      </c>
      <c r="E73" s="5">
        <v>1</v>
      </c>
      <c r="F73" s="5" t="s">
        <v>31</v>
      </c>
      <c r="G73" t="s">
        <v>70</v>
      </c>
      <c r="L73" t="s">
        <v>291</v>
      </c>
      <c r="AB73" t="s">
        <v>73</v>
      </c>
      <c r="AC73" s="2">
        <v>44306.614537037043</v>
      </c>
      <c r="AD73" t="s">
        <v>33</v>
      </c>
      <c r="AE73" s="2">
        <v>44306.614537037043</v>
      </c>
      <c r="AF73" t="s">
        <v>33</v>
      </c>
    </row>
    <row r="74" spans="1:32" x14ac:dyDescent="0.25">
      <c r="A74" s="3">
        <v>56</v>
      </c>
      <c r="B74" s="6">
        <v>44306</v>
      </c>
      <c r="C74" s="7">
        <f>AC74-(7/24)</f>
        <v>44306.356006944457</v>
      </c>
      <c r="D74" t="s">
        <v>72</v>
      </c>
      <c r="E74" s="5">
        <v>1</v>
      </c>
      <c r="F74" s="5" t="s">
        <v>31</v>
      </c>
      <c r="G74" t="s">
        <v>70</v>
      </c>
      <c r="L74" t="s">
        <v>291</v>
      </c>
      <c r="AB74" t="s">
        <v>127</v>
      </c>
      <c r="AC74" s="2">
        <v>44306.647673611122</v>
      </c>
      <c r="AD74" t="s">
        <v>33</v>
      </c>
      <c r="AE74" s="2">
        <v>44306.647673611122</v>
      </c>
      <c r="AF74" t="s">
        <v>33</v>
      </c>
    </row>
    <row r="75" spans="1:32" x14ac:dyDescent="0.25">
      <c r="A75" s="3">
        <v>63</v>
      </c>
      <c r="B75" s="6">
        <v>44306</v>
      </c>
      <c r="C75" s="7">
        <f>AC75-(7/24)</f>
        <v>44306.363576388889</v>
      </c>
      <c r="D75" t="s">
        <v>72</v>
      </c>
      <c r="E75" s="5">
        <v>1</v>
      </c>
      <c r="F75" s="5" t="s">
        <v>31</v>
      </c>
      <c r="G75" t="s">
        <v>134</v>
      </c>
      <c r="L75" t="s">
        <v>291</v>
      </c>
      <c r="AB75" t="s">
        <v>135</v>
      </c>
      <c r="AC75" s="2">
        <v>44306.655243055553</v>
      </c>
      <c r="AD75" t="s">
        <v>33</v>
      </c>
      <c r="AE75" s="2">
        <v>44306.655243055553</v>
      </c>
      <c r="AF75" t="s">
        <v>33</v>
      </c>
    </row>
    <row r="76" spans="1:32" x14ac:dyDescent="0.25">
      <c r="A76" s="3">
        <v>15</v>
      </c>
      <c r="B76" s="6">
        <v>44306</v>
      </c>
      <c r="C76" s="7">
        <f>AC76-(7/24)</f>
        <v>44306.317199074074</v>
      </c>
      <c r="D76" t="s">
        <v>62</v>
      </c>
      <c r="E76" s="5">
        <v>1</v>
      </c>
      <c r="F76" s="5" t="s">
        <v>31</v>
      </c>
      <c r="G76" t="s">
        <v>35</v>
      </c>
      <c r="L76" t="s">
        <v>291</v>
      </c>
      <c r="AB76" t="s">
        <v>63</v>
      </c>
      <c r="AC76" s="2">
        <v>44306.608865740738</v>
      </c>
      <c r="AD76" t="s">
        <v>33</v>
      </c>
      <c r="AE76" s="2">
        <v>44306.608865740738</v>
      </c>
      <c r="AF76" t="s">
        <v>33</v>
      </c>
    </row>
    <row r="77" spans="1:32" x14ac:dyDescent="0.25">
      <c r="A77" s="3">
        <v>48</v>
      </c>
      <c r="B77" s="6">
        <v>44306</v>
      </c>
      <c r="C77" s="7">
        <f>AC77-(7/24)</f>
        <v>44306.352800925939</v>
      </c>
      <c r="D77" t="s">
        <v>62</v>
      </c>
      <c r="E77" s="5">
        <v>1</v>
      </c>
      <c r="F77" s="5" t="s">
        <v>31</v>
      </c>
      <c r="G77" t="s">
        <v>35</v>
      </c>
      <c r="L77" t="s">
        <v>291</v>
      </c>
      <c r="AB77" t="s">
        <v>116</v>
      </c>
      <c r="AC77" s="2">
        <v>44306.644467592603</v>
      </c>
      <c r="AD77" t="s">
        <v>33</v>
      </c>
      <c r="AE77" s="2">
        <v>44306.644467592603</v>
      </c>
      <c r="AF77" t="s">
        <v>33</v>
      </c>
    </row>
    <row r="78" spans="1:32" x14ac:dyDescent="0.25">
      <c r="A78" s="3">
        <v>123</v>
      </c>
      <c r="B78" s="6">
        <v>44306</v>
      </c>
      <c r="C78" s="7">
        <f>AC78-(7/24)</f>
        <v>44306.369467592594</v>
      </c>
      <c r="D78" t="s">
        <v>231</v>
      </c>
      <c r="E78" s="5">
        <v>1</v>
      </c>
      <c r="F78" s="5" t="s">
        <v>31</v>
      </c>
      <c r="G78" t="s">
        <v>43</v>
      </c>
      <c r="L78" t="s">
        <v>290</v>
      </c>
      <c r="AB78" t="s">
        <v>232</v>
      </c>
      <c r="AC78" s="2">
        <v>44306.661134259259</v>
      </c>
      <c r="AD78" t="s">
        <v>33</v>
      </c>
      <c r="AE78" s="2">
        <v>44306.661134259259</v>
      </c>
      <c r="AF78" t="s">
        <v>33</v>
      </c>
    </row>
    <row r="79" spans="1:32" x14ac:dyDescent="0.25">
      <c r="A79" s="3">
        <v>45</v>
      </c>
      <c r="B79" s="6">
        <v>44306</v>
      </c>
      <c r="C79" s="7">
        <f>AC79-(7/24)</f>
        <v>44306.347696759272</v>
      </c>
      <c r="D79" t="s">
        <v>111</v>
      </c>
      <c r="E79" s="5">
        <v>1</v>
      </c>
      <c r="F79" s="5" t="s">
        <v>31</v>
      </c>
      <c r="G79" t="s">
        <v>48</v>
      </c>
      <c r="L79" t="s">
        <v>291</v>
      </c>
      <c r="AB79" t="s">
        <v>112</v>
      </c>
      <c r="AC79" s="2">
        <v>44306.639363425937</v>
      </c>
      <c r="AD79" t="s">
        <v>33</v>
      </c>
      <c r="AE79" s="2">
        <v>44306.639363425937</v>
      </c>
      <c r="AF79" t="s">
        <v>33</v>
      </c>
    </row>
    <row r="80" spans="1:32" x14ac:dyDescent="0.25">
      <c r="A80" s="3">
        <v>92</v>
      </c>
      <c r="B80" s="6">
        <v>44306</v>
      </c>
      <c r="C80" s="7">
        <f>AC80-(7/24)</f>
        <v>44306.307974537049</v>
      </c>
      <c r="D80" t="s">
        <v>39</v>
      </c>
      <c r="E80" s="5">
        <v>2</v>
      </c>
      <c r="F80" s="5" t="s">
        <v>31</v>
      </c>
      <c r="G80" t="s">
        <v>75</v>
      </c>
      <c r="L80" t="s">
        <v>290</v>
      </c>
      <c r="AB80" t="s">
        <v>183</v>
      </c>
      <c r="AC80" s="2">
        <v>44306.599641203713</v>
      </c>
      <c r="AD80" t="s">
        <v>33</v>
      </c>
      <c r="AE80" s="2">
        <v>44306.599641203713</v>
      </c>
      <c r="AF80" t="s">
        <v>33</v>
      </c>
    </row>
    <row r="81" spans="1:32" x14ac:dyDescent="0.25">
      <c r="A81" s="3">
        <v>4</v>
      </c>
      <c r="B81" s="6">
        <v>44306</v>
      </c>
      <c r="C81" s="7">
        <f>AC81-(7/24)</f>
        <v>44306.309097222227</v>
      </c>
      <c r="D81" t="s">
        <v>39</v>
      </c>
      <c r="E81" s="5">
        <v>4</v>
      </c>
      <c r="F81" s="5" t="s">
        <v>31</v>
      </c>
      <c r="G81" t="s">
        <v>40</v>
      </c>
      <c r="L81" t="s">
        <v>291</v>
      </c>
      <c r="AB81" t="s">
        <v>41</v>
      </c>
      <c r="AC81" s="2">
        <v>44306.600763888891</v>
      </c>
      <c r="AD81" t="s">
        <v>33</v>
      </c>
      <c r="AE81" s="2">
        <v>44306.600763888891</v>
      </c>
      <c r="AF81" t="s">
        <v>33</v>
      </c>
    </row>
    <row r="82" spans="1:32" x14ac:dyDescent="0.25">
      <c r="A82" s="3">
        <v>16</v>
      </c>
      <c r="B82" s="6">
        <v>44306</v>
      </c>
      <c r="C82" s="7">
        <f>AC82-(7/24)</f>
        <v>44306.318240740744</v>
      </c>
      <c r="D82" t="s">
        <v>39</v>
      </c>
      <c r="E82" s="5">
        <v>3</v>
      </c>
      <c r="F82" s="5" t="s">
        <v>31</v>
      </c>
      <c r="G82" t="s">
        <v>40</v>
      </c>
      <c r="L82" t="s">
        <v>291</v>
      </c>
      <c r="AB82" t="s">
        <v>64</v>
      </c>
      <c r="AC82" s="2">
        <v>44306.609907407408</v>
      </c>
      <c r="AD82" t="s">
        <v>33</v>
      </c>
      <c r="AE82" s="2">
        <v>44306.609907407408</v>
      </c>
      <c r="AF82" t="s">
        <v>33</v>
      </c>
    </row>
    <row r="83" spans="1:32" x14ac:dyDescent="0.25">
      <c r="A83" s="3">
        <v>24</v>
      </c>
      <c r="B83" s="6">
        <v>44306</v>
      </c>
      <c r="C83" s="7">
        <f>AC83-(7/24)</f>
        <v>44306.325995370375</v>
      </c>
      <c r="D83" t="s">
        <v>39</v>
      </c>
      <c r="E83" s="5">
        <v>6</v>
      </c>
      <c r="F83" s="5" t="s">
        <v>31</v>
      </c>
      <c r="G83" t="s">
        <v>70</v>
      </c>
      <c r="L83" t="s">
        <v>291</v>
      </c>
      <c r="AB83" t="s">
        <v>79</v>
      </c>
      <c r="AC83" s="2">
        <v>44306.617662037039</v>
      </c>
      <c r="AD83" t="s">
        <v>33</v>
      </c>
      <c r="AE83" s="2">
        <v>44306.617662037039</v>
      </c>
      <c r="AF83" t="s">
        <v>33</v>
      </c>
    </row>
    <row r="84" spans="1:32" x14ac:dyDescent="0.25">
      <c r="A84" s="3">
        <v>98</v>
      </c>
      <c r="B84" s="6">
        <v>44306</v>
      </c>
      <c r="C84" s="7">
        <f>AC84-(7/24)</f>
        <v>44306.333344907413</v>
      </c>
      <c r="D84" t="s">
        <v>39</v>
      </c>
      <c r="E84" s="5">
        <v>1</v>
      </c>
      <c r="F84" s="5" t="s">
        <v>31</v>
      </c>
      <c r="G84" t="s">
        <v>48</v>
      </c>
      <c r="L84" t="s">
        <v>290</v>
      </c>
      <c r="AB84" t="s">
        <v>190</v>
      </c>
      <c r="AC84" s="2">
        <v>44306.625011574077</v>
      </c>
      <c r="AD84" t="s">
        <v>33</v>
      </c>
      <c r="AE84" s="2">
        <v>44306.625011574077</v>
      </c>
      <c r="AF84" t="s">
        <v>33</v>
      </c>
    </row>
    <row r="85" spans="1:32" x14ac:dyDescent="0.25">
      <c r="A85" s="3">
        <v>32</v>
      </c>
      <c r="B85" s="6">
        <v>44306</v>
      </c>
      <c r="C85" s="7">
        <f>AC85-(7/24)</f>
        <v>44306.333715277782</v>
      </c>
      <c r="D85" t="s">
        <v>39</v>
      </c>
      <c r="E85" s="5">
        <v>6</v>
      </c>
      <c r="F85" s="5" t="s">
        <v>31</v>
      </c>
      <c r="G85" t="s">
        <v>48</v>
      </c>
      <c r="I85" t="s">
        <v>93</v>
      </c>
      <c r="L85" t="s">
        <v>291</v>
      </c>
      <c r="AB85" t="s">
        <v>94</v>
      </c>
      <c r="AC85" s="2">
        <v>44306.625381944446</v>
      </c>
      <c r="AD85" t="s">
        <v>33</v>
      </c>
      <c r="AE85" s="2">
        <v>44306.62704861111</v>
      </c>
      <c r="AF85" t="s">
        <v>33</v>
      </c>
    </row>
    <row r="86" spans="1:32" x14ac:dyDescent="0.25">
      <c r="A86" s="3">
        <v>111</v>
      </c>
      <c r="B86" s="6">
        <v>44306</v>
      </c>
      <c r="C86" s="7">
        <f>AC86-(7/24)</f>
        <v>44306.349305555559</v>
      </c>
      <c r="D86" t="s">
        <v>39</v>
      </c>
      <c r="E86" s="5">
        <v>2</v>
      </c>
      <c r="F86" s="5" t="s">
        <v>31</v>
      </c>
      <c r="G86" t="s">
        <v>48</v>
      </c>
      <c r="L86" t="s">
        <v>290</v>
      </c>
      <c r="AB86" t="s">
        <v>214</v>
      </c>
      <c r="AC86" s="2">
        <v>44306.640972222223</v>
      </c>
      <c r="AD86" t="s">
        <v>33</v>
      </c>
      <c r="AE86" s="2">
        <v>44306.640972222223</v>
      </c>
      <c r="AF86" t="s">
        <v>33</v>
      </c>
    </row>
    <row r="87" spans="1:32" x14ac:dyDescent="0.25">
      <c r="A87" s="3">
        <v>47</v>
      </c>
      <c r="B87" s="6">
        <v>44306</v>
      </c>
      <c r="C87" s="7">
        <f>AC87-(7/24)</f>
        <v>44306.352164351854</v>
      </c>
      <c r="D87" t="s">
        <v>39</v>
      </c>
      <c r="E87" s="5">
        <v>8</v>
      </c>
      <c r="F87" s="5" t="s">
        <v>31</v>
      </c>
      <c r="G87" t="s">
        <v>40</v>
      </c>
      <c r="L87" t="s">
        <v>291</v>
      </c>
      <c r="AB87" t="s">
        <v>115</v>
      </c>
      <c r="AC87" s="2">
        <v>44306.643831018519</v>
      </c>
      <c r="AD87" t="s">
        <v>33</v>
      </c>
      <c r="AE87" s="2">
        <v>44306.643993055557</v>
      </c>
      <c r="AF87" t="s">
        <v>33</v>
      </c>
    </row>
    <row r="88" spans="1:32" x14ac:dyDescent="0.25">
      <c r="A88" s="3">
        <v>57</v>
      </c>
      <c r="B88" s="6">
        <v>44306</v>
      </c>
      <c r="C88" s="7">
        <f>AC88-(7/24)</f>
        <v>44306.356226851858</v>
      </c>
      <c r="D88" t="s">
        <v>39</v>
      </c>
      <c r="E88" s="5">
        <v>4</v>
      </c>
      <c r="F88" s="5" t="s">
        <v>31</v>
      </c>
      <c r="G88" t="s">
        <v>40</v>
      </c>
      <c r="L88" t="s">
        <v>291</v>
      </c>
      <c r="AB88" t="s">
        <v>128</v>
      </c>
      <c r="AC88" s="2">
        <v>44306.647893518522</v>
      </c>
      <c r="AD88" t="s">
        <v>33</v>
      </c>
      <c r="AE88" s="2">
        <v>44306.647974537038</v>
      </c>
      <c r="AF88" t="s">
        <v>33</v>
      </c>
    </row>
    <row r="89" spans="1:32" x14ac:dyDescent="0.25">
      <c r="A89" s="3">
        <v>62</v>
      </c>
      <c r="B89" s="6">
        <v>44306</v>
      </c>
      <c r="C89" s="7">
        <f>AC89-(7/24)</f>
        <v>44306.363148148142</v>
      </c>
      <c r="D89" t="s">
        <v>39</v>
      </c>
      <c r="E89" s="5">
        <v>4</v>
      </c>
      <c r="F89" s="5" t="s">
        <v>31</v>
      </c>
      <c r="G89" t="s">
        <v>70</v>
      </c>
      <c r="L89" t="s">
        <v>291</v>
      </c>
      <c r="AB89" t="s">
        <v>133</v>
      </c>
      <c r="AC89" s="2">
        <v>44306.654814814807</v>
      </c>
      <c r="AD89" t="s">
        <v>33</v>
      </c>
      <c r="AE89" s="2">
        <v>44306.654814814807</v>
      </c>
      <c r="AF89" t="s">
        <v>33</v>
      </c>
    </row>
    <row r="90" spans="1:32" x14ac:dyDescent="0.25">
      <c r="A90" s="3">
        <v>125</v>
      </c>
      <c r="B90" s="6">
        <v>44306</v>
      </c>
      <c r="C90" s="7">
        <f>AC90-(7/24)</f>
        <v>44306.369849537048</v>
      </c>
      <c r="D90" t="s">
        <v>39</v>
      </c>
      <c r="E90" s="5">
        <v>1</v>
      </c>
      <c r="F90" s="5" t="s">
        <v>31</v>
      </c>
      <c r="G90" t="s">
        <v>40</v>
      </c>
      <c r="L90" t="s">
        <v>290</v>
      </c>
      <c r="AB90" t="s">
        <v>234</v>
      </c>
      <c r="AC90" s="2">
        <v>44306.661516203712</v>
      </c>
      <c r="AD90" t="s">
        <v>33</v>
      </c>
      <c r="AE90" s="2">
        <v>44306.661516203712</v>
      </c>
      <c r="AF90" t="s">
        <v>33</v>
      </c>
    </row>
    <row r="91" spans="1:32" x14ac:dyDescent="0.25">
      <c r="A91" s="3">
        <v>69</v>
      </c>
      <c r="B91" s="6">
        <v>44306</v>
      </c>
      <c r="C91" s="7">
        <f>AC91-(7/24)</f>
        <v>44306.370474537049</v>
      </c>
      <c r="D91" t="s">
        <v>39</v>
      </c>
      <c r="E91" s="5">
        <v>6</v>
      </c>
      <c r="F91" s="5" t="s">
        <v>31</v>
      </c>
      <c r="G91" t="s">
        <v>40</v>
      </c>
      <c r="L91" t="s">
        <v>291</v>
      </c>
      <c r="AB91" t="s">
        <v>143</v>
      </c>
      <c r="AC91" s="2">
        <v>44306.662141203713</v>
      </c>
      <c r="AD91" t="s">
        <v>33</v>
      </c>
      <c r="AE91" s="2">
        <v>44306.662141203713</v>
      </c>
      <c r="AF91" t="s">
        <v>33</v>
      </c>
    </row>
    <row r="92" spans="1:32" x14ac:dyDescent="0.25">
      <c r="A92" s="3">
        <v>70</v>
      </c>
      <c r="B92" s="6">
        <v>44306</v>
      </c>
      <c r="C92" s="7">
        <f>AC92-(7/24)</f>
        <v>44306.370717592596</v>
      </c>
      <c r="D92" t="s">
        <v>39</v>
      </c>
      <c r="E92" s="5">
        <v>2</v>
      </c>
      <c r="F92" s="5" t="s">
        <v>31</v>
      </c>
      <c r="G92" t="s">
        <v>48</v>
      </c>
      <c r="L92" t="s">
        <v>291</v>
      </c>
      <c r="AB92" t="s">
        <v>144</v>
      </c>
      <c r="AC92" s="2">
        <v>44306.66238425926</v>
      </c>
      <c r="AD92" t="s">
        <v>33</v>
      </c>
      <c r="AE92" s="2">
        <v>44306.663576388899</v>
      </c>
      <c r="AF92" t="s">
        <v>33</v>
      </c>
    </row>
    <row r="93" spans="1:32" x14ac:dyDescent="0.25">
      <c r="A93" s="3">
        <v>147</v>
      </c>
      <c r="B93" s="6">
        <v>44306</v>
      </c>
      <c r="C93" s="7">
        <f>AC93-(7/24)</f>
        <v>44306.388148148159</v>
      </c>
      <c r="D93" t="s">
        <v>39</v>
      </c>
      <c r="E93" s="5">
        <v>1</v>
      </c>
      <c r="F93" s="5" t="s">
        <v>31</v>
      </c>
      <c r="G93" t="s">
        <v>43</v>
      </c>
      <c r="L93" t="s">
        <v>290</v>
      </c>
      <c r="AB93" t="s">
        <v>262</v>
      </c>
      <c r="AC93" s="2">
        <v>44306.679814814823</v>
      </c>
      <c r="AD93" t="s">
        <v>33</v>
      </c>
      <c r="AE93" s="2">
        <v>44306.679814814823</v>
      </c>
      <c r="AF93" t="s">
        <v>33</v>
      </c>
    </row>
    <row r="94" spans="1:32" x14ac:dyDescent="0.25">
      <c r="A94" s="3">
        <v>163</v>
      </c>
      <c r="B94" s="6">
        <v>44306</v>
      </c>
      <c r="C94" s="7">
        <f>AC94-(7/24)</f>
        <v>44306.402708333335</v>
      </c>
      <c r="D94" t="s">
        <v>39</v>
      </c>
      <c r="E94" s="5">
        <v>4</v>
      </c>
      <c r="F94" s="5" t="s">
        <v>31</v>
      </c>
      <c r="G94" t="s">
        <v>40</v>
      </c>
      <c r="L94" t="s">
        <v>290</v>
      </c>
      <c r="AB94" t="s">
        <v>280</v>
      </c>
      <c r="AC94" s="2">
        <v>44306.694374999999</v>
      </c>
      <c r="AD94" t="s">
        <v>33</v>
      </c>
      <c r="AE94" s="2">
        <v>44306.694618055553</v>
      </c>
      <c r="AF94" t="s">
        <v>33</v>
      </c>
    </row>
    <row r="95" spans="1:32" x14ac:dyDescent="0.25">
      <c r="B95" s="6">
        <v>44306</v>
      </c>
      <c r="D95" t="s">
        <v>39</v>
      </c>
      <c r="E95" s="5">
        <v>5</v>
      </c>
      <c r="F95" s="5" t="s">
        <v>31</v>
      </c>
      <c r="J95" t="s">
        <v>306</v>
      </c>
      <c r="L95" t="s">
        <v>290</v>
      </c>
    </row>
    <row r="96" spans="1:32" x14ac:dyDescent="0.25">
      <c r="A96" s="3">
        <v>127</v>
      </c>
      <c r="B96" s="6">
        <v>44306</v>
      </c>
      <c r="C96" s="7">
        <f>AC96-(7/24)</f>
        <v>44306.372465277789</v>
      </c>
      <c r="D96" t="s">
        <v>157</v>
      </c>
      <c r="E96" s="5">
        <v>2</v>
      </c>
      <c r="F96" s="5" t="s">
        <v>31</v>
      </c>
      <c r="G96" t="s">
        <v>75</v>
      </c>
      <c r="L96" t="s">
        <v>290</v>
      </c>
      <c r="AB96" t="s">
        <v>236</v>
      </c>
      <c r="AC96" s="2">
        <v>44306.664131944453</v>
      </c>
      <c r="AD96" t="s">
        <v>33</v>
      </c>
      <c r="AE96" s="2">
        <v>44306.664131944453</v>
      </c>
      <c r="AF96" t="s">
        <v>33</v>
      </c>
    </row>
    <row r="97" spans="1:32" x14ac:dyDescent="0.25">
      <c r="A97" s="3">
        <v>130</v>
      </c>
      <c r="B97" s="6">
        <v>44306</v>
      </c>
      <c r="C97" s="7">
        <f>AC97-(7/24)</f>
        <v>44306.373402777783</v>
      </c>
      <c r="D97" t="s">
        <v>157</v>
      </c>
      <c r="E97" s="5">
        <v>1</v>
      </c>
      <c r="F97" s="5" t="s">
        <v>31</v>
      </c>
      <c r="G97" t="s">
        <v>75</v>
      </c>
      <c r="L97" t="s">
        <v>290</v>
      </c>
      <c r="AB97" t="s">
        <v>239</v>
      </c>
      <c r="AC97" s="2">
        <v>44306.665069444447</v>
      </c>
      <c r="AD97" t="s">
        <v>33</v>
      </c>
      <c r="AE97" s="2">
        <v>44306.665069444447</v>
      </c>
      <c r="AF97" t="s">
        <v>33</v>
      </c>
    </row>
    <row r="98" spans="1:32" x14ac:dyDescent="0.25">
      <c r="A98" s="3">
        <v>79</v>
      </c>
      <c r="B98" s="6">
        <v>44306</v>
      </c>
      <c r="C98" s="7">
        <f>AC98-(7/24)</f>
        <v>44306.396192129629</v>
      </c>
      <c r="D98" t="s">
        <v>157</v>
      </c>
      <c r="E98" s="5">
        <v>1</v>
      </c>
      <c r="F98" s="5" t="s">
        <v>31</v>
      </c>
      <c r="G98" t="s">
        <v>70</v>
      </c>
      <c r="L98" t="s">
        <v>291</v>
      </c>
      <c r="AB98" t="s">
        <v>158</v>
      </c>
      <c r="AC98" s="2">
        <v>44306.687858796293</v>
      </c>
      <c r="AD98" t="s">
        <v>33</v>
      </c>
      <c r="AE98" s="2">
        <v>44306.687858796293</v>
      </c>
      <c r="AF98" t="s">
        <v>33</v>
      </c>
    </row>
    <row r="99" spans="1:32" x14ac:dyDescent="0.25">
      <c r="A99" s="3">
        <v>84</v>
      </c>
      <c r="B99" s="6">
        <v>44306</v>
      </c>
      <c r="C99" s="7">
        <f>AC99-(7/24)</f>
        <v>44306.405879629623</v>
      </c>
      <c r="D99" t="s">
        <v>168</v>
      </c>
      <c r="E99" s="5">
        <v>1</v>
      </c>
      <c r="F99" s="5" t="s">
        <v>31</v>
      </c>
      <c r="G99" t="s">
        <v>40</v>
      </c>
      <c r="L99" t="s">
        <v>291</v>
      </c>
      <c r="AB99" t="s">
        <v>169</v>
      </c>
      <c r="AC99" s="2">
        <v>44306.697546296287</v>
      </c>
      <c r="AD99" t="s">
        <v>33</v>
      </c>
      <c r="AE99" s="2">
        <v>44306.697546296287</v>
      </c>
      <c r="AF99" t="s">
        <v>33</v>
      </c>
    </row>
    <row r="100" spans="1:32" x14ac:dyDescent="0.25">
      <c r="A100" s="3">
        <v>108</v>
      </c>
      <c r="B100" s="6">
        <v>44306</v>
      </c>
      <c r="C100" s="7">
        <f>AC100-(7/24)</f>
        <v>44306.344560185185</v>
      </c>
      <c r="D100" t="s">
        <v>210</v>
      </c>
      <c r="E100" s="5">
        <v>1</v>
      </c>
      <c r="F100" s="5" t="s">
        <v>31</v>
      </c>
      <c r="G100" t="s">
        <v>175</v>
      </c>
      <c r="L100" t="s">
        <v>290</v>
      </c>
      <c r="AB100" t="s">
        <v>211</v>
      </c>
      <c r="AC100" s="2">
        <v>44306.63622685185</v>
      </c>
      <c r="AD100" t="s">
        <v>33</v>
      </c>
      <c r="AE100" s="2">
        <v>44306.63622685185</v>
      </c>
      <c r="AF100" t="s">
        <v>33</v>
      </c>
    </row>
    <row r="101" spans="1:32" x14ac:dyDescent="0.25">
      <c r="A101" s="3">
        <v>124</v>
      </c>
      <c r="B101" s="6">
        <v>44306</v>
      </c>
      <c r="C101" s="7">
        <f>AC101-(7/24)</f>
        <v>44306.369618055556</v>
      </c>
      <c r="D101" t="s">
        <v>210</v>
      </c>
      <c r="E101" s="5">
        <v>1</v>
      </c>
      <c r="F101" s="5" t="s">
        <v>31</v>
      </c>
      <c r="G101" t="s">
        <v>175</v>
      </c>
      <c r="L101" t="s">
        <v>290</v>
      </c>
      <c r="AB101" t="s">
        <v>233</v>
      </c>
      <c r="AC101" s="2">
        <v>44306.66128472222</v>
      </c>
      <c r="AD101" t="s">
        <v>33</v>
      </c>
      <c r="AE101" s="2">
        <v>44306.66128472222</v>
      </c>
      <c r="AF101" t="s">
        <v>33</v>
      </c>
    </row>
    <row r="102" spans="1:32" x14ac:dyDescent="0.25">
      <c r="A102" s="3">
        <v>145</v>
      </c>
      <c r="B102" s="6">
        <v>44306</v>
      </c>
      <c r="C102" s="7">
        <f>AC102-(7/24)</f>
        <v>44306.385995370372</v>
      </c>
      <c r="D102" t="s">
        <v>210</v>
      </c>
      <c r="E102" s="5">
        <v>1</v>
      </c>
      <c r="F102" s="5" t="s">
        <v>31</v>
      </c>
      <c r="G102" t="s">
        <v>35</v>
      </c>
      <c r="L102" t="s">
        <v>290</v>
      </c>
      <c r="AB102" t="s">
        <v>259</v>
      </c>
      <c r="AC102" s="2">
        <v>44306.677662037036</v>
      </c>
      <c r="AD102" t="s">
        <v>33</v>
      </c>
      <c r="AE102" s="2">
        <v>44306.677662037036</v>
      </c>
      <c r="AF102" t="s">
        <v>33</v>
      </c>
    </row>
    <row r="103" spans="1:32" x14ac:dyDescent="0.25">
      <c r="A103" s="3">
        <v>104</v>
      </c>
      <c r="B103" s="6">
        <v>44306</v>
      </c>
      <c r="C103" s="7">
        <f>AC103-(7/24)</f>
        <v>44306.339571759279</v>
      </c>
      <c r="D103" t="s">
        <v>202</v>
      </c>
      <c r="E103" s="5">
        <v>1</v>
      </c>
      <c r="F103" s="5" t="s">
        <v>31</v>
      </c>
      <c r="G103" t="s">
        <v>134</v>
      </c>
      <c r="L103" t="s">
        <v>290</v>
      </c>
      <c r="AB103" t="s">
        <v>203</v>
      </c>
      <c r="AC103" s="2">
        <v>44306.631238425944</v>
      </c>
      <c r="AD103" t="s">
        <v>33</v>
      </c>
      <c r="AE103" s="2">
        <v>44306.634398148148</v>
      </c>
      <c r="AF103" t="s">
        <v>33</v>
      </c>
    </row>
    <row r="104" spans="1:32" x14ac:dyDescent="0.25">
      <c r="A104" s="3">
        <v>20</v>
      </c>
      <c r="B104" s="6">
        <v>44306</v>
      </c>
      <c r="C104" s="7">
        <f>AC104-(7/24)</f>
        <v>44306.322685185187</v>
      </c>
      <c r="D104" t="s">
        <v>69</v>
      </c>
      <c r="E104" s="5">
        <v>1</v>
      </c>
      <c r="F104" s="5" t="s">
        <v>31</v>
      </c>
      <c r="G104" t="s">
        <v>70</v>
      </c>
      <c r="L104" t="s">
        <v>291</v>
      </c>
      <c r="AB104" t="s">
        <v>71</v>
      </c>
      <c r="AC104" s="2">
        <v>44306.614351851851</v>
      </c>
      <c r="AD104" t="s">
        <v>33</v>
      </c>
      <c r="AE104" s="2">
        <v>44306.614351851851</v>
      </c>
      <c r="AF104" t="s">
        <v>33</v>
      </c>
    </row>
    <row r="105" spans="1:32" x14ac:dyDescent="0.25">
      <c r="A105" s="3">
        <v>34</v>
      </c>
      <c r="B105" s="6">
        <v>44306</v>
      </c>
      <c r="C105" s="7">
        <f>AC105-(7/24)</f>
        <v>44306.335590277777</v>
      </c>
      <c r="D105" t="s">
        <v>69</v>
      </c>
      <c r="E105" s="5">
        <v>1</v>
      </c>
      <c r="F105" s="5" t="s">
        <v>31</v>
      </c>
      <c r="G105" t="s">
        <v>48</v>
      </c>
      <c r="L105" t="s">
        <v>291</v>
      </c>
      <c r="AB105" t="s">
        <v>97</v>
      </c>
      <c r="AC105" s="2">
        <v>44306.627256944441</v>
      </c>
      <c r="AD105" t="s">
        <v>33</v>
      </c>
      <c r="AE105" s="2">
        <v>44306.627256944441</v>
      </c>
      <c r="AF105" t="s">
        <v>33</v>
      </c>
    </row>
    <row r="106" spans="1:32" x14ac:dyDescent="0.25">
      <c r="A106" s="3">
        <v>55</v>
      </c>
      <c r="B106" s="6">
        <v>44306</v>
      </c>
      <c r="C106" s="7">
        <f>AC106-(7/24)</f>
        <v>44306.355798611119</v>
      </c>
      <c r="D106" t="s">
        <v>69</v>
      </c>
      <c r="E106" s="5">
        <v>2</v>
      </c>
      <c r="F106" s="5" t="s">
        <v>31</v>
      </c>
      <c r="G106" t="s">
        <v>70</v>
      </c>
      <c r="L106" t="s">
        <v>291</v>
      </c>
      <c r="AB106" t="s">
        <v>126</v>
      </c>
      <c r="AC106" s="2">
        <v>44306.647465277783</v>
      </c>
      <c r="AD106" t="s">
        <v>33</v>
      </c>
      <c r="AE106" s="2">
        <v>44306.647465277783</v>
      </c>
      <c r="AF106" t="s">
        <v>33</v>
      </c>
    </row>
    <row r="107" spans="1:32" x14ac:dyDescent="0.25">
      <c r="A107" s="3">
        <v>58</v>
      </c>
      <c r="B107" s="6">
        <v>44306</v>
      </c>
      <c r="C107" s="7">
        <f>AC107-(7/24)</f>
        <v>44306.357592592605</v>
      </c>
      <c r="D107" t="s">
        <v>69</v>
      </c>
      <c r="E107" s="5">
        <v>1</v>
      </c>
      <c r="F107" s="5" t="s">
        <v>31</v>
      </c>
      <c r="G107" t="s">
        <v>70</v>
      </c>
      <c r="L107" t="s">
        <v>291</v>
      </c>
      <c r="AB107" t="s">
        <v>129</v>
      </c>
      <c r="AC107" s="2">
        <v>44306.649259259269</v>
      </c>
      <c r="AD107" t="s">
        <v>33</v>
      </c>
      <c r="AE107" s="2">
        <v>44306.649259259269</v>
      </c>
      <c r="AF107" t="s">
        <v>33</v>
      </c>
    </row>
    <row r="108" spans="1:32" x14ac:dyDescent="0.25">
      <c r="A108" s="3">
        <v>61</v>
      </c>
      <c r="B108" s="6">
        <v>44306</v>
      </c>
      <c r="C108" s="7">
        <f>AC108-(7/24)</f>
        <v>44306.362916666672</v>
      </c>
      <c r="D108" t="s">
        <v>69</v>
      </c>
      <c r="E108" s="5">
        <v>1</v>
      </c>
      <c r="F108" s="5" t="s">
        <v>31</v>
      </c>
      <c r="G108" t="s">
        <v>48</v>
      </c>
      <c r="L108" t="s">
        <v>291</v>
      </c>
      <c r="AB108" t="s">
        <v>132</v>
      </c>
      <c r="AC108" s="2">
        <v>44306.654583333337</v>
      </c>
      <c r="AD108" t="s">
        <v>33</v>
      </c>
      <c r="AE108" s="2">
        <v>44306.654583333337</v>
      </c>
      <c r="AF108" t="s">
        <v>33</v>
      </c>
    </row>
    <row r="109" spans="1:32" x14ac:dyDescent="0.25">
      <c r="A109" s="3">
        <v>161</v>
      </c>
      <c r="B109" s="6">
        <v>44306</v>
      </c>
      <c r="C109" s="7">
        <f>AC109-(7/24)</f>
        <v>44306.401469907403</v>
      </c>
      <c r="D109" t="s">
        <v>69</v>
      </c>
      <c r="E109" s="5">
        <v>2</v>
      </c>
      <c r="F109" s="5" t="s">
        <v>31</v>
      </c>
      <c r="G109" t="s">
        <v>48</v>
      </c>
      <c r="L109" t="s">
        <v>290</v>
      </c>
      <c r="AB109" t="s">
        <v>278</v>
      </c>
      <c r="AC109" s="2">
        <v>44306.693136574067</v>
      </c>
      <c r="AD109" t="s">
        <v>33</v>
      </c>
      <c r="AE109" s="2">
        <v>44306.693136574067</v>
      </c>
      <c r="AF109" t="s">
        <v>33</v>
      </c>
    </row>
    <row r="110" spans="1:32" x14ac:dyDescent="0.25">
      <c r="A110" s="3">
        <v>162</v>
      </c>
      <c r="B110" s="6">
        <v>44306</v>
      </c>
      <c r="C110" s="7">
        <f>AC110-(7/24)</f>
        <v>44306.402534722227</v>
      </c>
      <c r="D110" t="s">
        <v>69</v>
      </c>
      <c r="E110" s="5">
        <v>1</v>
      </c>
      <c r="F110" s="5" t="s">
        <v>31</v>
      </c>
      <c r="G110" t="s">
        <v>40</v>
      </c>
      <c r="L110" t="s">
        <v>290</v>
      </c>
      <c r="AB110" t="s">
        <v>279</v>
      </c>
      <c r="AC110" s="2">
        <v>44306.694201388891</v>
      </c>
      <c r="AD110" t="s">
        <v>33</v>
      </c>
      <c r="AE110" s="2">
        <v>44306.694201388891</v>
      </c>
      <c r="AF110" t="s">
        <v>33</v>
      </c>
    </row>
    <row r="111" spans="1:32" x14ac:dyDescent="0.25">
      <c r="A111" s="3">
        <v>169</v>
      </c>
      <c r="B111" s="6">
        <v>44306</v>
      </c>
      <c r="C111" s="7">
        <f>AC111-(7/24)</f>
        <v>44306.412430555552</v>
      </c>
      <c r="D111" t="s">
        <v>69</v>
      </c>
      <c r="E111" s="5">
        <v>2</v>
      </c>
      <c r="F111" s="5" t="s">
        <v>31</v>
      </c>
      <c r="G111" t="s">
        <v>48</v>
      </c>
      <c r="L111" t="s">
        <v>290</v>
      </c>
      <c r="AB111" t="s">
        <v>287</v>
      </c>
      <c r="AC111" s="2">
        <v>44306.704097222217</v>
      </c>
      <c r="AD111" t="s">
        <v>33</v>
      </c>
      <c r="AE111" s="2">
        <v>44306.704097222217</v>
      </c>
      <c r="AF111" t="s">
        <v>33</v>
      </c>
    </row>
    <row r="112" spans="1:32" x14ac:dyDescent="0.25">
      <c r="A112" s="3">
        <v>105</v>
      </c>
      <c r="B112" s="6">
        <v>44306</v>
      </c>
      <c r="C112" s="7">
        <f>AC112-(7/24)</f>
        <v>44306.341365740744</v>
      </c>
      <c r="D112" t="s">
        <v>204</v>
      </c>
      <c r="E112" s="5">
        <v>1</v>
      </c>
      <c r="F112" s="5" t="s">
        <v>31</v>
      </c>
      <c r="G112" t="s">
        <v>134</v>
      </c>
      <c r="L112" t="s">
        <v>290</v>
      </c>
      <c r="AB112" t="s">
        <v>205</v>
      </c>
      <c r="AC112" s="2">
        <v>44306.633032407408</v>
      </c>
      <c r="AD112" t="s">
        <v>33</v>
      </c>
      <c r="AE112" s="2">
        <v>44306.633032407408</v>
      </c>
      <c r="AF112" t="s">
        <v>33</v>
      </c>
    </row>
    <row r="113" spans="1:32" x14ac:dyDescent="0.25">
      <c r="A113" s="3">
        <v>67</v>
      </c>
      <c r="B113" s="6">
        <v>44306</v>
      </c>
      <c r="C113" s="7">
        <f>AC113-(7/24)</f>
        <v>44306.366041666668</v>
      </c>
      <c r="D113" t="s">
        <v>140</v>
      </c>
      <c r="E113" s="5">
        <v>1</v>
      </c>
      <c r="F113" s="5" t="s">
        <v>31</v>
      </c>
      <c r="G113" t="s">
        <v>35</v>
      </c>
      <c r="L113" t="s">
        <v>291</v>
      </c>
      <c r="AB113" t="s">
        <v>141</v>
      </c>
      <c r="AC113" s="2">
        <v>44306.657708333332</v>
      </c>
      <c r="AD113" t="s">
        <v>33</v>
      </c>
      <c r="AE113" s="2">
        <v>44306.657708333332</v>
      </c>
      <c r="AF113" t="s">
        <v>33</v>
      </c>
    </row>
    <row r="114" spans="1:32" x14ac:dyDescent="0.25">
      <c r="A114" s="3">
        <v>144</v>
      </c>
      <c r="B114" s="6">
        <v>44306</v>
      </c>
      <c r="C114" s="7">
        <f>AC114-(7/24)</f>
        <v>44306.385868055557</v>
      </c>
      <c r="D114" t="s">
        <v>140</v>
      </c>
      <c r="E114" s="5">
        <v>2</v>
      </c>
      <c r="F114" s="5" t="s">
        <v>31</v>
      </c>
      <c r="G114" t="s">
        <v>51</v>
      </c>
      <c r="L114" t="s">
        <v>290</v>
      </c>
      <c r="AB114" t="s">
        <v>258</v>
      </c>
      <c r="AC114" s="2">
        <v>44306.677534722221</v>
      </c>
      <c r="AD114" t="s">
        <v>33</v>
      </c>
      <c r="AE114" s="2">
        <v>44306.677534722221</v>
      </c>
      <c r="AF114" t="s">
        <v>33</v>
      </c>
    </row>
    <row r="115" spans="1:32" x14ac:dyDescent="0.25">
      <c r="A115" s="3">
        <v>158</v>
      </c>
      <c r="B115" s="6">
        <v>44306</v>
      </c>
      <c r="C115" s="7">
        <f>AC115-(7/24)</f>
        <v>44306.395358796297</v>
      </c>
      <c r="D115" t="s">
        <v>140</v>
      </c>
      <c r="E115" s="5">
        <v>2</v>
      </c>
      <c r="F115" s="5" t="s">
        <v>31</v>
      </c>
      <c r="G115" t="s">
        <v>175</v>
      </c>
      <c r="L115" t="s">
        <v>290</v>
      </c>
      <c r="AB115" t="s">
        <v>275</v>
      </c>
      <c r="AC115" s="2">
        <v>44306.687025462961</v>
      </c>
      <c r="AD115" t="s">
        <v>33</v>
      </c>
      <c r="AE115" s="2">
        <v>44306.687025462961</v>
      </c>
      <c r="AF115" t="s">
        <v>33</v>
      </c>
    </row>
    <row r="116" spans="1:32" x14ac:dyDescent="0.25">
      <c r="A116" s="3">
        <v>83</v>
      </c>
      <c r="B116" s="6">
        <v>44306</v>
      </c>
      <c r="C116" s="7">
        <f>AC116-(7/24)</f>
        <v>44306.405266203707</v>
      </c>
      <c r="D116" t="s">
        <v>140</v>
      </c>
      <c r="E116" s="5">
        <v>2</v>
      </c>
      <c r="F116" s="5" t="s">
        <v>31</v>
      </c>
      <c r="G116" t="s">
        <v>134</v>
      </c>
      <c r="L116" t="s">
        <v>291</v>
      </c>
      <c r="AB116" t="s">
        <v>167</v>
      </c>
      <c r="AC116" s="2">
        <v>44306.696932870371</v>
      </c>
      <c r="AD116" t="s">
        <v>33</v>
      </c>
      <c r="AE116" s="2">
        <v>44306.696932870371</v>
      </c>
      <c r="AF116" t="s">
        <v>33</v>
      </c>
    </row>
    <row r="117" spans="1:32" x14ac:dyDescent="0.25">
      <c r="A117" s="3">
        <v>168</v>
      </c>
      <c r="B117" s="6">
        <v>44306</v>
      </c>
      <c r="C117" s="7">
        <f>AC117-(7/24)</f>
        <v>44306.411817129629</v>
      </c>
      <c r="D117" t="s">
        <v>140</v>
      </c>
      <c r="E117" s="5">
        <v>2</v>
      </c>
      <c r="F117" s="5" t="s">
        <v>31</v>
      </c>
      <c r="L117" t="s">
        <v>290</v>
      </c>
      <c r="AB117" t="s">
        <v>286</v>
      </c>
      <c r="AC117" s="2">
        <v>44306.703483796293</v>
      </c>
      <c r="AD117" t="s">
        <v>33</v>
      </c>
      <c r="AE117" s="2">
        <v>44306.703483796293</v>
      </c>
      <c r="AF117" t="s">
        <v>33</v>
      </c>
    </row>
    <row r="118" spans="1:32" x14ac:dyDescent="0.25">
      <c r="A118" s="3">
        <v>134</v>
      </c>
      <c r="B118" s="6">
        <v>44306</v>
      </c>
      <c r="C118" s="7">
        <f>AC118-(7/24)</f>
        <v>44306.378032407403</v>
      </c>
      <c r="D118" t="s">
        <v>244</v>
      </c>
      <c r="E118" s="5">
        <v>1</v>
      </c>
      <c r="F118" s="5" t="s">
        <v>31</v>
      </c>
      <c r="G118" t="s">
        <v>70</v>
      </c>
      <c r="L118" t="s">
        <v>290</v>
      </c>
      <c r="AB118" t="s">
        <v>245</v>
      </c>
      <c r="AC118" s="2">
        <v>44306.669699074067</v>
      </c>
      <c r="AD118" t="s">
        <v>33</v>
      </c>
      <c r="AE118" s="2">
        <v>44306.669699074067</v>
      </c>
      <c r="AF118" t="s">
        <v>33</v>
      </c>
    </row>
    <row r="119" spans="1:32" x14ac:dyDescent="0.25">
      <c r="A119" s="3">
        <v>100</v>
      </c>
      <c r="B119" s="6">
        <v>44306</v>
      </c>
      <c r="C119" s="7">
        <f>AC119-(7/24)</f>
        <v>44306.335138888899</v>
      </c>
      <c r="D119" t="s">
        <v>194</v>
      </c>
      <c r="E119" s="5">
        <v>1</v>
      </c>
      <c r="F119" s="5" t="s">
        <v>31</v>
      </c>
      <c r="G119" t="s">
        <v>48</v>
      </c>
      <c r="L119" t="s">
        <v>290</v>
      </c>
      <c r="AB119" t="s">
        <v>195</v>
      </c>
      <c r="AC119" s="2">
        <v>44306.626805555563</v>
      </c>
      <c r="AD119" t="s">
        <v>33</v>
      </c>
      <c r="AE119" s="2">
        <v>44306.626805555563</v>
      </c>
      <c r="AF119" t="s">
        <v>33</v>
      </c>
    </row>
    <row r="120" spans="1:32" x14ac:dyDescent="0.25">
      <c r="A120" s="3">
        <v>155</v>
      </c>
      <c r="B120" s="6">
        <v>44306</v>
      </c>
      <c r="C120" s="7">
        <f>AC120-(7/24)</f>
        <v>44306.394305555557</v>
      </c>
      <c r="D120" t="s">
        <v>194</v>
      </c>
      <c r="E120" s="5">
        <v>1</v>
      </c>
      <c r="F120" s="5" t="s">
        <v>31</v>
      </c>
      <c r="G120" t="s">
        <v>48</v>
      </c>
      <c r="L120" t="s">
        <v>290</v>
      </c>
      <c r="AB120" t="s">
        <v>272</v>
      </c>
      <c r="AC120" s="2">
        <v>44306.685972222222</v>
      </c>
      <c r="AD120" t="s">
        <v>33</v>
      </c>
      <c r="AE120" s="2">
        <v>44306.685972222222</v>
      </c>
      <c r="AF120" t="s">
        <v>33</v>
      </c>
    </row>
    <row r="121" spans="1:32" x14ac:dyDescent="0.25">
      <c r="A121" s="3">
        <v>39</v>
      </c>
      <c r="B121" s="6">
        <v>44306</v>
      </c>
      <c r="C121" s="7">
        <f>AC121-(7/24)</f>
        <v>44306.341921296298</v>
      </c>
      <c r="D121" t="s">
        <v>103</v>
      </c>
      <c r="E121" s="5">
        <v>1</v>
      </c>
      <c r="F121" s="5" t="s">
        <v>31</v>
      </c>
      <c r="G121" t="s">
        <v>48</v>
      </c>
      <c r="L121" t="s">
        <v>291</v>
      </c>
      <c r="AB121" t="s">
        <v>104</v>
      </c>
      <c r="AC121" s="2">
        <v>44306.633587962962</v>
      </c>
      <c r="AD121" t="s">
        <v>33</v>
      </c>
      <c r="AE121" s="2">
        <v>44306.633587962962</v>
      </c>
      <c r="AF121" t="s">
        <v>33</v>
      </c>
    </row>
    <row r="122" spans="1:32" x14ac:dyDescent="0.25">
      <c r="A122" s="3">
        <v>30</v>
      </c>
      <c r="B122" s="6">
        <v>44306</v>
      </c>
      <c r="C122" s="7">
        <f>AC122-(7/24)</f>
        <v>44306.329618055555</v>
      </c>
      <c r="D122" t="s">
        <v>90</v>
      </c>
      <c r="E122" s="5">
        <v>1</v>
      </c>
      <c r="F122" s="5" t="s">
        <v>31</v>
      </c>
      <c r="G122" t="s">
        <v>40</v>
      </c>
      <c r="L122" t="s">
        <v>291</v>
      </c>
      <c r="AB122" t="s">
        <v>91</v>
      </c>
      <c r="AC122" s="2">
        <v>44306.62128472222</v>
      </c>
      <c r="AD122" t="s">
        <v>33</v>
      </c>
      <c r="AE122" s="2">
        <v>44306.62128472222</v>
      </c>
      <c r="AF122" t="s">
        <v>33</v>
      </c>
    </row>
    <row r="123" spans="1:32" x14ac:dyDescent="0.25">
      <c r="A123" s="3">
        <v>10</v>
      </c>
      <c r="B123" s="6">
        <v>44306</v>
      </c>
      <c r="C123" s="7">
        <f>AC123-(7/24)</f>
        <v>44306.315127314818</v>
      </c>
      <c r="D123" t="s">
        <v>55</v>
      </c>
      <c r="E123" s="5">
        <v>2</v>
      </c>
      <c r="F123" s="5" t="s">
        <v>31</v>
      </c>
      <c r="G123" t="s">
        <v>51</v>
      </c>
      <c r="L123" t="s">
        <v>291</v>
      </c>
      <c r="AB123" t="s">
        <v>56</v>
      </c>
      <c r="AC123" s="2">
        <v>44306.606793981482</v>
      </c>
      <c r="AD123" t="s">
        <v>33</v>
      </c>
      <c r="AE123" s="2">
        <v>44306.606793981482</v>
      </c>
      <c r="AF123" t="s">
        <v>33</v>
      </c>
    </row>
    <row r="124" spans="1:32" x14ac:dyDescent="0.25">
      <c r="A124" s="3">
        <v>7</v>
      </c>
      <c r="B124" s="6">
        <v>44306</v>
      </c>
      <c r="C124" s="7">
        <f>AC124-(7/24)</f>
        <v>44306.313379629639</v>
      </c>
      <c r="D124" t="s">
        <v>47</v>
      </c>
      <c r="E124" s="5">
        <v>1</v>
      </c>
      <c r="F124" s="5" t="s">
        <v>31</v>
      </c>
      <c r="G124" t="s">
        <v>48</v>
      </c>
      <c r="L124" t="s">
        <v>291</v>
      </c>
      <c r="AB124" t="s">
        <v>49</v>
      </c>
      <c r="AC124" s="2">
        <v>44306.605046296303</v>
      </c>
      <c r="AD124" t="s">
        <v>33</v>
      </c>
      <c r="AE124" s="2">
        <v>44306.605046296303</v>
      </c>
      <c r="AF124" t="s">
        <v>33</v>
      </c>
    </row>
    <row r="125" spans="1:32" x14ac:dyDescent="0.25">
      <c r="A125" s="3">
        <v>27</v>
      </c>
      <c r="B125" s="6">
        <v>44306</v>
      </c>
      <c r="C125" s="7">
        <f>AC125-(7/24)</f>
        <v>44306.328055555568</v>
      </c>
      <c r="D125" t="s">
        <v>84</v>
      </c>
      <c r="E125" s="5">
        <v>1</v>
      </c>
      <c r="F125" s="5" t="s">
        <v>31</v>
      </c>
      <c r="G125" t="s">
        <v>48</v>
      </c>
      <c r="L125" t="s">
        <v>291</v>
      </c>
      <c r="AB125" t="s">
        <v>85</v>
      </c>
      <c r="AC125" s="2">
        <v>44306.619722222233</v>
      </c>
      <c r="AD125" t="s">
        <v>33</v>
      </c>
      <c r="AE125" s="2">
        <v>44306.619722222233</v>
      </c>
      <c r="AF125" t="s">
        <v>33</v>
      </c>
    </row>
    <row r="126" spans="1:32" x14ac:dyDescent="0.25">
      <c r="A126" s="3">
        <v>139</v>
      </c>
      <c r="B126" s="6">
        <v>44306</v>
      </c>
      <c r="C126" s="7">
        <f>AC126-(7/24)</f>
        <v>44306.382152777798</v>
      </c>
      <c r="D126" t="s">
        <v>84</v>
      </c>
      <c r="E126" s="5">
        <v>1</v>
      </c>
      <c r="F126" s="5" t="s">
        <v>31</v>
      </c>
      <c r="G126" t="s">
        <v>43</v>
      </c>
      <c r="L126" t="s">
        <v>290</v>
      </c>
      <c r="AB126" t="s">
        <v>252</v>
      </c>
      <c r="AC126" s="2">
        <v>44306.673819444462</v>
      </c>
      <c r="AD126" t="s">
        <v>33</v>
      </c>
      <c r="AE126" s="2">
        <v>44306.673819444462</v>
      </c>
      <c r="AF126" t="s">
        <v>33</v>
      </c>
    </row>
    <row r="127" spans="1:32" x14ac:dyDescent="0.25">
      <c r="A127" s="3">
        <v>101</v>
      </c>
      <c r="B127" s="6">
        <v>44306</v>
      </c>
      <c r="C127" s="7">
        <f>AC127-(7/24)</f>
        <v>44306.335648148153</v>
      </c>
      <c r="D127" t="s">
        <v>196</v>
      </c>
      <c r="E127" s="5">
        <v>5</v>
      </c>
      <c r="F127" s="5" t="s">
        <v>31</v>
      </c>
      <c r="G127" t="s">
        <v>134</v>
      </c>
      <c r="L127" t="s">
        <v>290</v>
      </c>
      <c r="AB127" t="s">
        <v>197</v>
      </c>
      <c r="AC127" s="2">
        <v>44306.627314814818</v>
      </c>
      <c r="AD127" t="s">
        <v>33</v>
      </c>
      <c r="AE127" s="2">
        <v>44306.627314814818</v>
      </c>
      <c r="AF127" t="s">
        <v>33</v>
      </c>
    </row>
    <row r="128" spans="1:32" x14ac:dyDescent="0.25">
      <c r="A128" s="3">
        <v>141</v>
      </c>
      <c r="B128" s="6">
        <v>44306</v>
      </c>
      <c r="C128" s="7">
        <f>AC128-(7/24)</f>
        <v>44306.384525462963</v>
      </c>
      <c r="D128" t="s">
        <v>196</v>
      </c>
      <c r="E128" s="5">
        <v>2</v>
      </c>
      <c r="F128" s="5" t="s">
        <v>31</v>
      </c>
      <c r="G128" t="s">
        <v>40</v>
      </c>
      <c r="L128" t="s">
        <v>290</v>
      </c>
      <c r="AB128" t="s">
        <v>254</v>
      </c>
      <c r="AC128" s="2">
        <v>44306.676192129627</v>
      </c>
      <c r="AD128" t="s">
        <v>33</v>
      </c>
      <c r="AE128" s="2">
        <v>44306.676192129627</v>
      </c>
      <c r="AF128" t="s">
        <v>33</v>
      </c>
    </row>
    <row r="129" spans="1:32" x14ac:dyDescent="0.25">
      <c r="A129" s="3">
        <v>14</v>
      </c>
      <c r="B129" s="6">
        <v>44306</v>
      </c>
      <c r="C129" s="7">
        <f>AC129-(7/24)</f>
        <v>44306.316875000004</v>
      </c>
      <c r="D129" t="s">
        <v>60</v>
      </c>
      <c r="E129" s="5">
        <v>3</v>
      </c>
      <c r="F129" s="5" t="s">
        <v>31</v>
      </c>
      <c r="G129" t="s">
        <v>35</v>
      </c>
      <c r="L129" t="s">
        <v>291</v>
      </c>
      <c r="AB129" t="s">
        <v>61</v>
      </c>
      <c r="AC129" s="2">
        <v>44306.608541666668</v>
      </c>
      <c r="AD129" t="s">
        <v>33</v>
      </c>
      <c r="AE129" s="2">
        <v>44306.608541666668</v>
      </c>
      <c r="AF129" t="s">
        <v>33</v>
      </c>
    </row>
    <row r="130" spans="1:32" x14ac:dyDescent="0.25">
      <c r="A130" s="3">
        <v>76</v>
      </c>
      <c r="B130" s="6">
        <v>44306</v>
      </c>
      <c r="C130" s="7">
        <f>AC130-(7/24)</f>
        <v>44306.388750000013</v>
      </c>
      <c r="D130" t="s">
        <v>151</v>
      </c>
      <c r="E130" s="5">
        <v>6</v>
      </c>
      <c r="F130" s="5" t="s">
        <v>31</v>
      </c>
      <c r="L130" t="s">
        <v>291</v>
      </c>
      <c r="AB130" t="s">
        <v>152</v>
      </c>
      <c r="AC130" s="2">
        <v>44306.680416666677</v>
      </c>
      <c r="AD130" t="s">
        <v>33</v>
      </c>
      <c r="AE130" s="2">
        <v>44306.701840277783</v>
      </c>
      <c r="AF130" t="s">
        <v>33</v>
      </c>
    </row>
    <row r="131" spans="1:32" x14ac:dyDescent="0.25">
      <c r="B131" s="6">
        <v>44306</v>
      </c>
      <c r="D131" t="s">
        <v>151</v>
      </c>
      <c r="E131" s="5">
        <v>14</v>
      </c>
      <c r="F131" s="5" t="s">
        <v>31</v>
      </c>
      <c r="J131" t="s">
        <v>305</v>
      </c>
      <c r="L131" t="s">
        <v>290</v>
      </c>
    </row>
    <row r="132" spans="1:32" x14ac:dyDescent="0.25">
      <c r="A132" s="3">
        <v>106</v>
      </c>
      <c r="B132" s="6">
        <v>44306</v>
      </c>
      <c r="C132" s="7">
        <f>AC132-(7/24)</f>
        <v>44306.341956018528</v>
      </c>
      <c r="D132" t="s">
        <v>206</v>
      </c>
      <c r="E132" s="5">
        <v>2</v>
      </c>
      <c r="F132" s="5" t="s">
        <v>31</v>
      </c>
      <c r="G132" t="s">
        <v>70</v>
      </c>
      <c r="L132" t="s">
        <v>290</v>
      </c>
      <c r="AB132" t="s">
        <v>207</v>
      </c>
      <c r="AC132" s="2">
        <v>44306.633622685193</v>
      </c>
      <c r="AD132" t="s">
        <v>33</v>
      </c>
      <c r="AE132" s="2">
        <v>44306.633622685193</v>
      </c>
      <c r="AF132" t="s">
        <v>33</v>
      </c>
    </row>
    <row r="133" spans="1:32" x14ac:dyDescent="0.25">
      <c r="A133" s="3">
        <v>115</v>
      </c>
      <c r="B133" s="6">
        <v>44306</v>
      </c>
      <c r="C133" s="7">
        <f>AC133-(7/24)</f>
        <v>44306.355925925927</v>
      </c>
      <c r="D133" t="s">
        <v>206</v>
      </c>
      <c r="E133" s="5">
        <v>1</v>
      </c>
      <c r="F133" s="5" t="s">
        <v>31</v>
      </c>
      <c r="G133" t="s">
        <v>40</v>
      </c>
      <c r="L133" t="s">
        <v>290</v>
      </c>
      <c r="AB133" t="s">
        <v>222</v>
      </c>
      <c r="AC133" s="2">
        <v>44306.647592592592</v>
      </c>
      <c r="AD133" t="s">
        <v>33</v>
      </c>
      <c r="AE133" s="2">
        <v>44306.647592592592</v>
      </c>
      <c r="AF133" t="s">
        <v>33</v>
      </c>
    </row>
    <row r="134" spans="1:32" x14ac:dyDescent="0.25">
      <c r="A134" s="3">
        <v>114</v>
      </c>
      <c r="B134" s="6">
        <v>44306</v>
      </c>
      <c r="C134" s="7">
        <f>AC134-(7/24)</f>
        <v>44306.353541666678</v>
      </c>
      <c r="D134" t="s">
        <v>218</v>
      </c>
      <c r="E134" s="5">
        <v>1</v>
      </c>
      <c r="F134" s="5" t="s">
        <v>31</v>
      </c>
      <c r="G134" t="s">
        <v>70</v>
      </c>
      <c r="H134" t="s">
        <v>219</v>
      </c>
      <c r="I134" t="s">
        <v>162</v>
      </c>
      <c r="J134" t="s">
        <v>220</v>
      </c>
      <c r="L134" t="s">
        <v>290</v>
      </c>
      <c r="AB134" t="s">
        <v>221</v>
      </c>
      <c r="AC134" s="2">
        <v>44306.645208333342</v>
      </c>
      <c r="AD134" t="s">
        <v>33</v>
      </c>
      <c r="AE134" s="2">
        <v>44306.645208333342</v>
      </c>
      <c r="AF134" t="s">
        <v>33</v>
      </c>
    </row>
    <row r="135" spans="1:32" x14ac:dyDescent="0.25">
      <c r="A135" s="3">
        <v>116</v>
      </c>
      <c r="B135" s="6">
        <v>44306</v>
      </c>
      <c r="C135" s="7">
        <f>AC135-(7/24)</f>
        <v>44306.357372685183</v>
      </c>
      <c r="D135" t="s">
        <v>218</v>
      </c>
      <c r="E135" s="5">
        <v>2</v>
      </c>
      <c r="F135" s="5" t="s">
        <v>31</v>
      </c>
      <c r="G135" t="s">
        <v>40</v>
      </c>
      <c r="L135" t="s">
        <v>290</v>
      </c>
      <c r="AB135" t="s">
        <v>223</v>
      </c>
      <c r="AC135" s="2">
        <v>44306.649039351847</v>
      </c>
      <c r="AD135" t="s">
        <v>33</v>
      </c>
      <c r="AE135" s="2">
        <v>44306.64988425927</v>
      </c>
      <c r="AF135" t="s">
        <v>33</v>
      </c>
    </row>
    <row r="136" spans="1:32" x14ac:dyDescent="0.25">
      <c r="A136" s="3">
        <v>159</v>
      </c>
      <c r="B136" s="6">
        <v>44306</v>
      </c>
      <c r="C136" s="7">
        <f>AC136-(7/24)</f>
        <v>44306.396180555559</v>
      </c>
      <c r="D136" t="s">
        <v>165</v>
      </c>
      <c r="E136" s="5">
        <v>1</v>
      </c>
      <c r="F136" s="5" t="s">
        <v>31</v>
      </c>
      <c r="G136" t="s">
        <v>43</v>
      </c>
      <c r="L136" t="s">
        <v>290</v>
      </c>
      <c r="AB136" t="s">
        <v>276</v>
      </c>
      <c r="AC136" s="2">
        <v>44306.687847222223</v>
      </c>
      <c r="AD136" t="s">
        <v>33</v>
      </c>
      <c r="AE136" s="2">
        <v>44306.687847222223</v>
      </c>
      <c r="AF136" t="s">
        <v>33</v>
      </c>
    </row>
    <row r="137" spans="1:32" x14ac:dyDescent="0.25">
      <c r="A137" s="3">
        <v>82</v>
      </c>
      <c r="B137" s="6">
        <v>44306</v>
      </c>
      <c r="C137" s="7">
        <f>AC137-(7/24)</f>
        <v>44306.404340277782</v>
      </c>
      <c r="D137" t="s">
        <v>165</v>
      </c>
      <c r="E137" s="5">
        <v>1</v>
      </c>
      <c r="F137" s="5" t="s">
        <v>31</v>
      </c>
      <c r="G137" t="s">
        <v>75</v>
      </c>
      <c r="L137" t="s">
        <v>291</v>
      </c>
      <c r="AB137" t="s">
        <v>166</v>
      </c>
      <c r="AC137" s="2">
        <v>44306.696006944447</v>
      </c>
      <c r="AD137" t="s">
        <v>33</v>
      </c>
      <c r="AE137" s="2">
        <v>44306.696006944447</v>
      </c>
      <c r="AF137" t="s">
        <v>33</v>
      </c>
    </row>
    <row r="138" spans="1:32" x14ac:dyDescent="0.25">
      <c r="A138" s="3">
        <v>126</v>
      </c>
      <c r="B138" s="6">
        <v>44306</v>
      </c>
      <c r="C138" s="7">
        <f>AC138-(7/24)</f>
        <v>44306.371979166666</v>
      </c>
      <c r="D138" t="s">
        <v>153</v>
      </c>
      <c r="E138" s="5">
        <v>3</v>
      </c>
      <c r="F138" s="5" t="s">
        <v>31</v>
      </c>
      <c r="G138" t="s">
        <v>40</v>
      </c>
      <c r="L138" t="s">
        <v>290</v>
      </c>
      <c r="AB138" t="s">
        <v>235</v>
      </c>
      <c r="AC138" s="2">
        <v>44306.663645833331</v>
      </c>
      <c r="AD138" t="s">
        <v>33</v>
      </c>
      <c r="AE138" s="2">
        <v>44306.663645833331</v>
      </c>
      <c r="AF138" t="s">
        <v>33</v>
      </c>
    </row>
    <row r="139" spans="1:32" x14ac:dyDescent="0.25">
      <c r="A139" s="3">
        <v>77</v>
      </c>
      <c r="B139" s="6">
        <v>44306</v>
      </c>
      <c r="C139" s="7">
        <f>AC139-(7/24)</f>
        <v>44306.395023148143</v>
      </c>
      <c r="D139" t="s">
        <v>153</v>
      </c>
      <c r="E139" s="5">
        <v>2</v>
      </c>
      <c r="F139" s="5" t="s">
        <v>31</v>
      </c>
      <c r="G139" t="s">
        <v>35</v>
      </c>
      <c r="L139" t="s">
        <v>291</v>
      </c>
      <c r="AB139" t="s">
        <v>154</v>
      </c>
      <c r="AC139" s="2">
        <v>44306.686689814807</v>
      </c>
      <c r="AD139" t="s">
        <v>33</v>
      </c>
      <c r="AE139" s="2">
        <v>44306.686689814807</v>
      </c>
      <c r="AF139" t="s">
        <v>33</v>
      </c>
    </row>
    <row r="140" spans="1:32" x14ac:dyDescent="0.25">
      <c r="A140" s="3">
        <v>88</v>
      </c>
      <c r="B140" s="6">
        <v>44306</v>
      </c>
      <c r="C140" s="7">
        <f>AC140-(7/24)</f>
        <v>44306.303159722229</v>
      </c>
      <c r="D140" t="s">
        <v>178</v>
      </c>
      <c r="E140" s="5">
        <v>5</v>
      </c>
      <c r="F140" s="5" t="s">
        <v>31</v>
      </c>
      <c r="G140" t="s">
        <v>175</v>
      </c>
      <c r="L140" t="s">
        <v>290</v>
      </c>
      <c r="AB140" t="s">
        <v>179</v>
      </c>
      <c r="AC140" s="2">
        <v>44306.594826388893</v>
      </c>
      <c r="AD140" t="s">
        <v>33</v>
      </c>
      <c r="AE140" s="2">
        <v>44306.59574074074</v>
      </c>
      <c r="AF140" t="s">
        <v>33</v>
      </c>
    </row>
    <row r="141" spans="1:32" x14ac:dyDescent="0.25">
      <c r="A141" s="3">
        <v>132</v>
      </c>
      <c r="B141" s="6">
        <v>44306</v>
      </c>
      <c r="C141" s="7">
        <f>AC141-(7/24)</f>
        <v>44306.375787037039</v>
      </c>
      <c r="D141" t="s">
        <v>178</v>
      </c>
      <c r="E141" s="5">
        <v>2</v>
      </c>
      <c r="F141" s="5" t="s">
        <v>31</v>
      </c>
      <c r="G141" t="s">
        <v>134</v>
      </c>
      <c r="L141" t="s">
        <v>290</v>
      </c>
      <c r="AB141" t="s">
        <v>241</v>
      </c>
      <c r="AC141" s="2">
        <v>44306.667453703703</v>
      </c>
      <c r="AD141" t="s">
        <v>33</v>
      </c>
      <c r="AE141" s="2">
        <v>44306.667453703703</v>
      </c>
      <c r="AF141" t="s">
        <v>33</v>
      </c>
    </row>
    <row r="142" spans="1:32" x14ac:dyDescent="0.25">
      <c r="A142" s="3">
        <v>64</v>
      </c>
      <c r="B142" s="6">
        <v>44306</v>
      </c>
      <c r="C142" s="7">
        <f>AC142-(7/24)</f>
        <v>44306.363715277788</v>
      </c>
      <c r="D142" t="s">
        <v>136</v>
      </c>
      <c r="E142" s="5">
        <v>1</v>
      </c>
      <c r="F142" s="5" t="s">
        <v>31</v>
      </c>
      <c r="G142" t="s">
        <v>134</v>
      </c>
      <c r="L142" t="s">
        <v>291</v>
      </c>
      <c r="AB142" t="s">
        <v>137</v>
      </c>
      <c r="AC142" s="2">
        <v>44306.655381944453</v>
      </c>
      <c r="AD142" t="s">
        <v>33</v>
      </c>
      <c r="AE142" s="2">
        <v>44306.655381944453</v>
      </c>
      <c r="AF142" t="s">
        <v>33</v>
      </c>
    </row>
    <row r="143" spans="1:32" x14ac:dyDescent="0.25">
      <c r="A143" s="3">
        <v>96</v>
      </c>
      <c r="B143" s="6">
        <v>44306</v>
      </c>
      <c r="C143" s="7">
        <f>AC143-(7/24)</f>
        <v>44306.315104166679</v>
      </c>
      <c r="D143" t="s">
        <v>80</v>
      </c>
      <c r="E143" s="5">
        <v>1</v>
      </c>
      <c r="F143" s="5" t="s">
        <v>31</v>
      </c>
      <c r="G143" t="s">
        <v>40</v>
      </c>
      <c r="L143" t="s">
        <v>290</v>
      </c>
      <c r="AB143" t="s">
        <v>188</v>
      </c>
      <c r="AC143" s="2">
        <v>44306.606770833343</v>
      </c>
      <c r="AD143" t="s">
        <v>33</v>
      </c>
      <c r="AE143" s="2">
        <v>44306.606770833343</v>
      </c>
      <c r="AF143" t="s">
        <v>33</v>
      </c>
    </row>
    <row r="144" spans="1:32" x14ac:dyDescent="0.25">
      <c r="A144" s="3">
        <v>25</v>
      </c>
      <c r="B144" s="6">
        <v>44306</v>
      </c>
      <c r="C144" s="7">
        <f>AC144-(7/24)</f>
        <v>44306.326296296298</v>
      </c>
      <c r="D144" t="s">
        <v>80</v>
      </c>
      <c r="E144" s="5">
        <v>1</v>
      </c>
      <c r="F144" s="5" t="s">
        <v>31</v>
      </c>
      <c r="G144" t="s">
        <v>40</v>
      </c>
      <c r="L144" t="s">
        <v>291</v>
      </c>
      <c r="AB144" t="s">
        <v>81</v>
      </c>
      <c r="AC144" s="2">
        <v>44306.617962962962</v>
      </c>
      <c r="AD144" t="s">
        <v>33</v>
      </c>
      <c r="AE144" s="2">
        <v>44306.617962962962</v>
      </c>
      <c r="AF144" t="s">
        <v>33</v>
      </c>
    </row>
    <row r="145" spans="1:32" x14ac:dyDescent="0.25">
      <c r="A145" s="3">
        <v>31</v>
      </c>
      <c r="B145" s="6">
        <v>44306</v>
      </c>
      <c r="C145" s="7">
        <f>AC145-(7/24)</f>
        <v>44306.331030092595</v>
      </c>
      <c r="D145" t="s">
        <v>80</v>
      </c>
      <c r="E145" s="5">
        <v>1</v>
      </c>
      <c r="F145" s="5" t="s">
        <v>31</v>
      </c>
      <c r="G145" t="s">
        <v>48</v>
      </c>
      <c r="L145" t="s">
        <v>291</v>
      </c>
      <c r="AB145" t="s">
        <v>92</v>
      </c>
      <c r="AC145" s="2">
        <v>44306.622696759259</v>
      </c>
      <c r="AD145" t="s">
        <v>33</v>
      </c>
      <c r="AE145" s="2">
        <v>44306.622696759259</v>
      </c>
      <c r="AF145" t="s">
        <v>33</v>
      </c>
    </row>
    <row r="146" spans="1:32" x14ac:dyDescent="0.25">
      <c r="A146" s="3">
        <v>40</v>
      </c>
      <c r="B146" s="6">
        <v>44306</v>
      </c>
      <c r="C146" s="7">
        <f>AC146-(7/24)</f>
        <v>44306.343437499992</v>
      </c>
      <c r="D146" t="s">
        <v>80</v>
      </c>
      <c r="E146" s="5">
        <v>1</v>
      </c>
      <c r="F146" s="5" t="s">
        <v>31</v>
      </c>
      <c r="G146" t="s">
        <v>48</v>
      </c>
      <c r="L146" t="s">
        <v>291</v>
      </c>
      <c r="AB146" t="s">
        <v>105</v>
      </c>
      <c r="AC146" s="2">
        <v>44306.635104166657</v>
      </c>
      <c r="AD146" t="s">
        <v>33</v>
      </c>
      <c r="AE146" s="2">
        <v>44306.635104166657</v>
      </c>
      <c r="AF146" t="s">
        <v>33</v>
      </c>
    </row>
    <row r="147" spans="1:32" x14ac:dyDescent="0.25">
      <c r="A147" s="3">
        <v>43</v>
      </c>
      <c r="B147" s="6">
        <v>44306</v>
      </c>
      <c r="C147" s="7">
        <f>AC147-(7/24)</f>
        <v>44306.345335648148</v>
      </c>
      <c r="D147" t="s">
        <v>80</v>
      </c>
      <c r="E147" s="5">
        <v>1</v>
      </c>
      <c r="F147" s="5" t="s">
        <v>31</v>
      </c>
      <c r="G147" t="s">
        <v>70</v>
      </c>
      <c r="L147" t="s">
        <v>291</v>
      </c>
      <c r="AB147" t="s">
        <v>109</v>
      </c>
      <c r="AC147" s="2">
        <v>44306.637002314812</v>
      </c>
      <c r="AD147" t="s">
        <v>33</v>
      </c>
      <c r="AE147" s="2">
        <v>44306.637002314812</v>
      </c>
      <c r="AF147" t="s">
        <v>33</v>
      </c>
    </row>
    <row r="148" spans="1:32" x14ac:dyDescent="0.25">
      <c r="A148" s="3">
        <v>109</v>
      </c>
      <c r="B148" s="6">
        <v>44306</v>
      </c>
      <c r="C148" s="7">
        <f>AC148-(7/24)</f>
        <v>44306.347187500003</v>
      </c>
      <c r="D148" t="s">
        <v>80</v>
      </c>
      <c r="E148" s="5">
        <v>1</v>
      </c>
      <c r="F148" s="5" t="s">
        <v>31</v>
      </c>
      <c r="G148" t="s">
        <v>40</v>
      </c>
      <c r="L148" t="s">
        <v>290</v>
      </c>
      <c r="AB148" t="s">
        <v>212</v>
      </c>
      <c r="AC148" s="2">
        <v>44306.638854166667</v>
      </c>
      <c r="AD148" t="s">
        <v>33</v>
      </c>
      <c r="AE148" s="2">
        <v>44306.638854166667</v>
      </c>
      <c r="AF148" t="s">
        <v>33</v>
      </c>
    </row>
    <row r="149" spans="1:32" x14ac:dyDescent="0.25">
      <c r="A149" s="3">
        <v>54</v>
      </c>
      <c r="B149" s="6">
        <v>44306</v>
      </c>
      <c r="C149" s="7">
        <f>AC149-(7/24)</f>
        <v>44306.355520833335</v>
      </c>
      <c r="D149" t="s">
        <v>80</v>
      </c>
      <c r="E149" s="5">
        <v>1</v>
      </c>
      <c r="F149" s="5" t="s">
        <v>31</v>
      </c>
      <c r="G149" t="s">
        <v>48</v>
      </c>
      <c r="L149" t="s">
        <v>291</v>
      </c>
      <c r="AB149" t="s">
        <v>125</v>
      </c>
      <c r="AC149" s="2">
        <v>44306.647187499999</v>
      </c>
      <c r="AD149" t="s">
        <v>33</v>
      </c>
      <c r="AE149" s="2">
        <v>44306.647187499999</v>
      </c>
      <c r="AF149" t="s">
        <v>33</v>
      </c>
    </row>
    <row r="150" spans="1:32" x14ac:dyDescent="0.25">
      <c r="A150" s="3">
        <v>129</v>
      </c>
      <c r="B150" s="6">
        <v>44306</v>
      </c>
      <c r="C150" s="7">
        <f>AC150-(7/24)</f>
        <v>44306.372881944444</v>
      </c>
      <c r="D150" t="s">
        <v>80</v>
      </c>
      <c r="E150" s="5">
        <v>1</v>
      </c>
      <c r="F150" s="5" t="s">
        <v>31</v>
      </c>
      <c r="G150" t="s">
        <v>43</v>
      </c>
      <c r="L150" t="s">
        <v>290</v>
      </c>
      <c r="AB150" t="s">
        <v>238</v>
      </c>
      <c r="AC150" s="2">
        <v>44306.664548611108</v>
      </c>
      <c r="AD150" t="s">
        <v>33</v>
      </c>
      <c r="AE150" s="2">
        <v>44306.664548611108</v>
      </c>
      <c r="AF150" t="s">
        <v>33</v>
      </c>
    </row>
    <row r="151" spans="1:32" x14ac:dyDescent="0.25">
      <c r="A151" s="3">
        <v>75</v>
      </c>
      <c r="B151" s="6">
        <v>44306</v>
      </c>
      <c r="C151" s="7">
        <f>AC151-(7/24)</f>
        <v>44306.381770833337</v>
      </c>
      <c r="D151" t="s">
        <v>80</v>
      </c>
      <c r="E151" s="5">
        <v>1</v>
      </c>
      <c r="F151" s="5" t="s">
        <v>31</v>
      </c>
      <c r="G151" t="s">
        <v>35</v>
      </c>
      <c r="L151" t="s">
        <v>291</v>
      </c>
      <c r="AB151" t="s">
        <v>150</v>
      </c>
      <c r="AC151" s="2">
        <v>44306.673437500001</v>
      </c>
      <c r="AD151" t="s">
        <v>33</v>
      </c>
      <c r="AE151" s="2">
        <v>44306.673437500001</v>
      </c>
      <c r="AF151" t="s">
        <v>33</v>
      </c>
    </row>
    <row r="152" spans="1:32" x14ac:dyDescent="0.25">
      <c r="A152" s="3">
        <v>140</v>
      </c>
      <c r="B152" s="6">
        <v>44306</v>
      </c>
      <c r="C152" s="7">
        <f>AC152-(7/24)</f>
        <v>44306.382442129623</v>
      </c>
      <c r="D152" t="s">
        <v>80</v>
      </c>
      <c r="E152" s="5">
        <v>4</v>
      </c>
      <c r="F152" s="5" t="s">
        <v>31</v>
      </c>
      <c r="G152" t="s">
        <v>48</v>
      </c>
      <c r="L152" t="s">
        <v>290</v>
      </c>
      <c r="AB152" t="s">
        <v>253</v>
      </c>
      <c r="AC152" s="2">
        <v>44306.674108796287</v>
      </c>
      <c r="AD152" t="s">
        <v>33</v>
      </c>
      <c r="AE152" s="2">
        <v>44306.67523148148</v>
      </c>
      <c r="AF152" t="s">
        <v>33</v>
      </c>
    </row>
    <row r="153" spans="1:32" x14ac:dyDescent="0.25">
      <c r="A153" s="3">
        <v>152</v>
      </c>
      <c r="B153" s="6">
        <v>44306</v>
      </c>
      <c r="C153" s="7">
        <f>AC153-(7/24)</f>
        <v>44306.393437500003</v>
      </c>
      <c r="D153" t="s">
        <v>80</v>
      </c>
      <c r="E153" s="5">
        <v>1</v>
      </c>
      <c r="F153" s="5" t="s">
        <v>31</v>
      </c>
      <c r="G153" t="s">
        <v>40</v>
      </c>
      <c r="L153" t="s">
        <v>290</v>
      </c>
      <c r="AB153" t="s">
        <v>268</v>
      </c>
      <c r="AC153" s="2">
        <v>44306.685104166667</v>
      </c>
      <c r="AD153" t="s">
        <v>33</v>
      </c>
      <c r="AE153" s="2">
        <v>44306.685104166667</v>
      </c>
      <c r="AF153" t="s">
        <v>33</v>
      </c>
    </row>
    <row r="154" spans="1:32" x14ac:dyDescent="0.25">
      <c r="A154" s="3">
        <v>73</v>
      </c>
      <c r="B154" s="6">
        <v>44306</v>
      </c>
      <c r="C154" s="7">
        <f>AC154-(7/24)</f>
        <v>44306.379039351865</v>
      </c>
      <c r="D154" t="s">
        <v>147</v>
      </c>
      <c r="E154" s="5">
        <v>2</v>
      </c>
      <c r="F154" s="5" t="s">
        <v>31</v>
      </c>
      <c r="G154" t="s">
        <v>70</v>
      </c>
      <c r="L154" t="s">
        <v>291</v>
      </c>
      <c r="AB154" t="s">
        <v>148</v>
      </c>
      <c r="AC154" s="2">
        <v>44306.670706018529</v>
      </c>
      <c r="AD154" t="s">
        <v>33</v>
      </c>
      <c r="AE154" s="2">
        <v>44306.673263888893</v>
      </c>
      <c r="AF154" t="s">
        <v>33</v>
      </c>
    </row>
    <row r="155" spans="1:32" x14ac:dyDescent="0.25">
      <c r="A155" s="3">
        <v>156</v>
      </c>
      <c r="B155" s="6">
        <v>44306</v>
      </c>
      <c r="C155" s="7">
        <f>AC155-(7/24)</f>
        <v>44306.394837962966</v>
      </c>
      <c r="D155" t="s">
        <v>147</v>
      </c>
      <c r="E155" s="5">
        <v>1</v>
      </c>
      <c r="F155" s="5" t="s">
        <v>31</v>
      </c>
      <c r="G155" t="s">
        <v>134</v>
      </c>
      <c r="L155" t="s">
        <v>290</v>
      </c>
      <c r="AB155" t="s">
        <v>273</v>
      </c>
      <c r="AC155" s="2">
        <v>44306.68650462963</v>
      </c>
      <c r="AD155" t="s">
        <v>33</v>
      </c>
      <c r="AE155" s="2">
        <v>44306.68650462963</v>
      </c>
      <c r="AF155" t="s">
        <v>33</v>
      </c>
    </row>
    <row r="156" spans="1:32" x14ac:dyDescent="0.25">
      <c r="A156" s="3">
        <v>102</v>
      </c>
      <c r="B156" s="6">
        <v>44306</v>
      </c>
      <c r="C156" s="7">
        <f>AC156-(7/24)</f>
        <v>44306.336458333346</v>
      </c>
      <c r="D156" t="s">
        <v>198</v>
      </c>
      <c r="E156" s="5">
        <v>2</v>
      </c>
      <c r="F156" s="5" t="s">
        <v>31</v>
      </c>
      <c r="G156" t="s">
        <v>43</v>
      </c>
      <c r="L156" t="s">
        <v>290</v>
      </c>
      <c r="AB156" t="s">
        <v>199</v>
      </c>
      <c r="AC156" s="2">
        <v>44306.62812500001</v>
      </c>
      <c r="AD156" t="s">
        <v>33</v>
      </c>
      <c r="AE156" s="2">
        <v>44306.62812500001</v>
      </c>
      <c r="AF156" t="s">
        <v>33</v>
      </c>
    </row>
    <row r="157" spans="1:32" x14ac:dyDescent="0.25">
      <c r="A157" s="3">
        <v>113</v>
      </c>
      <c r="B157" s="6">
        <v>44306</v>
      </c>
      <c r="C157" s="7">
        <f>AC157-(7/24)</f>
        <v>44306.351273148153</v>
      </c>
      <c r="D157" t="s">
        <v>198</v>
      </c>
      <c r="E157" s="5">
        <v>1</v>
      </c>
      <c r="F157" s="5" t="s">
        <v>31</v>
      </c>
      <c r="G157" t="s">
        <v>43</v>
      </c>
      <c r="L157" t="s">
        <v>290</v>
      </c>
      <c r="AB157" t="s">
        <v>217</v>
      </c>
      <c r="AC157" s="2">
        <v>44306.642939814818</v>
      </c>
      <c r="AD157" t="s">
        <v>33</v>
      </c>
      <c r="AE157" s="2">
        <v>44306.642939814818</v>
      </c>
      <c r="AF157" t="s">
        <v>33</v>
      </c>
    </row>
    <row r="158" spans="1:32" x14ac:dyDescent="0.25">
      <c r="A158" s="3">
        <v>22</v>
      </c>
      <c r="B158" s="6">
        <v>44306</v>
      </c>
      <c r="C158" s="7">
        <f>AC158-(7/24)</f>
        <v>44306.324293981488</v>
      </c>
      <c r="D158" t="s">
        <v>74</v>
      </c>
      <c r="E158" s="5">
        <v>2</v>
      </c>
      <c r="F158" s="5" t="s">
        <v>31</v>
      </c>
      <c r="G158" t="s">
        <v>75</v>
      </c>
      <c r="L158" t="s">
        <v>291</v>
      </c>
      <c r="AB158" t="s">
        <v>76</v>
      </c>
      <c r="AC158" s="2">
        <v>44306.615960648152</v>
      </c>
      <c r="AD158" t="s">
        <v>33</v>
      </c>
      <c r="AE158" s="2">
        <v>44306.615960648152</v>
      </c>
      <c r="AF158" t="s">
        <v>33</v>
      </c>
    </row>
    <row r="159" spans="1:32" x14ac:dyDescent="0.25">
      <c r="A159" s="3">
        <v>38</v>
      </c>
      <c r="B159" s="6">
        <v>44306</v>
      </c>
      <c r="C159" s="7">
        <f>AC159-(7/24)</f>
        <v>44306.341608796298</v>
      </c>
      <c r="D159" t="s">
        <v>74</v>
      </c>
      <c r="E159" s="5">
        <v>1</v>
      </c>
      <c r="F159" s="5" t="s">
        <v>31</v>
      </c>
      <c r="L159" t="s">
        <v>291</v>
      </c>
      <c r="AB159" t="s">
        <v>102</v>
      </c>
      <c r="AC159" s="2">
        <v>44306.633275462962</v>
      </c>
      <c r="AD159" t="s">
        <v>33</v>
      </c>
      <c r="AE159" s="2">
        <v>44306.633275462962</v>
      </c>
      <c r="AF159" t="s">
        <v>33</v>
      </c>
    </row>
    <row r="160" spans="1:32" x14ac:dyDescent="0.25">
      <c r="A160" s="3">
        <v>53</v>
      </c>
      <c r="B160" s="6">
        <v>44306</v>
      </c>
      <c r="C160" s="7">
        <f>AC160-(7/24)</f>
        <v>44306.355405092596</v>
      </c>
      <c r="D160" t="s">
        <v>74</v>
      </c>
      <c r="E160" s="5">
        <v>1</v>
      </c>
      <c r="F160" s="5" t="s">
        <v>31</v>
      </c>
      <c r="G160" t="s">
        <v>48</v>
      </c>
      <c r="L160" t="s">
        <v>291</v>
      </c>
      <c r="AB160" t="s">
        <v>124</v>
      </c>
      <c r="AC160" s="2">
        <v>44306.64707175926</v>
      </c>
      <c r="AD160" t="s">
        <v>33</v>
      </c>
      <c r="AE160" s="2">
        <v>44306.64707175926</v>
      </c>
      <c r="AF160" t="s">
        <v>33</v>
      </c>
    </row>
    <row r="161" spans="1:32" x14ac:dyDescent="0.25">
      <c r="A161" s="3">
        <v>160</v>
      </c>
      <c r="B161" s="6">
        <v>44306</v>
      </c>
      <c r="C161" s="7">
        <f>AC161-(7/24)</f>
        <v>44306.401307870379</v>
      </c>
      <c r="D161" t="s">
        <v>74</v>
      </c>
      <c r="E161" s="5">
        <v>2</v>
      </c>
      <c r="F161" s="5" t="s">
        <v>31</v>
      </c>
      <c r="G161" t="s">
        <v>48</v>
      </c>
      <c r="L161" t="s">
        <v>290</v>
      </c>
      <c r="AB161" t="s">
        <v>277</v>
      </c>
      <c r="AC161" s="2">
        <v>44306.692974537043</v>
      </c>
      <c r="AD161" t="s">
        <v>33</v>
      </c>
      <c r="AE161" s="2">
        <v>44306.692974537043</v>
      </c>
      <c r="AF161" t="s">
        <v>33</v>
      </c>
    </row>
    <row r="162" spans="1:32" x14ac:dyDescent="0.25">
      <c r="A162" s="3">
        <v>51</v>
      </c>
      <c r="B162" s="6">
        <v>44306</v>
      </c>
      <c r="C162" s="7">
        <f>AC162-(7/24)</f>
        <v>44306.354178240748</v>
      </c>
      <c r="D162" t="s">
        <v>121</v>
      </c>
      <c r="E162" s="5">
        <v>1</v>
      </c>
      <c r="F162" s="5" t="s">
        <v>31</v>
      </c>
      <c r="G162" t="s">
        <v>119</v>
      </c>
      <c r="L162" t="s">
        <v>291</v>
      </c>
      <c r="AB162" t="s">
        <v>122</v>
      </c>
      <c r="AC162" s="2">
        <v>44306.645844907413</v>
      </c>
      <c r="AD162" t="s">
        <v>33</v>
      </c>
      <c r="AE162" s="2">
        <v>44306.645844907413</v>
      </c>
      <c r="AF162" t="s">
        <v>33</v>
      </c>
    </row>
    <row r="163" spans="1:32" x14ac:dyDescent="0.25">
      <c r="A163" s="3">
        <v>154</v>
      </c>
      <c r="B163" s="6">
        <v>44306</v>
      </c>
      <c r="C163" s="7">
        <f>AC163-(7/24)</f>
        <v>44306.394039351857</v>
      </c>
      <c r="D163" t="s">
        <v>270</v>
      </c>
      <c r="E163" s="5">
        <v>1</v>
      </c>
      <c r="F163" s="5" t="s">
        <v>31</v>
      </c>
      <c r="G163" t="s">
        <v>48</v>
      </c>
      <c r="L163" t="s">
        <v>290</v>
      </c>
      <c r="AB163" t="s">
        <v>271</v>
      </c>
      <c r="AC163" s="2">
        <v>44306.685706018521</v>
      </c>
      <c r="AD163" t="s">
        <v>33</v>
      </c>
      <c r="AE163" s="2">
        <v>44306.685706018521</v>
      </c>
      <c r="AF163" t="s">
        <v>33</v>
      </c>
    </row>
    <row r="164" spans="1:32" x14ac:dyDescent="0.25">
      <c r="A164" s="3">
        <v>2</v>
      </c>
      <c r="B164" s="6">
        <v>44306</v>
      </c>
      <c r="C164" s="7">
        <f>AC164-(7/24)</f>
        <v>44306.301898148158</v>
      </c>
      <c r="D164" t="s">
        <v>34</v>
      </c>
      <c r="E164" s="5">
        <v>6</v>
      </c>
      <c r="F164" s="5" t="s">
        <v>31</v>
      </c>
      <c r="G164" t="s">
        <v>35</v>
      </c>
      <c r="L164" t="s">
        <v>291</v>
      </c>
      <c r="AB164" t="s">
        <v>36</v>
      </c>
      <c r="AC164" s="2">
        <v>44306.593564814822</v>
      </c>
      <c r="AD164" t="s">
        <v>33</v>
      </c>
      <c r="AE164" s="2">
        <v>44306.594664351847</v>
      </c>
      <c r="AF164" t="s">
        <v>33</v>
      </c>
    </row>
    <row r="165" spans="1:32" x14ac:dyDescent="0.25">
      <c r="A165" s="3">
        <v>89</v>
      </c>
      <c r="B165" s="6">
        <v>44306</v>
      </c>
      <c r="C165" s="7">
        <f>AC165-(7/24)</f>
        <v>44306.303865740745</v>
      </c>
      <c r="D165" t="s">
        <v>34</v>
      </c>
      <c r="E165" s="5">
        <v>4</v>
      </c>
      <c r="F165" s="5" t="s">
        <v>31</v>
      </c>
      <c r="G165" t="s">
        <v>175</v>
      </c>
      <c r="L165" t="s">
        <v>290</v>
      </c>
      <c r="AB165" t="s">
        <v>180</v>
      </c>
      <c r="AC165" s="2">
        <v>44306.595532407409</v>
      </c>
      <c r="AD165" t="s">
        <v>33</v>
      </c>
      <c r="AE165" s="2">
        <v>44306.595532407409</v>
      </c>
      <c r="AF165" t="s">
        <v>33</v>
      </c>
    </row>
    <row r="166" spans="1:32" x14ac:dyDescent="0.25">
      <c r="A166" s="3">
        <v>12</v>
      </c>
      <c r="B166" s="6">
        <v>44306</v>
      </c>
      <c r="C166" s="7">
        <f>AC166-(7/24)</f>
        <v>44306.315879629634</v>
      </c>
      <c r="D166" t="s">
        <v>34</v>
      </c>
      <c r="E166" s="5">
        <v>30</v>
      </c>
      <c r="F166" s="5" t="s">
        <v>31</v>
      </c>
      <c r="G166" t="s">
        <v>35</v>
      </c>
      <c r="L166" t="s">
        <v>291</v>
      </c>
      <c r="AB166" t="s">
        <v>58</v>
      </c>
      <c r="AC166" s="2">
        <v>44306.607546296298</v>
      </c>
      <c r="AD166" t="s">
        <v>33</v>
      </c>
      <c r="AE166" s="2">
        <v>44306.607546296298</v>
      </c>
      <c r="AF166" t="s">
        <v>33</v>
      </c>
    </row>
    <row r="167" spans="1:32" x14ac:dyDescent="0.25">
      <c r="A167" s="3">
        <v>13</v>
      </c>
      <c r="B167" s="6">
        <v>44306</v>
      </c>
      <c r="C167" s="7">
        <f>AC167-(7/24)</f>
        <v>44306.316053240749</v>
      </c>
      <c r="D167" t="s">
        <v>34</v>
      </c>
      <c r="E167" s="5">
        <v>30</v>
      </c>
      <c r="F167" s="5" t="s">
        <v>31</v>
      </c>
      <c r="G167" t="s">
        <v>35</v>
      </c>
      <c r="L167" t="s">
        <v>291</v>
      </c>
      <c r="AB167" t="s">
        <v>59</v>
      </c>
      <c r="AC167" s="2">
        <v>44306.607719907413</v>
      </c>
      <c r="AD167" t="s">
        <v>33</v>
      </c>
      <c r="AE167" s="2">
        <v>44306.607719907413</v>
      </c>
      <c r="AF167" t="s">
        <v>33</v>
      </c>
    </row>
    <row r="168" spans="1:32" x14ac:dyDescent="0.25">
      <c r="A168" s="3">
        <v>97</v>
      </c>
      <c r="B168" s="6">
        <v>44306</v>
      </c>
      <c r="C168" s="7">
        <f>AC168-(7/24)</f>
        <v>44306.318657407413</v>
      </c>
      <c r="D168" t="s">
        <v>34</v>
      </c>
      <c r="E168" s="5">
        <v>50</v>
      </c>
      <c r="F168" s="5" t="s">
        <v>171</v>
      </c>
      <c r="G168" t="s">
        <v>35</v>
      </c>
      <c r="L168" t="s">
        <v>290</v>
      </c>
      <c r="AB168" t="s">
        <v>189</v>
      </c>
      <c r="AC168" s="2">
        <v>44306.610324074078</v>
      </c>
      <c r="AD168" t="s">
        <v>33</v>
      </c>
      <c r="AE168" s="2">
        <v>44306.610324074078</v>
      </c>
      <c r="AF168" t="s">
        <v>33</v>
      </c>
    </row>
    <row r="169" spans="1:32" x14ac:dyDescent="0.25">
      <c r="A169" s="3">
        <v>117</v>
      </c>
      <c r="B169" s="6">
        <v>44306</v>
      </c>
      <c r="C169" s="7">
        <f>AC169-(7/24)</f>
        <v>44306.363414351865</v>
      </c>
      <c r="D169" t="s">
        <v>34</v>
      </c>
      <c r="E169" s="5">
        <v>7</v>
      </c>
      <c r="F169" s="5" t="s">
        <v>171</v>
      </c>
      <c r="G169" t="s">
        <v>35</v>
      </c>
      <c r="L169" t="s">
        <v>290</v>
      </c>
      <c r="AB169" t="s">
        <v>224</v>
      </c>
      <c r="AC169" s="2">
        <v>44306.655081018529</v>
      </c>
      <c r="AD169" t="s">
        <v>33</v>
      </c>
      <c r="AE169" s="2">
        <v>44306.655081018529</v>
      </c>
      <c r="AF169" t="s">
        <v>33</v>
      </c>
    </row>
    <row r="170" spans="1:32" x14ac:dyDescent="0.25">
      <c r="A170" s="3">
        <v>46</v>
      </c>
      <c r="B170" s="6">
        <v>44306</v>
      </c>
      <c r="C170" s="7">
        <f>AC170-(7/24)</f>
        <v>44306.351215277777</v>
      </c>
      <c r="D170" t="s">
        <v>113</v>
      </c>
      <c r="E170" s="5">
        <v>1</v>
      </c>
      <c r="F170" s="5" t="s">
        <v>31</v>
      </c>
      <c r="G170" t="s">
        <v>70</v>
      </c>
      <c r="L170" t="s">
        <v>291</v>
      </c>
      <c r="AB170" t="s">
        <v>114</v>
      </c>
      <c r="AC170" s="2">
        <v>44306.642881944441</v>
      </c>
      <c r="AD170" t="s">
        <v>33</v>
      </c>
      <c r="AE170" s="2">
        <v>44306.642881944441</v>
      </c>
      <c r="AF170" t="s">
        <v>33</v>
      </c>
    </row>
    <row r="171" spans="1:32" x14ac:dyDescent="0.25">
      <c r="A171" s="3">
        <v>99</v>
      </c>
      <c r="B171" s="6">
        <v>44306</v>
      </c>
      <c r="C171" s="7">
        <f>AC171-(7/24)</f>
        <v>44306.334687499999</v>
      </c>
      <c r="D171" t="s">
        <v>191</v>
      </c>
      <c r="E171" s="5">
        <v>1</v>
      </c>
      <c r="F171" s="5" t="s">
        <v>31</v>
      </c>
      <c r="G171" t="s">
        <v>43</v>
      </c>
      <c r="I171" t="s">
        <v>162</v>
      </c>
      <c r="J171" t="s">
        <v>192</v>
      </c>
      <c r="L171" t="s">
        <v>290</v>
      </c>
      <c r="AB171" t="s">
        <v>193</v>
      </c>
      <c r="AC171" s="2">
        <v>44306.626354166663</v>
      </c>
      <c r="AD171" t="s">
        <v>33</v>
      </c>
      <c r="AE171" s="2">
        <v>44306.626354166663</v>
      </c>
      <c r="AF171" t="s">
        <v>33</v>
      </c>
    </row>
    <row r="172" spans="1:32" x14ac:dyDescent="0.25">
      <c r="A172" s="3">
        <v>118</v>
      </c>
      <c r="B172" s="6">
        <v>44306</v>
      </c>
      <c r="C172" s="7">
        <f>AC172-(7/24)</f>
        <v>44306.364270833335</v>
      </c>
      <c r="D172" t="s">
        <v>191</v>
      </c>
      <c r="E172" s="5">
        <v>1</v>
      </c>
      <c r="F172" s="5" t="s">
        <v>31</v>
      </c>
      <c r="G172" t="s">
        <v>43</v>
      </c>
      <c r="I172" t="s">
        <v>162</v>
      </c>
      <c r="J172" t="s">
        <v>225</v>
      </c>
      <c r="L172" t="s">
        <v>290</v>
      </c>
      <c r="AB172" t="s">
        <v>226</v>
      </c>
      <c r="AC172" s="2">
        <v>44306.6559375</v>
      </c>
      <c r="AD172" t="s">
        <v>33</v>
      </c>
      <c r="AE172" s="2">
        <v>44306.6559375</v>
      </c>
      <c r="AF172" t="s">
        <v>33</v>
      </c>
    </row>
    <row r="173" spans="1:32" x14ac:dyDescent="0.25">
      <c r="A173" s="3">
        <v>78</v>
      </c>
      <c r="B173" s="6">
        <v>44306</v>
      </c>
      <c r="C173" s="7">
        <f>AC173-(7/24)</f>
        <v>44306.395347222235</v>
      </c>
      <c r="D173" t="s">
        <v>155</v>
      </c>
      <c r="E173" s="5">
        <v>1</v>
      </c>
      <c r="F173" s="5" t="s">
        <v>31</v>
      </c>
      <c r="G173" t="s">
        <v>70</v>
      </c>
      <c r="L173" t="s">
        <v>291</v>
      </c>
      <c r="AB173" t="s">
        <v>156</v>
      </c>
      <c r="AC173" s="2">
        <v>44306.687013888899</v>
      </c>
      <c r="AD173" t="s">
        <v>33</v>
      </c>
      <c r="AE173" s="2">
        <v>44306.687013888899</v>
      </c>
      <c r="AF173" t="s">
        <v>33</v>
      </c>
    </row>
    <row r="174" spans="1:32" x14ac:dyDescent="0.25">
      <c r="A174" s="3">
        <v>133</v>
      </c>
      <c r="B174" s="6">
        <v>44306</v>
      </c>
      <c r="C174" s="7">
        <f>AC174-(7/24)</f>
        <v>44306.377442129633</v>
      </c>
      <c r="D174" t="s">
        <v>242</v>
      </c>
      <c r="E174" s="5">
        <v>2</v>
      </c>
      <c r="F174" s="5" t="s">
        <v>31</v>
      </c>
      <c r="G174" t="s">
        <v>43</v>
      </c>
      <c r="H174" t="s">
        <v>186</v>
      </c>
      <c r="L174" t="s">
        <v>290</v>
      </c>
      <c r="AB174" t="s">
        <v>243</v>
      </c>
      <c r="AC174" s="2">
        <v>44306.669108796297</v>
      </c>
      <c r="AD174" t="s">
        <v>33</v>
      </c>
      <c r="AE174" s="2">
        <v>44306.669108796297</v>
      </c>
      <c r="AF174" t="s">
        <v>33</v>
      </c>
    </row>
  </sheetData>
  <autoFilter ref="A1:AF174" xr:uid="{CBC21B21-F300-4BE3-8C05-CAE26C1189D9}"/>
  <sortState xmlns:xlrd2="http://schemas.microsoft.com/office/spreadsheetml/2017/richdata2" ref="A2:AF174">
    <sortCondition ref="D2:D174"/>
    <sortCondition ref="C2:C174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E891-187B-47B3-ACD2-512B3AF634A2}">
  <dimension ref="A1:G67"/>
  <sheetViews>
    <sheetView topLeftCell="A52" workbookViewId="0">
      <selection activeCell="D6" sqref="D6:D66"/>
    </sheetView>
  </sheetViews>
  <sheetFormatPr defaultRowHeight="15" x14ac:dyDescent="0.25"/>
  <cols>
    <col min="1" max="1" width="27.5703125" bestFit="1" customWidth="1"/>
    <col min="2" max="2" width="34" style="5" bestFit="1" customWidth="1"/>
    <col min="3" max="3" width="28.85546875" style="5" bestFit="1" customWidth="1"/>
    <col min="4" max="4" width="8.42578125" style="5" bestFit="1" customWidth="1"/>
    <col min="5" max="5" width="34" style="5" bestFit="1" customWidth="1"/>
    <col min="6" max="6" width="28.85546875" style="5" bestFit="1" customWidth="1"/>
    <col min="7" max="7" width="9" style="5" bestFit="1" customWidth="1"/>
    <col min="8" max="9" width="11.28515625" bestFit="1" customWidth="1"/>
  </cols>
  <sheetData>
    <row r="1" spans="1:7" x14ac:dyDescent="0.25">
      <c r="D1" s="22" t="s">
        <v>301</v>
      </c>
      <c r="E1" s="21" t="s">
        <v>300</v>
      </c>
      <c r="F1" s="21"/>
      <c r="G1" s="21"/>
    </row>
    <row r="2" spans="1:7" x14ac:dyDescent="0.25">
      <c r="D2" s="22"/>
      <c r="E2" s="21"/>
      <c r="F2" s="21"/>
      <c r="G2" s="21"/>
    </row>
    <row r="3" spans="1:7" x14ac:dyDescent="0.25">
      <c r="A3" s="8" t="s">
        <v>296</v>
      </c>
      <c r="B3" s="9" t="s">
        <v>297</v>
      </c>
      <c r="D3" s="11"/>
      <c r="E3" s="10"/>
      <c r="F3" s="10"/>
      <c r="G3" s="10"/>
    </row>
    <row r="4" spans="1:7" x14ac:dyDescent="0.25">
      <c r="B4" s="5" t="s">
        <v>31</v>
      </c>
      <c r="D4" s="11" t="s">
        <v>298</v>
      </c>
      <c r="E4" s="10" t="s">
        <v>171</v>
      </c>
      <c r="F4" s="10"/>
      <c r="G4" s="10" t="s">
        <v>299</v>
      </c>
    </row>
    <row r="5" spans="1:7" x14ac:dyDescent="0.25">
      <c r="A5" s="8" t="s">
        <v>294</v>
      </c>
      <c r="B5" s="5" t="s">
        <v>291</v>
      </c>
      <c r="C5" s="5" t="s">
        <v>290</v>
      </c>
      <c r="D5" s="11"/>
      <c r="E5" s="10" t="s">
        <v>291</v>
      </c>
      <c r="F5" s="10" t="s">
        <v>290</v>
      </c>
      <c r="G5" s="10"/>
    </row>
    <row r="6" spans="1:7" x14ac:dyDescent="0.25">
      <c r="A6" s="23" t="s">
        <v>106</v>
      </c>
      <c r="B6" s="24">
        <v>2</v>
      </c>
      <c r="C6" s="24">
        <v>1</v>
      </c>
      <c r="D6" s="25">
        <v>3</v>
      </c>
      <c r="E6" s="26"/>
      <c r="F6" s="26"/>
      <c r="G6" s="27"/>
    </row>
    <row r="7" spans="1:7" x14ac:dyDescent="0.25">
      <c r="A7" s="12" t="s">
        <v>255</v>
      </c>
      <c r="B7" s="13"/>
      <c r="C7" s="13">
        <v>14</v>
      </c>
      <c r="D7" s="14">
        <v>14</v>
      </c>
      <c r="E7" s="15"/>
      <c r="F7" s="15"/>
      <c r="G7" s="16"/>
    </row>
    <row r="8" spans="1:7" x14ac:dyDescent="0.25">
      <c r="A8" s="12" t="s">
        <v>82</v>
      </c>
      <c r="B8" s="13">
        <v>4</v>
      </c>
      <c r="C8" s="13">
        <v>3</v>
      </c>
      <c r="D8" s="14">
        <v>7</v>
      </c>
      <c r="E8" s="15"/>
      <c r="F8" s="15"/>
      <c r="G8" s="16"/>
    </row>
    <row r="9" spans="1:7" x14ac:dyDescent="0.25">
      <c r="A9" s="12" t="s">
        <v>208</v>
      </c>
      <c r="B9" s="13"/>
      <c r="C9" s="13">
        <v>4</v>
      </c>
      <c r="D9" s="14">
        <v>4</v>
      </c>
      <c r="E9" s="15"/>
      <c r="F9" s="15"/>
      <c r="G9" s="16"/>
    </row>
    <row r="10" spans="1:7" x14ac:dyDescent="0.25">
      <c r="A10" s="12" t="s">
        <v>50</v>
      </c>
      <c r="B10" s="13">
        <v>19</v>
      </c>
      <c r="C10" s="13"/>
      <c r="D10" s="14">
        <v>19</v>
      </c>
      <c r="E10" s="15"/>
      <c r="F10" s="15">
        <v>8</v>
      </c>
      <c r="G10" s="16">
        <v>8</v>
      </c>
    </row>
    <row r="11" spans="1:7" x14ac:dyDescent="0.25">
      <c r="A11" s="12" t="s">
        <v>45</v>
      </c>
      <c r="B11" s="13">
        <v>4</v>
      </c>
      <c r="C11" s="13">
        <v>6</v>
      </c>
      <c r="D11" s="14">
        <v>10</v>
      </c>
      <c r="E11" s="15"/>
      <c r="F11" s="15"/>
      <c r="G11" s="16"/>
    </row>
    <row r="12" spans="1:7" x14ac:dyDescent="0.25">
      <c r="A12" s="12" t="s">
        <v>30</v>
      </c>
      <c r="B12" s="13">
        <v>4</v>
      </c>
      <c r="C12" s="13"/>
      <c r="D12" s="14">
        <v>4</v>
      </c>
      <c r="E12" s="15"/>
      <c r="F12" s="15"/>
      <c r="G12" s="16"/>
    </row>
    <row r="13" spans="1:7" x14ac:dyDescent="0.25">
      <c r="A13" s="12" t="s">
        <v>37</v>
      </c>
      <c r="B13" s="13">
        <v>3</v>
      </c>
      <c r="C13" s="13"/>
      <c r="D13" s="14">
        <v>3</v>
      </c>
      <c r="E13" s="15"/>
      <c r="F13" s="15"/>
      <c r="G13" s="16"/>
    </row>
    <row r="14" spans="1:7" x14ac:dyDescent="0.25">
      <c r="A14" s="12" t="s">
        <v>88</v>
      </c>
      <c r="B14" s="13">
        <v>1</v>
      </c>
      <c r="C14" s="13"/>
      <c r="D14" s="14">
        <v>1</v>
      </c>
      <c r="E14" s="15"/>
      <c r="F14" s="15"/>
      <c r="G14" s="16"/>
    </row>
    <row r="15" spans="1:7" x14ac:dyDescent="0.25">
      <c r="A15" s="12" t="s">
        <v>170</v>
      </c>
      <c r="B15" s="13"/>
      <c r="C15" s="13">
        <v>1</v>
      </c>
      <c r="D15" s="14">
        <v>1</v>
      </c>
      <c r="E15" s="15">
        <v>1</v>
      </c>
      <c r="F15" s="15"/>
      <c r="G15" s="16">
        <v>1</v>
      </c>
    </row>
    <row r="16" spans="1:7" x14ac:dyDescent="0.25">
      <c r="A16" s="12" t="s">
        <v>99</v>
      </c>
      <c r="B16" s="13">
        <v>5</v>
      </c>
      <c r="C16" s="13">
        <v>2</v>
      </c>
      <c r="D16" s="14">
        <v>7</v>
      </c>
      <c r="E16" s="15"/>
      <c r="F16" s="15"/>
      <c r="G16" s="16"/>
    </row>
    <row r="17" spans="1:7" x14ac:dyDescent="0.25">
      <c r="A17" s="12" t="s">
        <v>95</v>
      </c>
      <c r="B17" s="13">
        <v>6</v>
      </c>
      <c r="C17" s="13">
        <v>3</v>
      </c>
      <c r="D17" s="14">
        <v>9</v>
      </c>
      <c r="E17" s="15"/>
      <c r="F17" s="15"/>
      <c r="G17" s="16"/>
    </row>
    <row r="18" spans="1:7" x14ac:dyDescent="0.25">
      <c r="A18" s="12" t="s">
        <v>161</v>
      </c>
      <c r="B18" s="13">
        <v>6</v>
      </c>
      <c r="C18" s="13">
        <v>3</v>
      </c>
      <c r="D18" s="14">
        <v>9</v>
      </c>
      <c r="E18" s="15"/>
      <c r="F18" s="15"/>
      <c r="G18" s="16"/>
    </row>
    <row r="19" spans="1:7" x14ac:dyDescent="0.25">
      <c r="A19" s="12" t="s">
        <v>77</v>
      </c>
      <c r="B19" s="13">
        <v>1</v>
      </c>
      <c r="C19" s="13"/>
      <c r="D19" s="14">
        <v>1</v>
      </c>
      <c r="E19" s="15"/>
      <c r="F19" s="15"/>
      <c r="G19" s="16"/>
    </row>
    <row r="20" spans="1:7" x14ac:dyDescent="0.25">
      <c r="A20" s="12" t="s">
        <v>118</v>
      </c>
      <c r="B20" s="13">
        <v>20</v>
      </c>
      <c r="C20" s="13"/>
      <c r="D20" s="14">
        <v>20</v>
      </c>
      <c r="E20" s="15"/>
      <c r="F20" s="15"/>
      <c r="G20" s="16"/>
    </row>
    <row r="21" spans="1:7" x14ac:dyDescent="0.25">
      <c r="A21" s="12" t="s">
        <v>42</v>
      </c>
      <c r="B21" s="13">
        <v>50</v>
      </c>
      <c r="C21" s="13">
        <v>170</v>
      </c>
      <c r="D21" s="14">
        <v>220</v>
      </c>
      <c r="E21" s="15"/>
      <c r="F21" s="15"/>
      <c r="G21" s="16"/>
    </row>
    <row r="22" spans="1:7" x14ac:dyDescent="0.25">
      <c r="A22" s="12" t="s">
        <v>86</v>
      </c>
      <c r="B22" s="13">
        <v>1</v>
      </c>
      <c r="C22" s="13">
        <v>7</v>
      </c>
      <c r="D22" s="14">
        <v>8</v>
      </c>
      <c r="E22" s="15"/>
      <c r="F22" s="15"/>
      <c r="G22" s="16"/>
    </row>
    <row r="23" spans="1:7" x14ac:dyDescent="0.25">
      <c r="A23" s="12" t="s">
        <v>263</v>
      </c>
      <c r="B23" s="13"/>
      <c r="C23" s="13">
        <v>2</v>
      </c>
      <c r="D23" s="14">
        <v>2</v>
      </c>
      <c r="E23" s="15"/>
      <c r="F23" s="15"/>
      <c r="G23" s="16"/>
    </row>
    <row r="24" spans="1:7" x14ac:dyDescent="0.25">
      <c r="A24" s="12" t="s">
        <v>67</v>
      </c>
      <c r="B24" s="13">
        <v>1</v>
      </c>
      <c r="C24" s="13">
        <v>1</v>
      </c>
      <c r="D24" s="14">
        <v>2</v>
      </c>
      <c r="E24" s="15"/>
      <c r="F24" s="15"/>
      <c r="G24" s="16"/>
    </row>
    <row r="25" spans="1:7" x14ac:dyDescent="0.25">
      <c r="A25" s="12" t="s">
        <v>289</v>
      </c>
      <c r="B25" s="13">
        <v>1</v>
      </c>
      <c r="C25" s="13"/>
      <c r="D25" s="14">
        <v>1</v>
      </c>
      <c r="E25" s="15"/>
      <c r="F25" s="15"/>
      <c r="G25" s="16"/>
    </row>
    <row r="26" spans="1:7" x14ac:dyDescent="0.25">
      <c r="A26" s="12" t="s">
        <v>260</v>
      </c>
      <c r="B26" s="13"/>
      <c r="C26" s="13">
        <v>7</v>
      </c>
      <c r="D26" s="14">
        <v>7</v>
      </c>
      <c r="E26" s="15"/>
      <c r="F26" s="15"/>
      <c r="G26" s="16"/>
    </row>
    <row r="27" spans="1:7" x14ac:dyDescent="0.25">
      <c r="A27" s="12" t="s">
        <v>53</v>
      </c>
      <c r="B27" s="13">
        <v>11</v>
      </c>
      <c r="C27" s="13">
        <v>14</v>
      </c>
      <c r="D27" s="14">
        <v>25</v>
      </c>
      <c r="E27" s="15"/>
      <c r="F27" s="15">
        <v>3</v>
      </c>
      <c r="G27" s="16">
        <v>3</v>
      </c>
    </row>
    <row r="28" spans="1:7" x14ac:dyDescent="0.25">
      <c r="A28" s="12" t="s">
        <v>72</v>
      </c>
      <c r="B28" s="13">
        <v>3</v>
      </c>
      <c r="C28" s="13">
        <v>1</v>
      </c>
      <c r="D28" s="14">
        <v>4</v>
      </c>
      <c r="E28" s="15"/>
      <c r="F28" s="15"/>
      <c r="G28" s="16"/>
    </row>
    <row r="29" spans="1:7" x14ac:dyDescent="0.25">
      <c r="A29" s="12" t="s">
        <v>62</v>
      </c>
      <c r="B29" s="13">
        <v>2</v>
      </c>
      <c r="C29" s="13"/>
      <c r="D29" s="14">
        <v>2</v>
      </c>
      <c r="E29" s="15"/>
      <c r="F29" s="15"/>
      <c r="G29" s="16"/>
    </row>
    <row r="30" spans="1:7" x14ac:dyDescent="0.25">
      <c r="A30" s="12" t="s">
        <v>231</v>
      </c>
      <c r="B30" s="13"/>
      <c r="C30" s="13">
        <v>1</v>
      </c>
      <c r="D30" s="14">
        <v>1</v>
      </c>
      <c r="E30" s="15"/>
      <c r="F30" s="15"/>
      <c r="G30" s="16"/>
    </row>
    <row r="31" spans="1:7" x14ac:dyDescent="0.25">
      <c r="A31" s="12" t="s">
        <v>111</v>
      </c>
      <c r="B31" s="13">
        <v>1</v>
      </c>
      <c r="C31" s="13"/>
      <c r="D31" s="14">
        <v>1</v>
      </c>
      <c r="E31" s="15"/>
      <c r="F31" s="15"/>
      <c r="G31" s="16"/>
    </row>
    <row r="32" spans="1:7" x14ac:dyDescent="0.25">
      <c r="A32" s="12" t="s">
        <v>39</v>
      </c>
      <c r="B32" s="13">
        <v>43</v>
      </c>
      <c r="C32" s="13">
        <v>16</v>
      </c>
      <c r="D32" s="14">
        <v>59</v>
      </c>
      <c r="E32" s="15"/>
      <c r="F32" s="15"/>
      <c r="G32" s="16"/>
    </row>
    <row r="33" spans="1:7" x14ac:dyDescent="0.25">
      <c r="A33" s="12" t="s">
        <v>157</v>
      </c>
      <c r="B33" s="13">
        <v>1</v>
      </c>
      <c r="C33" s="13">
        <v>3</v>
      </c>
      <c r="D33" s="14">
        <v>4</v>
      </c>
      <c r="E33" s="15"/>
      <c r="F33" s="15"/>
      <c r="G33" s="16"/>
    </row>
    <row r="34" spans="1:7" x14ac:dyDescent="0.25">
      <c r="A34" s="12" t="s">
        <v>168</v>
      </c>
      <c r="B34" s="13">
        <v>1</v>
      </c>
      <c r="C34" s="13"/>
      <c r="D34" s="14">
        <v>1</v>
      </c>
      <c r="E34" s="15"/>
      <c r="F34" s="15"/>
      <c r="G34" s="16"/>
    </row>
    <row r="35" spans="1:7" x14ac:dyDescent="0.25">
      <c r="A35" s="12" t="s">
        <v>210</v>
      </c>
      <c r="B35" s="13"/>
      <c r="C35" s="13">
        <v>3</v>
      </c>
      <c r="D35" s="14">
        <v>3</v>
      </c>
      <c r="E35" s="15"/>
      <c r="F35" s="15"/>
      <c r="G35" s="16"/>
    </row>
    <row r="36" spans="1:7" x14ac:dyDescent="0.25">
      <c r="A36" s="12" t="s">
        <v>202</v>
      </c>
      <c r="B36" s="13"/>
      <c r="C36" s="13">
        <v>1</v>
      </c>
      <c r="D36" s="14">
        <v>1</v>
      </c>
      <c r="E36" s="15"/>
      <c r="F36" s="15"/>
      <c r="G36" s="16"/>
    </row>
    <row r="37" spans="1:7" x14ac:dyDescent="0.25">
      <c r="A37" s="12" t="s">
        <v>69</v>
      </c>
      <c r="B37" s="13">
        <v>6</v>
      </c>
      <c r="C37" s="13">
        <v>5</v>
      </c>
      <c r="D37" s="14">
        <v>11</v>
      </c>
      <c r="E37" s="15"/>
      <c r="F37" s="15"/>
      <c r="G37" s="16"/>
    </row>
    <row r="38" spans="1:7" x14ac:dyDescent="0.25">
      <c r="A38" s="12" t="s">
        <v>204</v>
      </c>
      <c r="B38" s="13"/>
      <c r="C38" s="13">
        <v>1</v>
      </c>
      <c r="D38" s="14">
        <v>1</v>
      </c>
      <c r="E38" s="15"/>
      <c r="F38" s="15"/>
      <c r="G38" s="16"/>
    </row>
    <row r="39" spans="1:7" x14ac:dyDescent="0.25">
      <c r="A39" s="12" t="s">
        <v>140</v>
      </c>
      <c r="B39" s="13">
        <v>3</v>
      </c>
      <c r="C39" s="13">
        <v>6</v>
      </c>
      <c r="D39" s="14">
        <v>9</v>
      </c>
      <c r="E39" s="15"/>
      <c r="F39" s="15"/>
      <c r="G39" s="16"/>
    </row>
    <row r="40" spans="1:7" x14ac:dyDescent="0.25">
      <c r="A40" s="12" t="s">
        <v>244</v>
      </c>
      <c r="B40" s="13"/>
      <c r="C40" s="13">
        <v>1</v>
      </c>
      <c r="D40" s="14">
        <v>1</v>
      </c>
      <c r="E40" s="15"/>
      <c r="F40" s="15"/>
      <c r="G40" s="16"/>
    </row>
    <row r="41" spans="1:7" x14ac:dyDescent="0.25">
      <c r="A41" s="12" t="s">
        <v>194</v>
      </c>
      <c r="B41" s="13"/>
      <c r="C41" s="13">
        <v>2</v>
      </c>
      <c r="D41" s="14">
        <v>2</v>
      </c>
      <c r="E41" s="15"/>
      <c r="F41" s="15"/>
      <c r="G41" s="16"/>
    </row>
    <row r="42" spans="1:7" x14ac:dyDescent="0.25">
      <c r="A42" s="12" t="s">
        <v>103</v>
      </c>
      <c r="B42" s="13">
        <v>1</v>
      </c>
      <c r="C42" s="13"/>
      <c r="D42" s="14">
        <v>1</v>
      </c>
      <c r="E42" s="15"/>
      <c r="F42" s="15"/>
      <c r="G42" s="16"/>
    </row>
    <row r="43" spans="1:7" x14ac:dyDescent="0.25">
      <c r="A43" s="12" t="s">
        <v>90</v>
      </c>
      <c r="B43" s="13">
        <v>1</v>
      </c>
      <c r="C43" s="13"/>
      <c r="D43" s="14">
        <v>1</v>
      </c>
      <c r="E43" s="15"/>
      <c r="F43" s="15"/>
      <c r="G43" s="16"/>
    </row>
    <row r="44" spans="1:7" x14ac:dyDescent="0.25">
      <c r="A44" s="12" t="s">
        <v>55</v>
      </c>
      <c r="B44" s="13">
        <v>2</v>
      </c>
      <c r="C44" s="13"/>
      <c r="D44" s="14">
        <v>2</v>
      </c>
      <c r="E44" s="15"/>
      <c r="F44" s="15"/>
      <c r="G44" s="16"/>
    </row>
    <row r="45" spans="1:7" x14ac:dyDescent="0.25">
      <c r="A45" s="12" t="s">
        <v>47</v>
      </c>
      <c r="B45" s="13">
        <v>1</v>
      </c>
      <c r="C45" s="13"/>
      <c r="D45" s="14">
        <v>1</v>
      </c>
      <c r="E45" s="15"/>
      <c r="F45" s="15"/>
      <c r="G45" s="16"/>
    </row>
    <row r="46" spans="1:7" x14ac:dyDescent="0.25">
      <c r="A46" s="12" t="s">
        <v>84</v>
      </c>
      <c r="B46" s="13">
        <v>1</v>
      </c>
      <c r="C46" s="13">
        <v>1</v>
      </c>
      <c r="D46" s="14">
        <v>2</v>
      </c>
      <c r="E46" s="15"/>
      <c r="F46" s="15"/>
      <c r="G46" s="16"/>
    </row>
    <row r="47" spans="1:7" x14ac:dyDescent="0.25">
      <c r="A47" s="12" t="s">
        <v>196</v>
      </c>
      <c r="B47" s="13"/>
      <c r="C47" s="13">
        <v>7</v>
      </c>
      <c r="D47" s="14">
        <v>7</v>
      </c>
      <c r="E47" s="15"/>
      <c r="F47" s="15"/>
      <c r="G47" s="16"/>
    </row>
    <row r="48" spans="1:7" x14ac:dyDescent="0.25">
      <c r="A48" s="12" t="s">
        <v>60</v>
      </c>
      <c r="B48" s="13">
        <v>3</v>
      </c>
      <c r="C48" s="13"/>
      <c r="D48" s="14">
        <v>3</v>
      </c>
      <c r="E48" s="15"/>
      <c r="F48" s="15"/>
      <c r="G48" s="16"/>
    </row>
    <row r="49" spans="1:7" x14ac:dyDescent="0.25">
      <c r="A49" s="12" t="s">
        <v>151</v>
      </c>
      <c r="B49" s="13">
        <v>6</v>
      </c>
      <c r="C49" s="13">
        <v>14</v>
      </c>
      <c r="D49" s="14">
        <v>20</v>
      </c>
      <c r="E49" s="15"/>
      <c r="F49" s="15"/>
      <c r="G49" s="16"/>
    </row>
    <row r="50" spans="1:7" x14ac:dyDescent="0.25">
      <c r="A50" s="12" t="s">
        <v>206</v>
      </c>
      <c r="B50" s="13"/>
      <c r="C50" s="13">
        <v>3</v>
      </c>
      <c r="D50" s="14">
        <v>3</v>
      </c>
      <c r="E50" s="15"/>
      <c r="F50" s="15"/>
      <c r="G50" s="16"/>
    </row>
    <row r="51" spans="1:7" x14ac:dyDescent="0.25">
      <c r="A51" s="12" t="s">
        <v>218</v>
      </c>
      <c r="B51" s="13"/>
      <c r="C51" s="13">
        <v>3</v>
      </c>
      <c r="D51" s="14">
        <v>3</v>
      </c>
      <c r="E51" s="15"/>
      <c r="F51" s="15"/>
      <c r="G51" s="16"/>
    </row>
    <row r="52" spans="1:7" x14ac:dyDescent="0.25">
      <c r="A52" s="12" t="s">
        <v>165</v>
      </c>
      <c r="B52" s="13">
        <v>1</v>
      </c>
      <c r="C52" s="13">
        <v>1</v>
      </c>
      <c r="D52" s="14">
        <v>2</v>
      </c>
      <c r="E52" s="15"/>
      <c r="F52" s="15"/>
      <c r="G52" s="16"/>
    </row>
    <row r="53" spans="1:7" x14ac:dyDescent="0.25">
      <c r="A53" s="12" t="s">
        <v>153</v>
      </c>
      <c r="B53" s="13">
        <v>2</v>
      </c>
      <c r="C53" s="13">
        <v>3</v>
      </c>
      <c r="D53" s="14">
        <v>5</v>
      </c>
      <c r="E53" s="15"/>
      <c r="F53" s="15"/>
      <c r="G53" s="16"/>
    </row>
    <row r="54" spans="1:7" x14ac:dyDescent="0.25">
      <c r="A54" s="12" t="s">
        <v>178</v>
      </c>
      <c r="B54" s="13"/>
      <c r="C54" s="13">
        <v>7</v>
      </c>
      <c r="D54" s="14">
        <v>7</v>
      </c>
      <c r="E54" s="15"/>
      <c r="F54" s="15"/>
      <c r="G54" s="16"/>
    </row>
    <row r="55" spans="1:7" x14ac:dyDescent="0.25">
      <c r="A55" s="12" t="s">
        <v>136</v>
      </c>
      <c r="B55" s="13">
        <v>1</v>
      </c>
      <c r="C55" s="13"/>
      <c r="D55" s="14">
        <v>1</v>
      </c>
      <c r="E55" s="15"/>
      <c r="F55" s="15"/>
      <c r="G55" s="16"/>
    </row>
    <row r="56" spans="1:7" x14ac:dyDescent="0.25">
      <c r="A56" s="12" t="s">
        <v>80</v>
      </c>
      <c r="B56" s="13">
        <v>6</v>
      </c>
      <c r="C56" s="13">
        <v>8</v>
      </c>
      <c r="D56" s="14">
        <v>14</v>
      </c>
      <c r="E56" s="15"/>
      <c r="F56" s="15"/>
      <c r="G56" s="16"/>
    </row>
    <row r="57" spans="1:7" x14ac:dyDescent="0.25">
      <c r="A57" s="12" t="s">
        <v>147</v>
      </c>
      <c r="B57" s="13">
        <v>2</v>
      </c>
      <c r="C57" s="13">
        <v>1</v>
      </c>
      <c r="D57" s="14">
        <v>3</v>
      </c>
      <c r="E57" s="15"/>
      <c r="F57" s="15"/>
      <c r="G57" s="16"/>
    </row>
    <row r="58" spans="1:7" x14ac:dyDescent="0.25">
      <c r="A58" s="12" t="s">
        <v>198</v>
      </c>
      <c r="B58" s="13"/>
      <c r="C58" s="13">
        <v>3</v>
      </c>
      <c r="D58" s="14">
        <v>3</v>
      </c>
      <c r="E58" s="15"/>
      <c r="F58" s="15"/>
      <c r="G58" s="16"/>
    </row>
    <row r="59" spans="1:7" x14ac:dyDescent="0.25">
      <c r="A59" s="12" t="s">
        <v>74</v>
      </c>
      <c r="B59" s="13">
        <v>4</v>
      </c>
      <c r="C59" s="13">
        <v>2</v>
      </c>
      <c r="D59" s="14">
        <v>6</v>
      </c>
      <c r="E59" s="15"/>
      <c r="F59" s="15"/>
      <c r="G59" s="16"/>
    </row>
    <row r="60" spans="1:7" x14ac:dyDescent="0.25">
      <c r="A60" s="12" t="s">
        <v>121</v>
      </c>
      <c r="B60" s="13">
        <v>1</v>
      </c>
      <c r="C60" s="13"/>
      <c r="D60" s="14">
        <v>1</v>
      </c>
      <c r="E60" s="15"/>
      <c r="F60" s="15"/>
      <c r="G60" s="16"/>
    </row>
    <row r="61" spans="1:7" x14ac:dyDescent="0.25">
      <c r="A61" s="12" t="s">
        <v>270</v>
      </c>
      <c r="B61" s="13"/>
      <c r="C61" s="13">
        <v>1</v>
      </c>
      <c r="D61" s="14">
        <v>1</v>
      </c>
      <c r="E61" s="15"/>
      <c r="F61" s="15"/>
      <c r="G61" s="16"/>
    </row>
    <row r="62" spans="1:7" x14ac:dyDescent="0.25">
      <c r="A62" s="12" t="s">
        <v>34</v>
      </c>
      <c r="B62" s="13">
        <v>66</v>
      </c>
      <c r="C62" s="13">
        <v>4</v>
      </c>
      <c r="D62" s="14">
        <v>70</v>
      </c>
      <c r="E62" s="15"/>
      <c r="F62" s="15">
        <v>57</v>
      </c>
      <c r="G62" s="16">
        <v>57</v>
      </c>
    </row>
    <row r="63" spans="1:7" x14ac:dyDescent="0.25">
      <c r="A63" s="12" t="s">
        <v>113</v>
      </c>
      <c r="B63" s="13">
        <v>1</v>
      </c>
      <c r="C63" s="13"/>
      <c r="D63" s="14">
        <v>1</v>
      </c>
      <c r="E63" s="15"/>
      <c r="F63" s="15"/>
      <c r="G63" s="17"/>
    </row>
    <row r="64" spans="1:7" x14ac:dyDescent="0.25">
      <c r="A64" s="12" t="s">
        <v>191</v>
      </c>
      <c r="B64" s="13"/>
      <c r="C64" s="13">
        <v>2</v>
      </c>
      <c r="D64" s="14">
        <v>2</v>
      </c>
      <c r="E64" s="15"/>
      <c r="F64" s="15"/>
      <c r="G64" s="17"/>
    </row>
    <row r="65" spans="1:7" x14ac:dyDescent="0.25">
      <c r="A65" s="12" t="s">
        <v>155</v>
      </c>
      <c r="B65" s="13">
        <v>1</v>
      </c>
      <c r="C65" s="13"/>
      <c r="D65" s="14">
        <v>1</v>
      </c>
      <c r="E65" s="15"/>
      <c r="F65" s="15"/>
      <c r="G65" s="17"/>
    </row>
    <row r="66" spans="1:7" x14ac:dyDescent="0.25">
      <c r="A66" s="28" t="s">
        <v>242</v>
      </c>
      <c r="B66" s="29"/>
      <c r="C66" s="29">
        <v>2</v>
      </c>
      <c r="D66" s="30">
        <v>2</v>
      </c>
      <c r="E66" s="31"/>
      <c r="F66" s="31"/>
      <c r="G66" s="32"/>
    </row>
    <row r="67" spans="1:7" x14ac:dyDescent="0.25">
      <c r="A67" s="3" t="s">
        <v>295</v>
      </c>
      <c r="B67" s="18">
        <v>299</v>
      </c>
      <c r="C67" s="18">
        <v>340</v>
      </c>
      <c r="D67" s="20">
        <v>639</v>
      </c>
      <c r="E67" s="19">
        <v>1</v>
      </c>
      <c r="F67" s="19">
        <v>68</v>
      </c>
      <c r="G67" s="19">
        <v>69</v>
      </c>
    </row>
  </sheetData>
  <mergeCells count="2">
    <mergeCell ref="E1:G2"/>
    <mergeCell ref="D1:D2"/>
  </mergeCell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3AC7-559D-4C31-AAB4-1F4DF58ABEAF}">
  <dimension ref="A1:B62"/>
  <sheetViews>
    <sheetView workbookViewId="0">
      <selection activeCell="E13" sqref="E13"/>
    </sheetView>
  </sheetViews>
  <sheetFormatPr defaultRowHeight="15" x14ac:dyDescent="0.25"/>
  <cols>
    <col min="1" max="1" width="27.5703125" bestFit="1" customWidth="1"/>
    <col min="2" max="2" width="9.140625" style="5"/>
  </cols>
  <sheetData>
    <row r="1" spans="1:2" x14ac:dyDescent="0.25">
      <c r="A1" s="33" t="s">
        <v>307</v>
      </c>
      <c r="B1" s="34" t="s">
        <v>2</v>
      </c>
    </row>
    <row r="2" spans="1:2" x14ac:dyDescent="0.25">
      <c r="A2" t="s">
        <v>106</v>
      </c>
      <c r="B2" s="5">
        <v>3</v>
      </c>
    </row>
    <row r="3" spans="1:2" x14ac:dyDescent="0.25">
      <c r="A3" t="s">
        <v>255</v>
      </c>
      <c r="B3" s="5">
        <v>14</v>
      </c>
    </row>
    <row r="4" spans="1:2" x14ac:dyDescent="0.25">
      <c r="A4" t="s">
        <v>82</v>
      </c>
      <c r="B4" s="5">
        <v>7</v>
      </c>
    </row>
    <row r="5" spans="1:2" x14ac:dyDescent="0.25">
      <c r="A5" t="s">
        <v>208</v>
      </c>
      <c r="B5" s="5">
        <v>4</v>
      </c>
    </row>
    <row r="6" spans="1:2" x14ac:dyDescent="0.25">
      <c r="A6" t="s">
        <v>50</v>
      </c>
      <c r="B6" s="5">
        <v>19</v>
      </c>
    </row>
    <row r="7" spans="1:2" x14ac:dyDescent="0.25">
      <c r="A7" t="s">
        <v>45</v>
      </c>
      <c r="B7" s="5">
        <v>10</v>
      </c>
    </row>
    <row r="8" spans="1:2" x14ac:dyDescent="0.25">
      <c r="A8" t="s">
        <v>30</v>
      </c>
      <c r="B8" s="5">
        <v>4</v>
      </c>
    </row>
    <row r="9" spans="1:2" x14ac:dyDescent="0.25">
      <c r="A9" t="s">
        <v>37</v>
      </c>
      <c r="B9" s="5">
        <v>3</v>
      </c>
    </row>
    <row r="10" spans="1:2" x14ac:dyDescent="0.25">
      <c r="A10" t="s">
        <v>88</v>
      </c>
      <c r="B10" s="5">
        <v>1</v>
      </c>
    </row>
    <row r="11" spans="1:2" x14ac:dyDescent="0.25">
      <c r="A11" t="s">
        <v>170</v>
      </c>
      <c r="B11" s="5">
        <v>1</v>
      </c>
    </row>
    <row r="12" spans="1:2" x14ac:dyDescent="0.25">
      <c r="A12" t="s">
        <v>99</v>
      </c>
      <c r="B12" s="5">
        <v>7</v>
      </c>
    </row>
    <row r="13" spans="1:2" x14ac:dyDescent="0.25">
      <c r="A13" t="s">
        <v>95</v>
      </c>
      <c r="B13" s="5">
        <v>9</v>
      </c>
    </row>
    <row r="14" spans="1:2" x14ac:dyDescent="0.25">
      <c r="A14" t="s">
        <v>161</v>
      </c>
      <c r="B14" s="5">
        <v>9</v>
      </c>
    </row>
    <row r="15" spans="1:2" x14ac:dyDescent="0.25">
      <c r="A15" t="s">
        <v>77</v>
      </c>
      <c r="B15" s="5">
        <v>1</v>
      </c>
    </row>
    <row r="16" spans="1:2" x14ac:dyDescent="0.25">
      <c r="A16" t="s">
        <v>118</v>
      </c>
      <c r="B16" s="5">
        <v>20</v>
      </c>
    </row>
    <row r="17" spans="1:2" x14ac:dyDescent="0.25">
      <c r="A17" t="s">
        <v>42</v>
      </c>
      <c r="B17" s="5">
        <v>220</v>
      </c>
    </row>
    <row r="18" spans="1:2" x14ac:dyDescent="0.25">
      <c r="A18" t="s">
        <v>86</v>
      </c>
      <c r="B18" s="5">
        <v>8</v>
      </c>
    </row>
    <row r="19" spans="1:2" x14ac:dyDescent="0.25">
      <c r="A19" t="s">
        <v>263</v>
      </c>
      <c r="B19" s="5">
        <v>2</v>
      </c>
    </row>
    <row r="20" spans="1:2" x14ac:dyDescent="0.25">
      <c r="A20" t="s">
        <v>67</v>
      </c>
      <c r="B20" s="5">
        <v>2</v>
      </c>
    </row>
    <row r="21" spans="1:2" x14ac:dyDescent="0.25">
      <c r="A21" t="s">
        <v>289</v>
      </c>
      <c r="B21" s="5">
        <v>1</v>
      </c>
    </row>
    <row r="22" spans="1:2" x14ac:dyDescent="0.25">
      <c r="A22" t="s">
        <v>260</v>
      </c>
      <c r="B22" s="5">
        <v>7</v>
      </c>
    </row>
    <row r="23" spans="1:2" x14ac:dyDescent="0.25">
      <c r="A23" t="s">
        <v>53</v>
      </c>
      <c r="B23" s="5">
        <v>25</v>
      </c>
    </row>
    <row r="24" spans="1:2" x14ac:dyDescent="0.25">
      <c r="A24" t="s">
        <v>72</v>
      </c>
      <c r="B24" s="5">
        <v>4</v>
      </c>
    </row>
    <row r="25" spans="1:2" x14ac:dyDescent="0.25">
      <c r="A25" t="s">
        <v>62</v>
      </c>
      <c r="B25" s="5">
        <v>2</v>
      </c>
    </row>
    <row r="26" spans="1:2" x14ac:dyDescent="0.25">
      <c r="A26" t="s">
        <v>231</v>
      </c>
      <c r="B26" s="5">
        <v>1</v>
      </c>
    </row>
    <row r="27" spans="1:2" x14ac:dyDescent="0.25">
      <c r="A27" t="s">
        <v>111</v>
      </c>
      <c r="B27" s="5">
        <v>1</v>
      </c>
    </row>
    <row r="28" spans="1:2" x14ac:dyDescent="0.25">
      <c r="A28" t="s">
        <v>39</v>
      </c>
      <c r="B28" s="5">
        <v>59</v>
      </c>
    </row>
    <row r="29" spans="1:2" x14ac:dyDescent="0.25">
      <c r="A29" t="s">
        <v>157</v>
      </c>
      <c r="B29" s="5">
        <v>4</v>
      </c>
    </row>
    <row r="30" spans="1:2" x14ac:dyDescent="0.25">
      <c r="A30" t="s">
        <v>168</v>
      </c>
      <c r="B30" s="5">
        <v>1</v>
      </c>
    </row>
    <row r="31" spans="1:2" x14ac:dyDescent="0.25">
      <c r="A31" t="s">
        <v>210</v>
      </c>
      <c r="B31" s="5">
        <v>3</v>
      </c>
    </row>
    <row r="32" spans="1:2" x14ac:dyDescent="0.25">
      <c r="A32" t="s">
        <v>202</v>
      </c>
      <c r="B32" s="5">
        <v>1</v>
      </c>
    </row>
    <row r="33" spans="1:2" x14ac:dyDescent="0.25">
      <c r="A33" t="s">
        <v>69</v>
      </c>
      <c r="B33" s="5">
        <v>11</v>
      </c>
    </row>
    <row r="34" spans="1:2" x14ac:dyDescent="0.25">
      <c r="A34" t="s">
        <v>204</v>
      </c>
      <c r="B34" s="5">
        <v>1</v>
      </c>
    </row>
    <row r="35" spans="1:2" x14ac:dyDescent="0.25">
      <c r="A35" t="s">
        <v>140</v>
      </c>
      <c r="B35" s="5">
        <v>9</v>
      </c>
    </row>
    <row r="36" spans="1:2" x14ac:dyDescent="0.25">
      <c r="A36" t="s">
        <v>244</v>
      </c>
      <c r="B36" s="5">
        <v>1</v>
      </c>
    </row>
    <row r="37" spans="1:2" x14ac:dyDescent="0.25">
      <c r="A37" t="s">
        <v>194</v>
      </c>
      <c r="B37" s="5">
        <v>2</v>
      </c>
    </row>
    <row r="38" spans="1:2" x14ac:dyDescent="0.25">
      <c r="A38" t="s">
        <v>103</v>
      </c>
      <c r="B38" s="5">
        <v>1</v>
      </c>
    </row>
    <row r="39" spans="1:2" x14ac:dyDescent="0.25">
      <c r="A39" t="s">
        <v>90</v>
      </c>
      <c r="B39" s="5">
        <v>1</v>
      </c>
    </row>
    <row r="40" spans="1:2" x14ac:dyDescent="0.25">
      <c r="A40" t="s">
        <v>55</v>
      </c>
      <c r="B40" s="5">
        <v>2</v>
      </c>
    </row>
    <row r="41" spans="1:2" x14ac:dyDescent="0.25">
      <c r="A41" t="s">
        <v>47</v>
      </c>
      <c r="B41" s="5">
        <v>1</v>
      </c>
    </row>
    <row r="42" spans="1:2" x14ac:dyDescent="0.25">
      <c r="A42" t="s">
        <v>84</v>
      </c>
      <c r="B42" s="5">
        <v>2</v>
      </c>
    </row>
    <row r="43" spans="1:2" x14ac:dyDescent="0.25">
      <c r="A43" t="s">
        <v>196</v>
      </c>
      <c r="B43" s="5">
        <v>7</v>
      </c>
    </row>
    <row r="44" spans="1:2" x14ac:dyDescent="0.25">
      <c r="A44" t="s">
        <v>60</v>
      </c>
      <c r="B44" s="5">
        <v>3</v>
      </c>
    </row>
    <row r="45" spans="1:2" x14ac:dyDescent="0.25">
      <c r="A45" t="s">
        <v>151</v>
      </c>
      <c r="B45" s="5">
        <v>20</v>
      </c>
    </row>
    <row r="46" spans="1:2" x14ac:dyDescent="0.25">
      <c r="A46" t="s">
        <v>206</v>
      </c>
      <c r="B46" s="5">
        <v>3</v>
      </c>
    </row>
    <row r="47" spans="1:2" x14ac:dyDescent="0.25">
      <c r="A47" t="s">
        <v>218</v>
      </c>
      <c r="B47" s="5">
        <v>3</v>
      </c>
    </row>
    <row r="48" spans="1:2" x14ac:dyDescent="0.25">
      <c r="A48" t="s">
        <v>165</v>
      </c>
      <c r="B48" s="5">
        <v>2</v>
      </c>
    </row>
    <row r="49" spans="1:2" x14ac:dyDescent="0.25">
      <c r="A49" t="s">
        <v>153</v>
      </c>
      <c r="B49" s="5">
        <v>5</v>
      </c>
    </row>
    <row r="50" spans="1:2" x14ac:dyDescent="0.25">
      <c r="A50" t="s">
        <v>178</v>
      </c>
      <c r="B50" s="5">
        <v>7</v>
      </c>
    </row>
    <row r="51" spans="1:2" x14ac:dyDescent="0.25">
      <c r="A51" t="s">
        <v>136</v>
      </c>
      <c r="B51" s="5">
        <v>1</v>
      </c>
    </row>
    <row r="52" spans="1:2" x14ac:dyDescent="0.25">
      <c r="A52" t="s">
        <v>80</v>
      </c>
      <c r="B52" s="5">
        <v>14</v>
      </c>
    </row>
    <row r="53" spans="1:2" x14ac:dyDescent="0.25">
      <c r="A53" t="s">
        <v>147</v>
      </c>
      <c r="B53" s="5">
        <v>3</v>
      </c>
    </row>
    <row r="54" spans="1:2" x14ac:dyDescent="0.25">
      <c r="A54" t="s">
        <v>198</v>
      </c>
      <c r="B54" s="5">
        <v>3</v>
      </c>
    </row>
    <row r="55" spans="1:2" x14ac:dyDescent="0.25">
      <c r="A55" t="s">
        <v>74</v>
      </c>
      <c r="B55" s="5">
        <v>6</v>
      </c>
    </row>
    <row r="56" spans="1:2" x14ac:dyDescent="0.25">
      <c r="A56" t="s">
        <v>121</v>
      </c>
      <c r="B56" s="5">
        <v>1</v>
      </c>
    </row>
    <row r="57" spans="1:2" x14ac:dyDescent="0.25">
      <c r="A57" t="s">
        <v>270</v>
      </c>
      <c r="B57" s="5">
        <v>1</v>
      </c>
    </row>
    <row r="58" spans="1:2" x14ac:dyDescent="0.25">
      <c r="A58" t="s">
        <v>34</v>
      </c>
      <c r="B58" s="5">
        <v>70</v>
      </c>
    </row>
    <row r="59" spans="1:2" x14ac:dyDescent="0.25">
      <c r="A59" t="s">
        <v>113</v>
      </c>
      <c r="B59" s="5">
        <v>1</v>
      </c>
    </row>
    <row r="60" spans="1:2" x14ac:dyDescent="0.25">
      <c r="A60" t="s">
        <v>191</v>
      </c>
      <c r="B60" s="5">
        <v>2</v>
      </c>
    </row>
    <row r="61" spans="1:2" x14ac:dyDescent="0.25">
      <c r="A61" t="s">
        <v>155</v>
      </c>
      <c r="B61" s="5">
        <v>1</v>
      </c>
    </row>
    <row r="62" spans="1:2" x14ac:dyDescent="0.25">
      <c r="A62" t="s">
        <v>242</v>
      </c>
      <c r="B62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NCOS_Bird_Survey_Data_20210420</vt:lpstr>
      <vt:lpstr>PivotTable</vt:lpstr>
      <vt:lpstr>FinalTotal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2021-04-20T14:16:59Z</dcterms:created>
  <dcterms:modified xsi:type="dcterms:W3CDTF">2021-04-21T16:45:34Z</dcterms:modified>
</cp:coreProperties>
</file>