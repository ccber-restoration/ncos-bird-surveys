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A6D8BD30-0D6C-4259-8195-0467A41DC916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NCOS Bird Survey Data 20210319" sheetId="2" r:id="rId1"/>
    <sheet name="PivotTable" sheetId="3" r:id="rId2"/>
    <sheet name="Final_Count" sheetId="4" r:id="rId3"/>
  </sheets>
  <definedNames>
    <definedName name="_xlnm._FilterDatabase" localSheetId="0" hidden="1">'NCOS Bird Survey Data 20210319'!$A$1:$AH$200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5" i="2" l="1"/>
  <c r="C31" i="2"/>
  <c r="C149" i="2"/>
  <c r="C32" i="2"/>
  <c r="C78" i="2"/>
  <c r="C130" i="2"/>
  <c r="C194" i="2"/>
  <c r="C72" i="2"/>
  <c r="C157" i="2"/>
  <c r="C42" i="2"/>
  <c r="C20" i="2"/>
  <c r="C7" i="2"/>
  <c r="C21" i="2"/>
  <c r="C196" i="2"/>
  <c r="C8" i="2"/>
  <c r="C121" i="2"/>
  <c r="C9" i="2"/>
  <c r="C52" i="2"/>
  <c r="C107" i="2"/>
  <c r="C108" i="2"/>
  <c r="C58" i="2"/>
  <c r="C191" i="2"/>
  <c r="C44" i="2"/>
  <c r="C97" i="2"/>
  <c r="C33" i="2"/>
  <c r="C10" i="2"/>
  <c r="C110" i="2"/>
  <c r="C102" i="2"/>
  <c r="C15" i="2"/>
  <c r="C56" i="2"/>
  <c r="C16" i="2"/>
  <c r="C103" i="2"/>
  <c r="C99" i="2"/>
  <c r="C45" i="2"/>
  <c r="C156" i="2"/>
  <c r="C48" i="2"/>
  <c r="C41" i="2"/>
  <c r="C43" i="2"/>
  <c r="C53" i="2"/>
  <c r="C198" i="2"/>
  <c r="C165" i="2"/>
  <c r="C25" i="2"/>
  <c r="C166" i="2"/>
  <c r="C37" i="2"/>
  <c r="C11" i="2"/>
  <c r="C77" i="2"/>
  <c r="C122" i="2"/>
  <c r="C147" i="2"/>
  <c r="C150" i="2"/>
  <c r="C26" i="2"/>
  <c r="C180" i="2"/>
  <c r="C124" i="2"/>
  <c r="C148" i="2"/>
  <c r="C104" i="2"/>
  <c r="C54" i="2"/>
  <c r="C118" i="2"/>
  <c r="C87" i="2"/>
  <c r="C111" i="2"/>
  <c r="C13" i="2"/>
  <c r="C182" i="2"/>
  <c r="C119" i="2"/>
  <c r="C170" i="2"/>
  <c r="C62" i="2"/>
  <c r="C171" i="2"/>
  <c r="C189" i="2"/>
  <c r="C152" i="2"/>
  <c r="C172" i="2"/>
  <c r="C28" i="2"/>
  <c r="C139" i="2"/>
  <c r="C5" i="2"/>
  <c r="C101" i="2"/>
  <c r="C39" i="2"/>
  <c r="C63" i="2"/>
  <c r="C175" i="2"/>
  <c r="C88" i="2"/>
  <c r="C176" i="2"/>
  <c r="C183" i="2"/>
  <c r="C146" i="2"/>
  <c r="C116" i="2"/>
  <c r="C120" i="2"/>
  <c r="C50" i="2"/>
  <c r="C65" i="2"/>
  <c r="C177" i="2"/>
  <c r="C179" i="2"/>
  <c r="C66" i="2"/>
  <c r="C154" i="2"/>
  <c r="C92" i="2"/>
  <c r="C193" i="2"/>
  <c r="C73" i="2"/>
  <c r="C128" i="2"/>
  <c r="C90" i="2"/>
  <c r="C178" i="2"/>
  <c r="C136" i="2"/>
  <c r="C155" i="2"/>
  <c r="C75" i="2"/>
  <c r="C94" i="2"/>
  <c r="C106" i="2"/>
  <c r="C133" i="2"/>
  <c r="C129" i="2"/>
  <c r="C19" i="2"/>
  <c r="C95" i="2"/>
  <c r="C158" i="2"/>
  <c r="C6" i="2"/>
  <c r="C159" i="2"/>
  <c r="C140" i="2"/>
  <c r="C51" i="2"/>
  <c r="C79" i="2"/>
  <c r="C68" i="2"/>
  <c r="C185" i="2"/>
  <c r="C67" i="2"/>
  <c r="C137" i="2"/>
  <c r="C160" i="2"/>
  <c r="C3" i="2"/>
  <c r="C126" i="2"/>
  <c r="C55" i="2"/>
  <c r="C59" i="2"/>
  <c r="C195" i="2"/>
  <c r="C186" i="2"/>
  <c r="C96" i="2"/>
  <c r="C197" i="2"/>
  <c r="C138" i="2"/>
  <c r="C109" i="2"/>
  <c r="C187" i="2"/>
  <c r="C142" i="2"/>
  <c r="C22" i="2"/>
  <c r="C80" i="2"/>
  <c r="C81" i="2"/>
  <c r="C14" i="2"/>
  <c r="C46" i="2"/>
  <c r="C143" i="2"/>
  <c r="C82" i="2"/>
  <c r="C161" i="2"/>
  <c r="C114" i="2"/>
  <c r="C98" i="2"/>
  <c r="C2" i="2"/>
  <c r="C83" i="2"/>
  <c r="C60" i="2"/>
  <c r="C40" i="2"/>
  <c r="C162" i="2"/>
  <c r="C131" i="2"/>
  <c r="C34" i="2"/>
  <c r="C115" i="2"/>
  <c r="C163" i="2"/>
  <c r="C23" i="2"/>
  <c r="C84" i="2"/>
  <c r="C164" i="2"/>
  <c r="C132" i="2"/>
  <c r="C35" i="2"/>
  <c r="C24" i="2"/>
  <c r="C17" i="2"/>
  <c r="C61" i="2"/>
  <c r="C85" i="2"/>
  <c r="C69" i="2"/>
  <c r="C36" i="2"/>
  <c r="C76" i="2"/>
  <c r="C167" i="2"/>
  <c r="C123" i="2"/>
  <c r="C74" i="2"/>
  <c r="C168" i="2"/>
  <c r="C141" i="2"/>
  <c r="C117" i="2"/>
  <c r="C86" i="2"/>
  <c r="C169" i="2"/>
  <c r="C199" i="2"/>
  <c r="C12" i="2"/>
  <c r="C144" i="2"/>
  <c r="C125" i="2"/>
  <c r="C181" i="2"/>
  <c r="C38" i="2"/>
  <c r="C27" i="2"/>
  <c r="C4" i="2"/>
  <c r="C151" i="2"/>
  <c r="C71" i="2"/>
  <c r="C57" i="2"/>
  <c r="C112" i="2"/>
  <c r="C18" i="2"/>
  <c r="C29" i="2"/>
  <c r="C190" i="2"/>
  <c r="C100" i="2"/>
  <c r="C200" i="2"/>
  <c r="C173" i="2"/>
  <c r="C91" i="2"/>
  <c r="C30" i="2"/>
  <c r="C64" i="2"/>
  <c r="C174" i="2"/>
  <c r="C113" i="2"/>
  <c r="C145" i="2"/>
  <c r="C49" i="2"/>
  <c r="C135" i="2"/>
  <c r="C47" i="2"/>
  <c r="C188" i="2"/>
  <c r="C192" i="2"/>
  <c r="C70" i="2"/>
  <c r="C184" i="2"/>
  <c r="C89" i="2"/>
  <c r="C153" i="2"/>
  <c r="C127" i="2"/>
  <c r="C134" i="2"/>
  <c r="C93" i="2"/>
</calcChain>
</file>

<file path=xl/sharedStrings.xml><?xml version="1.0" encoding="utf-8"?>
<sst xmlns="http://schemas.openxmlformats.org/spreadsheetml/2006/main" count="1590" uniqueCount="342">
  <si>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</si>
  <si>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</si>
  <si>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</si>
  <si>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</si>
  <si>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</si>
  <si>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</si>
  <si>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</si>
  <si>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</si>
  <si>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</si>
  <si>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</si>
  <si>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</si>
  <si>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</si>
  <si>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</si>
  <si>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</si>
  <si>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</si>
  <si>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</si>
  <si>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</si>
  <si>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</si>
  <si>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</si>
  <si>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</si>
  <si>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</si>
  <si>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</si>
  <si>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</si>
  <si>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</si>
  <si>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</si>
  <si>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</si>
  <si>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</si>
  <si>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</si>
  <si>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</si>
  <si>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</si>
  <si>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x</t>
  </si>
  <si>
    <t>y</t>
  </si>
  <si>
    <t>Killdeer</t>
  </si>
  <si>
    <t>No</t>
  </si>
  <si>
    <t>Mud</t>
  </si>
  <si>
    <t>8</t>
  </si>
  <si>
    <t>Medium</t>
  </si>
  <si>
    <t>d757760c-2a74-4317-a532-a45e8a5e9b7e</t>
  </si>
  <si>
    <t>ccber_user</t>
  </si>
  <si>
    <t>Least Sandpiper</t>
  </si>
  <si>
    <t>d3d2503d-e807-4856-9d60-643b36c0b2b0</t>
  </si>
  <si>
    <t>Black Phoebe</t>
  </si>
  <si>
    <t>Vegetation - Herbaceous</t>
  </si>
  <si>
    <t>5cd45c79-2333-4a88-904f-c94de7ccadd3</t>
  </si>
  <si>
    <t>Say's Phoebe</t>
  </si>
  <si>
    <t>Bare ground</t>
  </si>
  <si>
    <t>03acb4fd-ddb4-4665-8973-db6d565583b4</t>
  </si>
  <si>
    <t>3a9f9567-c81d-4951-878f-ddde698a8c40</t>
  </si>
  <si>
    <t>House Finch</t>
  </si>
  <si>
    <t>Building</t>
  </si>
  <si>
    <t>48e283e8-2a5c-477f-aeb2-ee6b62f5e2e7</t>
  </si>
  <si>
    <t>Peregrine Falcon</t>
  </si>
  <si>
    <t>Air</t>
  </si>
  <si>
    <t>b8b402f6-bc13-4e7c-bdd0-bd47219611a7</t>
  </si>
  <si>
    <t>White-tailed Kite</t>
  </si>
  <si>
    <t>92bdf835-8558-4553-a157-be7a00ad391d</t>
  </si>
  <si>
    <t>Great Blue Heron</t>
  </si>
  <si>
    <t>2cc17e81-8787-4f0f-8252-dca67ce543f3</t>
  </si>
  <si>
    <t>Song Sparrow</t>
  </si>
  <si>
    <t>Fence</t>
  </si>
  <si>
    <t>cc2e3416-a2d6-4757-aa00-140353bb9440</t>
  </si>
  <si>
    <t>Blue-gray Gnatcatcher</t>
  </si>
  <si>
    <t>Vegetation - Shrub</t>
  </si>
  <si>
    <t>c0858d25-3076-4faa-9967-d540135ac6f0</t>
  </si>
  <si>
    <t>Anna's Hummingbird</t>
  </si>
  <si>
    <t>Vegetation - Tree</t>
  </si>
  <si>
    <t>4f8c342f-dede-44fc-b8c1-89bc1c2f38f4</t>
  </si>
  <si>
    <t>American Crow</t>
  </si>
  <si>
    <t>366d2445-eb60-454f-adb8-17cb961035f7</t>
  </si>
  <si>
    <t>202ba4c6-a6c1-45ab-a7dc-04bac13a35f8</t>
  </si>
  <si>
    <t>Yellow-rumped Warbler</t>
  </si>
  <si>
    <t>92bbd531-80c6-4edc-880f-3bf9ada8f3b1</t>
  </si>
  <si>
    <t>Yes</t>
  </si>
  <si>
    <t>2f8b12b1-5640-4a70-9591-3ce238915a16</t>
  </si>
  <si>
    <t>Mourning Dove</t>
  </si>
  <si>
    <t>ea4f0a7c-b025-4994-bb73-ad3b072b40aa</t>
  </si>
  <si>
    <t>bf4360b6-6719-4620-8a0e-68ab38df88f5</t>
  </si>
  <si>
    <t>Canada Goose</t>
  </si>
  <si>
    <t>75633e3a-1afe-47b8-abf3-9071806156f3</t>
  </si>
  <si>
    <t>b1d27227-9b9d-4067-b670-bcf06f2a1307</t>
  </si>
  <si>
    <t>Lesser Goldfinch</t>
  </si>
  <si>
    <t>3b91ebba-f8bb-48f8-a7c5-573de7635d6d</t>
  </si>
  <si>
    <t>Common Yellowthroat</t>
  </si>
  <si>
    <t>c0eb9175-379c-42a9-ae16-dd799e27a383</t>
  </si>
  <si>
    <t>White-crowned Sparrow</t>
  </si>
  <si>
    <t>62ae4c9a-bb39-4385-a6e0-6d96f4f97784</t>
  </si>
  <si>
    <t>Burrowing Owl</t>
  </si>
  <si>
    <t>0b687438-2a9c-471c-84aa-807be1c7df19</t>
  </si>
  <si>
    <t>cc5b49b2-7a30-4174-a0d6-8b75dcee2c29</t>
  </si>
  <si>
    <t>b63dbd9a-39eb-447d-a11f-f2b363deb4cc</t>
  </si>
  <si>
    <t>f4a74ff3-040a-4411-9b83-c1377851d4cd</t>
  </si>
  <si>
    <t>0c001c12-d9f9-43ab-958a-34702ee1251f</t>
  </si>
  <si>
    <t>Lark Sparrow</t>
  </si>
  <si>
    <t>Habitat Feature - Snag</t>
  </si>
  <si>
    <t>c83acf6c-33d8-4c70-9387-161767ff53d1</t>
  </si>
  <si>
    <t>American Pipit</t>
  </si>
  <si>
    <t>8a386ec7-952b-4865-8623-4e85afe32a0a</t>
  </si>
  <si>
    <t>Cinnamon Teal</t>
  </si>
  <si>
    <t>Water - Floating</t>
  </si>
  <si>
    <t>deb88da2-457f-45aa-9a7a-1bfba55dc9f8</t>
  </si>
  <si>
    <t>8334c066-b1fe-4048-8aea-ee98fba8611a</t>
  </si>
  <si>
    <t>8e361500-280e-4e10-948c-43a2f1375389</t>
  </si>
  <si>
    <t>be781b30-195d-481a-97be-7e3618859000</t>
  </si>
  <si>
    <t>Habitat Feature - Hibernacula</t>
  </si>
  <si>
    <t>a7c3339d-a033-47f6-b755-1a00f7896f91</t>
  </si>
  <si>
    <t>Great Egret</t>
  </si>
  <si>
    <t>69ead259-d7e4-4442-8f83-b87c52c4db5b</t>
  </si>
  <si>
    <t>California Thrasher</t>
  </si>
  <si>
    <t>bb117af0-e6c3-4d83-94d2-cdd77760898d</t>
  </si>
  <si>
    <t>Black-crowned Night-Heron</t>
  </si>
  <si>
    <t>bb4fbc09-cc30-4798-b41d-e1723176cda1</t>
  </si>
  <si>
    <t>044271ad-7f1f-4812-adb5-3cf5b5039a32</t>
  </si>
  <si>
    <t>aa32a6a6-a2a5-4613-a480-1c22e58c95d0</t>
  </si>
  <si>
    <t>5ea8bc9a-2149-491b-9848-6e42fc0d8abe</t>
  </si>
  <si>
    <t>eda6b672-f700-40c2-865e-a02cd0693dde</t>
  </si>
  <si>
    <t>4515a66c-22fc-4843-8ea2-6764f63ebc4c</t>
  </si>
  <si>
    <t>835c0eb2-cd77-4a89-83e4-45e263b706de</t>
  </si>
  <si>
    <t>Habitat Feature - Log</t>
  </si>
  <si>
    <t>44011405-7038-4681-b652-5bad853850d4</t>
  </si>
  <si>
    <t>92cbcbee-3e66-4ede-b0d0-c7832fb3e5c3</t>
  </si>
  <si>
    <t>Hooded Merganser</t>
  </si>
  <si>
    <t>cf6adb14-5964-413f-97e0-8e58b453b763</t>
  </si>
  <si>
    <t>Northern Harrier</t>
  </si>
  <si>
    <t>2f5822ad-db35-44fa-bcf1-34a89998c3af</t>
  </si>
  <si>
    <t>Savannah Sparrow</t>
  </si>
  <si>
    <t>05a34b50-7c62-4dfb-8671-97bc9acd42a1</t>
  </si>
  <si>
    <t>0a11957b-0086-4e43-ae1a-5cc509743b01</t>
  </si>
  <si>
    <t>13a07572-e6ce-4ef8-a85d-e4c708b046e7</t>
  </si>
  <si>
    <t>Tree Swallow</t>
  </si>
  <si>
    <t>db8efb48-1690-4c41-805d-4aefc12edf96</t>
  </si>
  <si>
    <t>Northern Rough-winged Swallow</t>
  </si>
  <si>
    <t>63a8114f-f7ef-4389-8b2f-ddf987956582</t>
  </si>
  <si>
    <t>Savannah Sparrow (Belding's)</t>
  </si>
  <si>
    <t>e73fe72f-f7d9-47e3-94b8-20e36ccdfaec</t>
  </si>
  <si>
    <t>b1788429-c6ea-45a6-a084-e587585d5ed5</t>
  </si>
  <si>
    <t>Cassin's Kingbird</t>
  </si>
  <si>
    <t>95ed23fb-bedc-44cf-b7a4-f182e045b8da</t>
  </si>
  <si>
    <t>Marsh Wren</t>
  </si>
  <si>
    <t>57c009a3-fbc3-4184-b421-385a22fd6900</t>
  </si>
  <si>
    <t>9f934b37-9459-421c-9c1b-c991333b6386</t>
  </si>
  <si>
    <t>f0eb6dc2-4887-4e9d-b6b4-440ca64654ad</t>
  </si>
  <si>
    <t>f4678e9d-c1cf-4001-815c-1998786d86ab</t>
  </si>
  <si>
    <t>dbe76c38-cc89-41ab-95d7-7e84dc28a28c</t>
  </si>
  <si>
    <t>b08ecd74-52fd-4a4f-8e0a-2a0207726945</t>
  </si>
  <si>
    <t>77d1ded7-38f9-4654-b9d5-166d4fcd23ba</t>
  </si>
  <si>
    <t>2c6b653e-ba36-40a9-970c-42f8b0a45d8b</t>
  </si>
  <si>
    <t>d80bf8ef-42b9-4940-9515-208667d26339</t>
  </si>
  <si>
    <t>Western Meadowlark</t>
  </si>
  <si>
    <t>d16dbfcf-5879-4693-ae8e-21cef1fbc85c</t>
  </si>
  <si>
    <t>130da135-3e1a-4e83-a211-2b62d474c245</t>
  </si>
  <si>
    <t>d99b721b-aa1a-4f84-a5e6-9d06b535f11b</t>
  </si>
  <si>
    <t>e3a540d2-8af7-41c1-bed7-f3c823e921db</t>
  </si>
  <si>
    <t>Red-winged Blackbird</t>
  </si>
  <si>
    <t>8ead51f1-73d4-4b15-80fe-2fdbbe3b9440</t>
  </si>
  <si>
    <t>American Coot</t>
  </si>
  <si>
    <t>93099a61-affa-448e-91a8-2bdc45880244</t>
  </si>
  <si>
    <t>7a124889-1ded-402a-8d9c-68d878630f72</t>
  </si>
  <si>
    <t>87822748-2063-4465-9700-ed4eb212db78</t>
  </si>
  <si>
    <t>M</t>
  </si>
  <si>
    <t>a51e7d97-c54f-450e-b740-c23c9215733b</t>
  </si>
  <si>
    <t>c2911fd0-a296-44b4-8e9e-71d77ec60d00</t>
  </si>
  <si>
    <t>dfcaf660-6fae-451d-9526-3ff7dd385e8f</t>
  </si>
  <si>
    <t>73c356ed-9375-4b4a-8a4b-135ea3cdedcc</t>
  </si>
  <si>
    <t>Turkey Vulture</t>
  </si>
  <si>
    <t>17c0ecfe-a818-42eb-9ced-7bfebbfc6f28</t>
  </si>
  <si>
    <t>Ruby-crowned Kinglet</t>
  </si>
  <si>
    <t>fd36a859-154c-4126-998e-3f1ebb2c478d</t>
  </si>
  <si>
    <t>Mallard</t>
  </si>
  <si>
    <t>3ecb18df-419e-491c-949d-71b16f07305e</t>
  </si>
  <si>
    <t>59840361-f1a3-4035-a0d2-863af085c2e9</t>
  </si>
  <si>
    <t>California Towhee</t>
  </si>
  <si>
    <t>85b8b49e-ea25-4a81-a531-523c8a69976c</t>
  </si>
  <si>
    <t>4553b981-95fe-478e-aae5-9cfbfeacc5a9</t>
  </si>
  <si>
    <t>f2ea17f4-f91a-4809-abc4-5773c63ccfcf</t>
  </si>
  <si>
    <t>Spotted Towhee</t>
  </si>
  <si>
    <t>df2aa30f-11ec-4f51-91d9-1cb1356931cb</t>
  </si>
  <si>
    <t>0a3899a7-b5a3-4f8a-b422-fa4416b3fcca</t>
  </si>
  <si>
    <t>Selasphorus sp.</t>
  </si>
  <si>
    <t>5754f92f-f210-48df-b96c-ed025f30fb5a</t>
  </si>
  <si>
    <t>House Wren</t>
  </si>
  <si>
    <t>ec3134a4-d13a-46b0-9da4-446dca2bb0e5</t>
  </si>
  <si>
    <t>51ae8d20-16f1-4a0f-b22d-16f1356c6ca4</t>
  </si>
  <si>
    <t>a59dd592-dc89-4681-bc59-3f27489fc6f6</t>
  </si>
  <si>
    <t>Oak Titmouse</t>
  </si>
  <si>
    <t>a681118a-6583-4d59-ba92-bbed6ca1491b</t>
  </si>
  <si>
    <t>2e1bbb23-8c98-4546-bbd1-8442907a1c8a</t>
  </si>
  <si>
    <t>a9c62d0b-e0b6-469e-b5ab-0b134926bae2</t>
  </si>
  <si>
    <t>Red-tailed Hawk</t>
  </si>
  <si>
    <t>1015</t>
  </si>
  <si>
    <t>High</t>
  </si>
  <si>
    <t>89a70979-3637-4331-acff-4bf367030845</t>
  </si>
  <si>
    <t>Snow Goose</t>
  </si>
  <si>
    <t>ca48d191-3152-42b8-ad3b-b63fa26be5e0</t>
  </si>
  <si>
    <t>Greater White-fronted Goose</t>
  </si>
  <si>
    <t>22e717b1-5711-4082-a9d3-d0af8b132840</t>
  </si>
  <si>
    <t>b4c024c2-85d4-44a0-be4e-d6a730493f61</t>
  </si>
  <si>
    <t>Water - Wading</t>
  </si>
  <si>
    <t>7f680337-786b-474e-bda8-fff6d52017d3</t>
  </si>
  <si>
    <t>Redhead</t>
  </si>
  <si>
    <t>02ed24ca-e6f1-428a-8851-459322604a2e</t>
  </si>
  <si>
    <t>Flyover</t>
  </si>
  <si>
    <t>0175cbd4-78a2-48ec-b242-94c00443d739</t>
  </si>
  <si>
    <t>12ead5db-567a-4874-9c50-ffc6fdbd6135</t>
  </si>
  <si>
    <t>b0679a6d-75ee-463f-a37f-bde103328a57</t>
  </si>
  <si>
    <t>212a72ea-eeac-4bd8-97d3-e85c2202cddc</t>
  </si>
  <si>
    <t>accea720-0cc0-4fd0-9156-aef76e1c12de</t>
  </si>
  <si>
    <t>39b4a439-4781-47ff-8f5b-2f2cc8fb0ad4</t>
  </si>
  <si>
    <t>Ring-billed Gull</t>
  </si>
  <si>
    <t>04daf016-b94e-492d-b07e-1e7b74302d28</t>
  </si>
  <si>
    <t>795b5b8c-0169-443c-a75d-82eb2ff144ad</t>
  </si>
  <si>
    <t>7eb7335a-2773-440b-8c5d-78e7c9224195</t>
  </si>
  <si>
    <t>Downy Woodpecker</t>
  </si>
  <si>
    <t>bbec86d4-3cf5-432e-ae70-764394d9fb80</t>
  </si>
  <si>
    <t>Western Bluebird</t>
  </si>
  <si>
    <t>f2a83284-c35d-4ec9-9c88-9cf097502e72</t>
  </si>
  <si>
    <t>Cooper's Hawk</t>
  </si>
  <si>
    <t>6b4cbb22-c0f4-4cd9-8e09-5ffa876bb069</t>
  </si>
  <si>
    <t>e9a626fc-1bfa-4c62-b7aa-bde0732baf2b</t>
  </si>
  <si>
    <t>4329e956-d53e-4af8-92e1-4aafbf3eaa47</t>
  </si>
  <si>
    <t>8c94be49-de2f-432f-b54e-cb5f695df59b</t>
  </si>
  <si>
    <t>Northern Shoveler</t>
  </si>
  <si>
    <t>3242d1d1-800f-45db-b2bf-f036a46849b6</t>
  </si>
  <si>
    <t>16efa16b-b30a-4f8f-94dd-ca53571d45b5</t>
  </si>
  <si>
    <t>f5f2ce18-fb82-47ad-a6f1-1720a3f87cb9</t>
  </si>
  <si>
    <t>Wilson's Snipe</t>
  </si>
  <si>
    <t>98750ffc-13da-4ada-8d73-195310e35a7c</t>
  </si>
  <si>
    <t>7a4070f9-b0ce-4dcd-bcdd-5a68fa307d3d</t>
  </si>
  <si>
    <t>69d50197-2d2f-4fcf-8deb-e45aadcfb551</t>
  </si>
  <si>
    <t>2e9f089e-7b98-4751-b4c3-155994cd5701</t>
  </si>
  <si>
    <t>17d97ee6-a4ca-4ac4-837c-8084d243983f</t>
  </si>
  <si>
    <t>88c98959-08e2-469e-823d-793e79182656</t>
  </si>
  <si>
    <t>bb2c50ab-b4f6-4d9f-bd0b-db03496e2e0c</t>
  </si>
  <si>
    <t>74d6cad0-e1fc-4be1-8834-c59e211bce99</t>
  </si>
  <si>
    <t>9e4348ef-9a3f-4d66-971c-830c23f70648</t>
  </si>
  <si>
    <t>46ea2b9b-7c58-4e71-b523-939521dbbb1b</t>
  </si>
  <si>
    <t>f2d3bc8d-d028-49cf-903d-5307579ad985</t>
  </si>
  <si>
    <t>14f6b57c-d19a-4932-98a5-0987d14ea0d6</t>
  </si>
  <si>
    <t>Bushtit</t>
  </si>
  <si>
    <t>958d927d-eb5b-41a9-8e6c-198849258335</t>
  </si>
  <si>
    <t>fbae2066-a259-4b81-94b8-73808b849bb2</t>
  </si>
  <si>
    <t>bb82797e-0157-433f-9c6e-c99999830dd4</t>
  </si>
  <si>
    <t>adccda4e-0fd2-4acb-9ccd-b06f282b42d4</t>
  </si>
  <si>
    <t>1512ee63-e2c8-4b1e-ac99-c4d8dfdcf366</t>
  </si>
  <si>
    <t>33cb9886-8449-43ee-a888-0f75fc700bce</t>
  </si>
  <si>
    <t>Allen's Hummingbird</t>
  </si>
  <si>
    <t>279dfa3e-617e-492f-a800-08d1e5fee549</t>
  </si>
  <si>
    <t>711ebcf5-2e45-4848-9110-6a99f4c67f72</t>
  </si>
  <si>
    <t>419c4f3f-fcf1-4bf6-9111-8cb1e200687b</t>
  </si>
  <si>
    <t>f5d5aa40-39ab-4490-9040-fcb2fe8b33ad</t>
  </si>
  <si>
    <t>c4382666-f1a0-4b80-b925-7c46426eab51</t>
  </si>
  <si>
    <t>Pied-billed Grebe</t>
  </si>
  <si>
    <t>44594655-e9b0-49ca-b34f-d4741e7c3db6</t>
  </si>
  <si>
    <t>89a21051-bb9f-414d-8863-1f2a74cad801</t>
  </si>
  <si>
    <t>262d75b7-877e-4b12-9c97-2e60e1e07449</t>
  </si>
  <si>
    <t>2cf66541-852f-475c-b146-d3dc9fc17d45</t>
  </si>
  <si>
    <t>79dc2266-ce6f-46b2-9b09-b3bb427b94be</t>
  </si>
  <si>
    <t>8739ce92-156a-4458-97a6-372c1baedeea</t>
  </si>
  <si>
    <t>e7eccc81-b3de-4960-b566-2d949222f0d6</t>
  </si>
  <si>
    <t>Red-breasted Nuthatch</t>
  </si>
  <si>
    <t>267dc64b-2a0f-4b3b-a0be-a66dd7514dce</t>
  </si>
  <si>
    <t>124a2efd-0fd3-42ff-a034-9493a4497302</t>
  </si>
  <si>
    <t>1bad1a8a-11d2-4210-a034-edaf92d5d26b</t>
  </si>
  <si>
    <t>6896cef6-1beb-403b-92f3-9db4b02d9a71</t>
  </si>
  <si>
    <t>064cc0e8-1841-4afc-bbc6-5ef5ae8fb60f</t>
  </si>
  <si>
    <t>bc382d84-56e8-4910-b39f-05036c93408b</t>
  </si>
  <si>
    <t>5206cbbf-236e-4044-94f0-1ef60af0023f</t>
  </si>
  <si>
    <t>da5512b6-9794-4c9e-bf76-90198997c24d</t>
  </si>
  <si>
    <t>b683dccc-1466-4622-857c-253acb3d3957</t>
  </si>
  <si>
    <t>c3e27d87-932a-4f1a-bccb-f033580e9422</t>
  </si>
  <si>
    <t>Northern Mockingbird</t>
  </si>
  <si>
    <t>4e480d70-daa6-476b-9763-ad76766dc106</t>
  </si>
  <si>
    <t>6d2b3280-b9e5-497f-a0c5-c7304bea8a2c</t>
  </si>
  <si>
    <t>521fa59e-5848-47b5-a07b-5531c4ef7928</t>
  </si>
  <si>
    <t>Rock Pigeon (Feral Pigeon)</t>
  </si>
  <si>
    <t>112e1b41-a5a6-4c33-b691-f1a306b012f4</t>
  </si>
  <si>
    <t>491bdb85-855d-40cb-aa30-5fceed736478</t>
  </si>
  <si>
    <t>3e9bed7b-c7f6-40a8-ba5c-9ad77e01f3c7</t>
  </si>
  <si>
    <t>ba6e8727-b6bf-4304-b869-f9d1f2afd7d5</t>
  </si>
  <si>
    <t>4616e950-2703-40bd-9249-d9bbe8abb0db</t>
  </si>
  <si>
    <t>3cd14f67-cb25-4cef-b40f-0dd6fd68cded</t>
  </si>
  <si>
    <t>24e98cb1-1f39-410b-92ea-202dec3fe73c</t>
  </si>
  <si>
    <t>fba98718-e890-470c-8775-8cc8738a6dc1</t>
  </si>
  <si>
    <t>c7422910-fbbd-4853-9dd7-854339b60c68</t>
  </si>
  <si>
    <t>abedcba0-a61d-472d-a9fa-182f570727f9</t>
  </si>
  <si>
    <t>c14af356-71d6-4d0a-9db4-db3fe628b9b5</t>
  </si>
  <si>
    <t>66f5f34f-d5a8-46fb-b7f3-951e5239fdbe</t>
  </si>
  <si>
    <t>92d3ba07-0be0-46cc-8c90-8a2927ff13de</t>
  </si>
  <si>
    <t>Gadwall</t>
  </si>
  <si>
    <t>caa2448b-0697-46ab-8f3d-9063ab832c40</t>
  </si>
  <si>
    <t>df320dab-9488-49cd-b0e9-dec4032115d2</t>
  </si>
  <si>
    <t>9320e47e-e16f-4b39-b31c-59349962ef9c</t>
  </si>
  <si>
    <t>American Wigeon</t>
  </si>
  <si>
    <t>b0c1bd0c-9952-4e33-849d-2460d9ad5437</t>
  </si>
  <si>
    <t>3180c14d-bda0-4f30-bd60-9388df9f945b</t>
  </si>
  <si>
    <t>Western Sandpiper</t>
  </si>
  <si>
    <t>aa9345cb-029c-472f-b97e-c3040ca0839e</t>
  </si>
  <si>
    <t>045e7aea-c659-483c-9f0e-b4deb812d01d</t>
  </si>
  <si>
    <t>82db51d0-6caa-4b07-9c31-700f3dcc4193</t>
  </si>
  <si>
    <t>00d9ca16-f94c-4dcd-826c-d58dc39ec54a</t>
  </si>
  <si>
    <t>17af7966-ee6b-4fc9-afbb-e2f685ef25e6</t>
  </si>
  <si>
    <t>4c5a883c-fab9-4281-9ec1-e7163ede97d2</t>
  </si>
  <si>
    <t>f92ea31d-f85c-4532-8731-9262e8ab8e78</t>
  </si>
  <si>
    <t>0579fec7-2f74-4155-8230-a2de521ffe4e</t>
  </si>
  <si>
    <t>7f934524-210d-4417-ada1-6ecf08caff80</t>
  </si>
  <si>
    <t>185f14ef-8bb8-4068-9a02-ae909898cc7e</t>
  </si>
  <si>
    <t>d63ea408-a19c-4a19-959a-2dd890637c1d</t>
  </si>
  <si>
    <t>6ef306fc-ff50-4620-b975-3958dbf105f0</t>
  </si>
  <si>
    <t>a3e455b9-b5c1-4d4a-9acc-257d36abd01b</t>
  </si>
  <si>
    <t>c527a5db-a10d-45fd-9613-4680381eb910</t>
  </si>
  <si>
    <t>ebc71ba4-c833-41f4-b9da-a54ac8a70c65</t>
  </si>
  <si>
    <t>European Starling</t>
  </si>
  <si>
    <t>3fce9c74-f43a-4e97-a88e-a9333145557d</t>
  </si>
  <si>
    <t>4f08145a-c091-49a2-b3b0-65c63d43793f</t>
  </si>
  <si>
    <t>262dae04-434e-4dde-b8b6-17a8da22788f</t>
  </si>
  <si>
    <t>Scaly-breasted Munia</t>
  </si>
  <si>
    <t>de216c71-88f8-4e7b-b338-3a052387fa36</t>
  </si>
  <si>
    <t>54daefeb-04a3-4c6a-962b-b9b16b1f649e</t>
  </si>
  <si>
    <t>6113cad7-2729-4467-a668-d16a51521528</t>
  </si>
  <si>
    <t>WEST/SOUTH: Lisa, Conor, Ryan C</t>
  </si>
  <si>
    <t>EAST/NORTH: Steven, Linus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</si>
  <si>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</si>
  <si>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</si>
  <si>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</si>
  <si>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</si>
  <si>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</si>
  <si>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</si>
  <si>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</si>
  <si>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</si>
  <si>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Date</t>
  </si>
  <si>
    <t>Time</t>
  </si>
  <si>
    <t>Observation excluded following survey review as it is considered to be a mistake. Removed from spatial data.</t>
  </si>
  <si>
    <t>Snowy Egret</t>
  </si>
  <si>
    <t>Corrected Species from Great Egret to Snowy Egret during survey review.</t>
  </si>
  <si>
    <t>Other</t>
  </si>
  <si>
    <t>Perched on oak tree support post. Corrected Species from Lark Bunting to Lark Sparrow following survey review.</t>
  </si>
  <si>
    <t>Perched on oak tree support post.</t>
  </si>
  <si>
    <t>Change Repeat Observation from No to Yes following survey review.</t>
  </si>
  <si>
    <t>Changed Repeat Observation from Yes to No following survey review.</t>
  </si>
  <si>
    <t>Changed Repeat Observation from No to Yes following survey review.</t>
  </si>
  <si>
    <t>Common Name</t>
  </si>
  <si>
    <t>Total Count</t>
  </si>
  <si>
    <t>both in artificial burrows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</si>
</sst>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Border="0"/>
  </cellStyleXfs>
  <cellXfs count="32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0" fillId="0" borderId="0" xfId="0" applyNumberFormat="1" applyFill="1" applyAlignment="1" applyProtection="1">
      <alignment horizontal="center"/>
    </xf>
    <xf numFmtId="0" fontId="0" fillId="0" borderId="0" xfId="0" pivotButton="1" applyNumberFormat="1" applyFill="1" applyAlignment="1" applyProtection="1"/>
    <xf numFmtId="0" fontId="0" fillId="2" borderId="0" xfId="0" applyNumberFormat="1" applyFill="1" applyAlignment="1" applyProtection="1"/>
    <xf numFmtId="0" fontId="0" fillId="3" borderId="0" xfId="0" applyNumberFormat="1" applyFill="1" applyAlignment="1" applyProtection="1">
      <alignment horizontal="center"/>
    </xf>
    <xf numFmtId="0" fontId="0" fillId="2" borderId="0" xfId="0" applyNumberFormat="1" applyFill="1" applyAlignment="1" applyProtection="1">
      <alignment horizontal="center"/>
    </xf>
    <xf numFmtId="0" fontId="0" fillId="0" borderId="3" xfId="0" applyNumberFormat="1" applyFill="1" applyBorder="1" applyAlignment="1" applyProtection="1">
      <alignment horizontal="center"/>
    </xf>
    <xf numFmtId="0" fontId="0" fillId="3" borderId="3" xfId="0" applyNumberFormat="1" applyFill="1" applyBorder="1" applyAlignment="1" applyProtection="1">
      <alignment horizontal="center"/>
    </xf>
    <xf numFmtId="0" fontId="0" fillId="2" borderId="3" xfId="0" applyNumberFormat="1" applyFill="1" applyBorder="1" applyAlignment="1" applyProtection="1">
      <alignment horizontal="center"/>
    </xf>
    <xf numFmtId="0" fontId="1" fillId="2" borderId="4" xfId="0" applyNumberFormat="1" applyFont="1" applyFill="1" applyBorder="1" applyAlignment="1" applyProtection="1">
      <alignment horizontal="center"/>
    </xf>
    <xf numFmtId="0" fontId="0" fillId="0" borderId="6" xfId="0" applyNumberFormat="1" applyFill="1" applyBorder="1" applyAlignment="1" applyProtection="1">
      <alignment horizontal="center"/>
    </xf>
    <xf numFmtId="0" fontId="0" fillId="3" borderId="6" xfId="0" applyNumberFormat="1" applyFill="1" applyBorder="1" applyAlignment="1" applyProtection="1">
      <alignment horizontal="center"/>
    </xf>
    <xf numFmtId="0" fontId="0" fillId="2" borderId="6" xfId="0" applyNumberFormat="1" applyFill="1" applyBorder="1" applyAlignment="1" applyProtection="1">
      <alignment horizontal="center"/>
    </xf>
    <xf numFmtId="0" fontId="1" fillId="2" borderId="7" xfId="0" applyNumberFormat="1" applyFont="1" applyFill="1" applyBorder="1" applyAlignment="1" applyProtection="1">
      <alignment horizontal="center"/>
    </xf>
    <xf numFmtId="0" fontId="0" fillId="0" borderId="9" xfId="0" applyNumberFormat="1" applyFill="1" applyBorder="1" applyAlignment="1" applyProtection="1">
      <alignment horizontal="center"/>
    </xf>
    <xf numFmtId="0" fontId="0" fillId="3" borderId="9" xfId="0" applyNumberFormat="1" applyFill="1" applyBorder="1" applyAlignment="1" applyProtection="1">
      <alignment horizontal="center"/>
    </xf>
    <xf numFmtId="0" fontId="0" fillId="2" borderId="9" xfId="0" applyNumberFormat="1" applyFill="1" applyBorder="1" applyAlignment="1" applyProtection="1">
      <alignment horizontal="center"/>
    </xf>
    <xf numFmtId="0" fontId="1" fillId="2" borderId="10" xfId="0" applyNumberFormat="1" applyFont="1" applyFill="1" applyBorder="1" applyAlignment="1" applyProtection="1">
      <alignment horizontal="center"/>
    </xf>
    <xf numFmtId="14" fontId="0" fillId="0" borderId="0" xfId="0" applyNumberFormat="1" applyFill="1" applyAlignment="1" applyProtection="1">
      <alignment horizontal="left"/>
    </xf>
    <xf numFmtId="164" fontId="0" fillId="0" borderId="0" xfId="0" applyNumberFormat="1" applyFill="1" applyAlignment="1" applyProtection="1">
      <alignment horizontal="center"/>
    </xf>
    <xf numFmtId="0" fontId="0" fillId="0" borderId="2" xfId="0" applyNumberFormat="1" applyFill="1" applyBorder="1" applyAlignment="1" applyProtection="1">
      <alignment horizontal="center"/>
    </xf>
    <xf numFmtId="0" fontId="0" fillId="0" borderId="5" xfId="0" applyNumberFormat="1" applyFill="1" applyBorder="1" applyAlignment="1" applyProtection="1">
      <alignment horizontal="center"/>
    </xf>
    <xf numFmtId="0" fontId="0" fillId="0" borderId="8" xfId="0" applyNumberFormat="1" applyFill="1" applyBorder="1" applyAlignment="1" applyProtection="1">
      <alignment horizontal="center"/>
    </xf>
    <xf numFmtId="0" fontId="0" fillId="0" borderId="11" xfId="0" applyNumberFormat="1" applyFill="1" applyBorder="1" applyAlignment="1" applyProtection="1">
      <alignment horizontal="left"/>
    </xf>
    <xf numFmtId="0" fontId="0" fillId="0" borderId="12" xfId="0" applyNumberFormat="1" applyFill="1" applyBorder="1" applyAlignment="1" applyProtection="1">
      <alignment horizontal="left"/>
    </xf>
    <xf numFmtId="0" fontId="0" fillId="0" borderId="13" xfId="0" applyNumberFormat="1" applyFill="1" applyBorder="1" applyAlignment="1" applyProtection="1">
      <alignment horizontal="left"/>
    </xf>
    <xf numFmtId="0" fontId="1" fillId="0" borderId="14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0" xfId="0" applyNumberFormat="1" applyFont="1" applyFill="1" applyAlignment="1" applyProtection="1">
      <alignment horizontal="center" vertical="center" wrapText="1"/>
    </xf>
  </cellXfs>
  <cellStyles count="1">
    <cellStyle name="Normal" xfId="0" builtinId="0"/>
  </cellStyles>
  <dxfs count="21">
    <dxf>
      <fill>
        <patternFill patternType="solid">
          <bgColor rgb="FFFFFF66"/>
        </patternFill>
      </fill>
    </dxf>
    <dxf>
      <alignment horizontal="center"/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277.497982060187" createdVersion="5" refreshedVersion="6" minRefreshableVersion="3" recordCount="199" xr:uid="{00000000-000A-0000-FFFF-FFFF04000000}">
  <cacheSource type="worksheet">
    <worksheetSource ref="A1:AH200" sheet="NCOS Bird Survey Data 20210319"/>
  </cacheSource>
  <cacheFields count="34">
    <cacheField name="OBJECTID" numFmtId="0">
      <sharedItems containsSemiMixedTypes="0" containsString="0" containsNumber="1" containsInteger="1" minValue="1" maxValue="200"/>
    </cacheField>
    <cacheField name="Date" numFmtId="14">
      <sharedItems containsSemiMixedTypes="0" containsNonDate="0" containsDate="1" containsString="0" minDate="2021-03-19T00:00:00" maxDate="2021-03-20T00:00:00"/>
    </cacheField>
    <cacheField name="Time" numFmtId="164">
      <sharedItems containsSemiMixedTypes="0" containsNonDate="0" containsDate="1" containsString="0" minDate="2021-03-19T07:57:32" maxDate="2021-03-19T10:17:05"/>
    </cacheField>
    <cacheField name="Species" numFmtId="0">
      <sharedItems containsBlank="1" count="68">
        <s v="Allen's Hummingbird"/>
        <s v="American Coot"/>
        <s v="American Crow"/>
        <s v="American Pipit"/>
        <s v="American Wigeon"/>
        <s v="Anna's Hummingbird"/>
        <s v="Black Phoebe"/>
        <s v="Black-crowned Night-Heron"/>
        <s v="Blue-gray Gnatcatcher"/>
        <s v="Burrowing Owl"/>
        <s v="Bushtit"/>
        <s v="California Thrasher"/>
        <s v="California Towhee"/>
        <s v="Canada Goose"/>
        <s v="Cassin's Kingbird"/>
        <s v="Cinnamon Teal"/>
        <s v="Common Yellowthroat"/>
        <s v="Cooper's Hawk"/>
        <s v="Downy Woodpecker"/>
        <s v="European Starling"/>
        <s v="Gadwall"/>
        <s v="Great Blue Heron"/>
        <s v="Great Egret"/>
        <s v="Greater White-fronted Goose"/>
        <s v="Hooded Merganser"/>
        <s v="House Finch"/>
        <s v="House Wren"/>
        <s v="Killdeer"/>
        <s v="Lark Sparrow"/>
        <s v="Least Sandpiper"/>
        <s v="Lesser Goldfinch"/>
        <s v="Mallard"/>
        <s v="Marsh Wren"/>
        <s v="Mourning Dove"/>
        <s v="Northern Harrier"/>
        <s v="Northern Mockingbird"/>
        <s v="Northern Rough-winged Swallow"/>
        <s v="Northern Shoveler"/>
        <s v="Oak Titmouse"/>
        <s v="Peregrine Falcon"/>
        <s v="Pied-billed Grebe"/>
        <s v="Red-breasted Nuthatch"/>
        <s v="Redhead"/>
        <s v="Red-tailed Hawk"/>
        <s v="Red-winged Blackbird"/>
        <s v="Ring-billed Gull"/>
        <s v="Rock Pigeon (Feral Pigeon)"/>
        <s v="Ruby-crowned Kinglet"/>
        <s v="Savannah Sparrow"/>
        <s v="Savannah Sparrow (Belding's)"/>
        <s v="Say's Phoebe"/>
        <s v="Scaly-breasted Munia"/>
        <s v="Selasphorus sp."/>
        <s v="Snow Goose"/>
        <s v="Snowy Egret"/>
        <s v="Song Sparrow"/>
        <s v="Spotted Towhee"/>
        <s v="Tree Swallow"/>
        <s v="Turkey Vulture"/>
        <s v="Western Bluebird"/>
        <s v="Western Meadowlark"/>
        <s v="Western Sandpiper"/>
        <s v="White-crowned Sparrow"/>
        <s v="White-tailed Kite"/>
        <s v="Wilson's Snipe"/>
        <s v="Yellow-rumped Warbler"/>
        <m u="1"/>
        <s v="Lark Bunting" u="1"/>
      </sharedItems>
    </cacheField>
    <cacheField name="Count" numFmtId="0">
      <sharedItems containsString="0" containsBlank="1" containsNumber="1" containsInteger="1" minValue="1" maxValue="40"/>
    </cacheField>
    <cacheField name="Repeat Observation" numFmtId="0">
      <sharedItems count="2">
        <s v="No"/>
        <s v="Yes"/>
      </sharedItems>
    </cacheField>
    <cacheField name="Substrate" numFmtId="0">
      <sharedItems/>
    </cacheField>
    <cacheField name="Sex" numFmtId="0">
      <sharedItems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5.95" maxValue="5.95"/>
    </cacheField>
    <cacheField name="Observers" numFmtId="0">
      <sharedItems count="2">
        <s v="EAST/NORTH: Steven, Linus"/>
        <s v="WEST/SOUTH: Lisa, Conor, Ryan C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7" maxValue="57"/>
    </cacheField>
    <cacheField name="Starting % Cloud Cover" numFmtId="0">
      <sharedItems containsString="0" containsBlank="1" containsNumber="1" containsInteger="1" minValue="80" maxValue="80"/>
    </cacheField>
    <cacheField name="Starting Cloud Height" numFmtId="0">
      <sharedItems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5" maxValue="65"/>
    </cacheField>
    <cacheField name="Ending % Cloud Cover" numFmtId="0">
      <sharedItems containsString="0" containsBlank="1" containsNumber="1" containsInteger="1" minValue="50" maxValue="50"/>
    </cacheField>
    <cacheField name="Ending Cloud Height" numFmtId="0">
      <sharedItems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22">
      <sharedItems containsSemiMixedTypes="0" containsNonDate="0" containsDate="1" containsString="0" minDate="2021-03-19T14:57:32" maxDate="2021-03-19T17:17:05"/>
    </cacheField>
    <cacheField name="Creator" numFmtId="0">
      <sharedItems/>
    </cacheField>
    <cacheField name="EditDate" numFmtId="22">
      <sharedItems containsSemiMixedTypes="0" containsNonDate="0" containsDate="1" containsString="0" minDate="2021-03-19T14:57:32" maxDate="2021-03-19T17:28:33"/>
    </cacheField>
    <cacheField name="Editor" numFmtId="0">
      <sharedItems/>
    </cacheField>
    <cacheField name="x" numFmtId="0">
      <sharedItems containsSemiMixedTypes="0" containsString="0" containsNumber="1" minValue="-119.885560441374" maxValue="-119.870530164214"/>
    </cacheField>
    <cacheField name="y" numFmtId="0">
      <sharedItems containsSemiMixedTypes="0" containsString="0" containsNumber="1" minValue="34.416829392470298" maxValue="34.4226866668057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37"/>
    <d v="2021-03-19T00:00:00"/>
    <d v="2021-03-19T08:38:25"/>
    <x v="0"/>
    <n v="1"/>
    <x v="0"/>
    <s v="Vegetation - Herbaceous"/>
    <m/>
    <m/>
    <m/>
    <m/>
    <x v="0"/>
    <m/>
    <m/>
    <m/>
    <m/>
    <m/>
    <m/>
    <m/>
    <m/>
    <m/>
    <m/>
    <m/>
    <m/>
    <m/>
    <m/>
    <m/>
    <s v="279dfa3e-617e-492f-a800-08d1e5fee549"/>
    <d v="2021-03-19T15:38:25"/>
    <s v="ccber_user"/>
    <d v="2021-03-19T15:38:25"/>
    <s v="ccber_user"/>
    <n v="-119.87298565155101"/>
    <n v="34.421888254706403"/>
  </r>
  <r>
    <n v="115"/>
    <d v="2021-03-19T00:00:00"/>
    <d v="2021-03-19T08:22:15"/>
    <x v="1"/>
    <n v="2"/>
    <x v="0"/>
    <s v="Water - Wading"/>
    <m/>
    <m/>
    <m/>
    <m/>
    <x v="0"/>
    <m/>
    <m/>
    <m/>
    <m/>
    <m/>
    <m/>
    <m/>
    <m/>
    <m/>
    <m/>
    <m/>
    <m/>
    <m/>
    <m/>
    <m/>
    <s v="8c94be49-de2f-432f-b54e-cb5f695df59b"/>
    <d v="2021-03-19T15:22:15"/>
    <s v="ccber_user"/>
    <d v="2021-03-19T15:22:15"/>
    <s v="ccber_user"/>
    <n v="-119.872196505828"/>
    <n v="34.421097858062197"/>
  </r>
  <r>
    <n v="173"/>
    <d v="2021-03-19T00:00:00"/>
    <d v="2021-03-19T09:29:40"/>
    <x v="1"/>
    <n v="13"/>
    <x v="0"/>
    <s v="Water - Floating"/>
    <m/>
    <m/>
    <m/>
    <m/>
    <x v="0"/>
    <m/>
    <m/>
    <m/>
    <m/>
    <m/>
    <m/>
    <m/>
    <m/>
    <m/>
    <m/>
    <m/>
    <m/>
    <m/>
    <m/>
    <m/>
    <s v="66f5f34f-d5a8-46fb-b7f3-951e5239fdbe"/>
    <d v="2021-03-19T16:29:40"/>
    <s v="ccber_user"/>
    <d v="2021-03-19T16:29:40"/>
    <s v="ccber_user"/>
    <n v="-119.88120425633799"/>
    <n v="34.421554640268901"/>
  </r>
  <r>
    <n v="72"/>
    <d v="2021-03-19T00:00:00"/>
    <d v="2021-03-19T09:36:54"/>
    <x v="1"/>
    <n v="2"/>
    <x v="0"/>
    <s v="Bare ground"/>
    <m/>
    <m/>
    <m/>
    <m/>
    <x v="1"/>
    <m/>
    <m/>
    <m/>
    <m/>
    <m/>
    <m/>
    <m/>
    <m/>
    <m/>
    <m/>
    <m/>
    <m/>
    <m/>
    <m/>
    <m/>
    <s v="93099a61-affa-448e-91a8-2bdc45880244"/>
    <d v="2021-03-19T16:36:54"/>
    <s v="ccber_user"/>
    <d v="2021-03-19T16:36:54"/>
    <s v="ccber_user"/>
    <n v="-119.88294645978"/>
    <n v="34.4211743688724"/>
  </r>
  <r>
    <n v="105"/>
    <d v="2021-03-19T00:00:00"/>
    <d v="2021-03-19T08:10:08"/>
    <x v="2"/>
    <n v="2"/>
    <x v="0"/>
    <s v="Flyover"/>
    <m/>
    <m/>
    <m/>
    <m/>
    <x v="0"/>
    <m/>
    <m/>
    <m/>
    <m/>
    <m/>
    <m/>
    <m/>
    <m/>
    <m/>
    <m/>
    <m/>
    <m/>
    <m/>
    <m/>
    <m/>
    <s v="accea720-0cc0-4fd0-9156-aef76e1c12de"/>
    <d v="2021-03-19T15:10:08"/>
    <s v="ccber_user"/>
    <d v="2021-03-19T15:10:08"/>
    <s v="ccber_user"/>
    <n v="-119.87461839617301"/>
    <n v="34.4192700165951"/>
  </r>
  <r>
    <n v="13"/>
    <d v="2021-03-19T00:00:00"/>
    <d v="2021-03-19T08:10:33"/>
    <x v="2"/>
    <n v="1"/>
    <x v="0"/>
    <s v="Air"/>
    <m/>
    <m/>
    <m/>
    <m/>
    <x v="1"/>
    <m/>
    <m/>
    <m/>
    <m/>
    <m/>
    <m/>
    <m/>
    <m/>
    <m/>
    <m/>
    <m/>
    <m/>
    <m/>
    <m/>
    <m/>
    <s v="366d2445-eb60-454f-adb8-17cb961035f7"/>
    <d v="2021-03-19T15:10:33"/>
    <s v="ccber_user"/>
    <d v="2021-03-19T15:10:33"/>
    <s v="ccber_user"/>
    <n v="-119.876814731229"/>
    <n v="34.418057580446103"/>
  </r>
  <r>
    <n v="16"/>
    <d v="2021-03-19T00:00:00"/>
    <d v="2021-03-19T08:15:40"/>
    <x v="2"/>
    <n v="1"/>
    <x v="1"/>
    <s v="Vegetation - Tree"/>
    <m/>
    <m/>
    <m/>
    <m/>
    <x v="1"/>
    <m/>
    <m/>
    <m/>
    <m/>
    <m/>
    <m/>
    <m/>
    <m/>
    <m/>
    <m/>
    <m/>
    <m/>
    <m/>
    <m/>
    <m/>
    <s v="2f8b12b1-5640-4a70-9591-3ce238915a16"/>
    <d v="2021-03-19T15:15:40"/>
    <s v="ccber_user"/>
    <d v="2021-03-19T15:15:40"/>
    <s v="ccber_user"/>
    <n v="-119.876352683661"/>
    <n v="34.417689126317903"/>
  </r>
  <r>
    <n v="18"/>
    <d v="2021-03-19T00:00:00"/>
    <d v="2021-03-19T08:18:54"/>
    <x v="2"/>
    <n v="3"/>
    <x v="0"/>
    <s v="Bare ground"/>
    <m/>
    <m/>
    <m/>
    <m/>
    <x v="1"/>
    <m/>
    <m/>
    <m/>
    <m/>
    <m/>
    <m/>
    <m/>
    <m/>
    <m/>
    <m/>
    <m/>
    <m/>
    <m/>
    <m/>
    <m/>
    <s v="bf4360b6-6719-4620-8a0e-68ab38df88f5"/>
    <d v="2021-03-19T15:18:54"/>
    <s v="ccber_user"/>
    <d v="2021-03-19T15:18:54"/>
    <s v="ccber_user"/>
    <n v="-119.876409156251"/>
    <n v="34.418589084280001"/>
  </r>
  <r>
    <n v="27"/>
    <d v="2021-03-19T00:00:00"/>
    <d v="2021-03-19T08:35:53"/>
    <x v="2"/>
    <n v="1"/>
    <x v="0"/>
    <s v="Air"/>
    <m/>
    <m/>
    <m/>
    <m/>
    <x v="1"/>
    <m/>
    <m/>
    <m/>
    <m/>
    <m/>
    <m/>
    <m/>
    <m/>
    <m/>
    <m/>
    <m/>
    <m/>
    <m/>
    <m/>
    <m/>
    <s v="f4a74ff3-040a-4411-9b83-c1377851d4cd"/>
    <d v="2021-03-19T15:35:53"/>
    <s v="ccber_user"/>
    <d v="2021-03-19T15:35:53"/>
    <s v="ccber_user"/>
    <n v="-119.88156967931801"/>
    <n v="34.418319335933496"/>
  </r>
  <r>
    <n v="47"/>
    <d v="2021-03-19T00:00:00"/>
    <d v="2021-03-19T09:03:47"/>
    <x v="2"/>
    <n v="2"/>
    <x v="0"/>
    <s v="Air"/>
    <m/>
    <m/>
    <m/>
    <m/>
    <x v="1"/>
    <m/>
    <m/>
    <m/>
    <m/>
    <m/>
    <m/>
    <m/>
    <m/>
    <m/>
    <m/>
    <m/>
    <m/>
    <m/>
    <m/>
    <m/>
    <s v="92cbcbee-3e66-4ede-b0d0-c7832fb3e5c3"/>
    <d v="2021-03-19T16:03:47"/>
    <s v="ccber_user"/>
    <d v="2021-03-19T16:03:47"/>
    <s v="ccber_user"/>
    <n v="-119.87766943150901"/>
    <n v="34.420395995383601"/>
  </r>
  <r>
    <n v="167"/>
    <d v="2021-03-19T00:00:00"/>
    <d v="2021-03-19T09:19:50"/>
    <x v="2"/>
    <n v="2"/>
    <x v="0"/>
    <s v="Vegetation - Tree"/>
    <m/>
    <m/>
    <m/>
    <m/>
    <x v="0"/>
    <m/>
    <m/>
    <m/>
    <m/>
    <m/>
    <m/>
    <m/>
    <m/>
    <m/>
    <m/>
    <m/>
    <m/>
    <m/>
    <m/>
    <m/>
    <s v="3cd14f67-cb25-4cef-b40f-0dd6fd68cded"/>
    <d v="2021-03-19T16:19:50"/>
    <s v="ccber_user"/>
    <d v="2021-03-19T16:19:50"/>
    <s v="ccber_user"/>
    <n v="-119.878762300324"/>
    <n v="34.421479716334296"/>
  </r>
  <r>
    <n v="61"/>
    <d v="2021-03-19T00:00:00"/>
    <d v="2021-03-19T09:26:15"/>
    <x v="2"/>
    <n v="3"/>
    <x v="0"/>
    <s v="Air"/>
    <m/>
    <m/>
    <m/>
    <m/>
    <x v="1"/>
    <m/>
    <m/>
    <m/>
    <m/>
    <m/>
    <m/>
    <m/>
    <m/>
    <m/>
    <m/>
    <m/>
    <m/>
    <m/>
    <m/>
    <m/>
    <s v="f4678e9d-c1cf-4001-815c-1998786d86ab"/>
    <d v="2021-03-19T16:26:15"/>
    <s v="ccber_user"/>
    <d v="2021-03-19T16:26:15"/>
    <s v="ccber_user"/>
    <n v="-119.880892695445"/>
    <n v="34.421091720891901"/>
  </r>
  <r>
    <n v="130"/>
    <d v="2021-03-19T00:00:00"/>
    <d v="2021-03-19T08:33:48"/>
    <x v="3"/>
    <n v="2"/>
    <x v="0"/>
    <s v="Air"/>
    <m/>
    <m/>
    <m/>
    <m/>
    <x v="0"/>
    <m/>
    <m/>
    <m/>
    <m/>
    <m/>
    <m/>
    <m/>
    <m/>
    <m/>
    <m/>
    <m/>
    <m/>
    <m/>
    <m/>
    <m/>
    <s v="14f6b57c-d19a-4932-98a5-0987d14ea0d6"/>
    <d v="2021-03-19T15:33:48"/>
    <s v="ccber_user"/>
    <d v="2021-03-19T15:33:48"/>
    <s v="ccber_user"/>
    <n v="-119.871820400083"/>
    <n v="34.422198516939503"/>
  </r>
  <r>
    <n v="30"/>
    <d v="2021-03-19T00:00:00"/>
    <d v="2021-03-19T08:41:14"/>
    <x v="3"/>
    <n v="40"/>
    <x v="0"/>
    <s v="Bare ground"/>
    <m/>
    <m/>
    <m/>
    <m/>
    <x v="1"/>
    <m/>
    <m/>
    <m/>
    <m/>
    <m/>
    <m/>
    <m/>
    <m/>
    <m/>
    <m/>
    <m/>
    <m/>
    <m/>
    <m/>
    <m/>
    <s v="8a386ec7-952b-4865-8623-4e85afe32a0a"/>
    <d v="2021-03-19T15:41:14"/>
    <s v="ccber_user"/>
    <d v="2021-03-19T15:43:08"/>
    <s v="ccber_user"/>
    <n v="-119.880448580945"/>
    <n v="34.419843954102298"/>
  </r>
  <r>
    <n v="32"/>
    <d v="2021-03-19T00:00:00"/>
    <d v="2021-03-19T08:44:28"/>
    <x v="3"/>
    <n v="5"/>
    <x v="0"/>
    <s v="Bare ground"/>
    <m/>
    <m/>
    <m/>
    <m/>
    <x v="1"/>
    <m/>
    <m/>
    <m/>
    <m/>
    <m/>
    <m/>
    <m/>
    <m/>
    <m/>
    <m/>
    <m/>
    <m/>
    <m/>
    <m/>
    <m/>
    <s v="8334c066-b1fe-4048-8aea-ee98fba8611a"/>
    <d v="2021-03-19T15:44:28"/>
    <s v="ccber_user"/>
    <d v="2021-03-19T15:44:28"/>
    <s v="ccber_user"/>
    <n v="-119.87984535235"/>
    <n v="34.419909596549402"/>
  </r>
  <r>
    <n v="152"/>
    <d v="2021-03-19T00:00:00"/>
    <d v="2021-03-19T08:56:01"/>
    <x v="3"/>
    <n v="1"/>
    <x v="0"/>
    <s v="Air"/>
    <m/>
    <m/>
    <m/>
    <m/>
    <x v="0"/>
    <m/>
    <m/>
    <m/>
    <m/>
    <m/>
    <m/>
    <m/>
    <m/>
    <m/>
    <m/>
    <m/>
    <m/>
    <m/>
    <m/>
    <m/>
    <s v="6896cef6-1beb-403b-92f3-9db4b02d9a71"/>
    <d v="2021-03-19T15:56:01"/>
    <s v="ccber_user"/>
    <d v="2021-03-19T15:56:01"/>
    <s v="ccber_user"/>
    <n v="-119.876469765583"/>
    <n v="34.420541027691399"/>
  </r>
  <r>
    <n v="178"/>
    <d v="2021-03-19T00:00:00"/>
    <d v="2021-03-19T09:33:01"/>
    <x v="4"/>
    <n v="2"/>
    <x v="0"/>
    <s v="Water - Floating"/>
    <m/>
    <m/>
    <m/>
    <m/>
    <x v="0"/>
    <m/>
    <m/>
    <m/>
    <m/>
    <m/>
    <m/>
    <m/>
    <m/>
    <m/>
    <m/>
    <m/>
    <m/>
    <m/>
    <m/>
    <m/>
    <s v="b0c1bd0c-9952-4e33-849d-2460d9ad5437"/>
    <d v="2021-03-19T16:33:01"/>
    <s v="ccber_user"/>
    <d v="2021-03-19T16:33:01"/>
    <s v="ccber_user"/>
    <n v="-119.88036796703"/>
    <n v="34.421573633378102"/>
  </r>
  <r>
    <n v="102"/>
    <d v="2021-03-19T00:00:00"/>
    <d v="2021-03-19T08:06:20"/>
    <x v="5"/>
    <n v="2"/>
    <x v="0"/>
    <s v="Vegetation - Shrub"/>
    <m/>
    <m/>
    <m/>
    <m/>
    <x v="0"/>
    <m/>
    <m/>
    <m/>
    <m/>
    <m/>
    <m/>
    <m/>
    <m/>
    <m/>
    <m/>
    <m/>
    <m/>
    <m/>
    <m/>
    <m/>
    <s v="12ead5db-567a-4874-9c50-ffc6fdbd6135"/>
    <d v="2021-03-19T15:06:20"/>
    <s v="ccber_user"/>
    <d v="2021-03-19T15:06:20"/>
    <s v="ccber_user"/>
    <n v="-119.873514710744"/>
    <n v="34.418650166569101"/>
  </r>
  <r>
    <n v="12"/>
    <d v="2021-03-19T00:00:00"/>
    <d v="2021-03-19T08:10:10"/>
    <x v="5"/>
    <n v="1"/>
    <x v="0"/>
    <s v="Vegetation - Tree"/>
    <m/>
    <m/>
    <m/>
    <m/>
    <x v="1"/>
    <m/>
    <m/>
    <m/>
    <m/>
    <m/>
    <m/>
    <m/>
    <m/>
    <m/>
    <m/>
    <m/>
    <m/>
    <m/>
    <m/>
    <m/>
    <s v="4f8c342f-dede-44fc-b8c1-89bc1c2f38f4"/>
    <d v="2021-03-19T15:10:10"/>
    <s v="ccber_user"/>
    <d v="2021-03-19T15:10:10"/>
    <s v="ccber_user"/>
    <n v="-119.876257707481"/>
    <n v="34.417795003792001"/>
  </r>
  <r>
    <n v="14"/>
    <d v="2021-03-19T00:00:00"/>
    <d v="2021-03-19T08:11:44"/>
    <x v="5"/>
    <n v="1"/>
    <x v="0"/>
    <s v="Vegetation - Tree"/>
    <m/>
    <m/>
    <m/>
    <m/>
    <x v="1"/>
    <m/>
    <m/>
    <m/>
    <m/>
    <m/>
    <m/>
    <m/>
    <m/>
    <m/>
    <m/>
    <m/>
    <m/>
    <m/>
    <m/>
    <m/>
    <s v="202ba4c6-a6c1-45ab-a7dc-04bac13a35f8"/>
    <d v="2021-03-19T15:11:44"/>
    <s v="ccber_user"/>
    <d v="2021-03-19T15:11:44"/>
    <s v="ccber_user"/>
    <n v="-119.87619353363399"/>
    <n v="34.417733594814102"/>
  </r>
  <r>
    <n v="127"/>
    <d v="2021-03-19T00:00:00"/>
    <d v="2021-03-19T08:30:14"/>
    <x v="5"/>
    <n v="1"/>
    <x v="0"/>
    <s v="Vegetation - Tree"/>
    <m/>
    <m/>
    <m/>
    <m/>
    <x v="0"/>
    <m/>
    <m/>
    <m/>
    <m/>
    <m/>
    <m/>
    <m/>
    <m/>
    <m/>
    <m/>
    <m/>
    <m/>
    <m/>
    <m/>
    <m/>
    <s v="9e4348ef-9a3f-4d66-971c-830c23f70648"/>
    <d v="2021-03-19T15:30:14"/>
    <s v="ccber_user"/>
    <d v="2021-03-19T15:30:14"/>
    <s v="ccber_user"/>
    <n v="-119.87141023022301"/>
    <n v="34.421473971933501"/>
  </r>
  <r>
    <n v="146"/>
    <d v="2021-03-19T00:00:00"/>
    <d v="2021-03-19T08:50:11"/>
    <x v="5"/>
    <n v="1"/>
    <x v="0"/>
    <s v="Air"/>
    <m/>
    <m/>
    <m/>
    <m/>
    <x v="0"/>
    <m/>
    <m/>
    <m/>
    <m/>
    <m/>
    <m/>
    <m/>
    <m/>
    <m/>
    <m/>
    <m/>
    <m/>
    <m/>
    <m/>
    <m/>
    <s v="79dc2266-ce6f-46b2-9b09-b3bb427b94be"/>
    <d v="2021-03-19T15:50:11"/>
    <s v="ccber_user"/>
    <d v="2021-03-19T15:50:11"/>
    <s v="ccber_user"/>
    <n v="-119.874432143974"/>
    <n v="34.421602038928199"/>
  </r>
  <r>
    <n v="151"/>
    <d v="2021-03-19T00:00:00"/>
    <d v="2021-03-19T08:55:38"/>
    <x v="5"/>
    <n v="1"/>
    <x v="0"/>
    <s v="Air"/>
    <m/>
    <m/>
    <m/>
    <m/>
    <x v="0"/>
    <m/>
    <m/>
    <m/>
    <m/>
    <m/>
    <m/>
    <m/>
    <m/>
    <m/>
    <m/>
    <m/>
    <m/>
    <m/>
    <m/>
    <m/>
    <s v="1bad1a8a-11d2-4210-a034-edaf92d5d26b"/>
    <d v="2021-03-19T15:55:38"/>
    <s v="ccber_user"/>
    <d v="2021-03-19T15:55:38"/>
    <s v="ccber_user"/>
    <n v="-119.87607121633"/>
    <n v="34.420465766420598"/>
  </r>
  <r>
    <n v="43"/>
    <d v="2021-03-19T00:00:00"/>
    <d v="2021-03-19T08:59:39"/>
    <x v="5"/>
    <n v="1"/>
    <x v="0"/>
    <s v="Vegetation - Tree"/>
    <m/>
    <m/>
    <m/>
    <m/>
    <x v="1"/>
    <m/>
    <m/>
    <m/>
    <m/>
    <m/>
    <m/>
    <m/>
    <m/>
    <m/>
    <m/>
    <m/>
    <m/>
    <m/>
    <m/>
    <m/>
    <s v="4515a66c-22fc-4843-8ea2-6764f63ebc4c"/>
    <d v="2021-03-19T15:59:39"/>
    <s v="ccber_user"/>
    <d v="2021-03-19T15:59:39"/>
    <s v="ccber_user"/>
    <n v="-119.877760701241"/>
    <n v="34.419517617404999"/>
  </r>
  <r>
    <n v="52"/>
    <d v="2021-03-19T00:00:00"/>
    <d v="2021-03-19T09:13:34"/>
    <x v="5"/>
    <n v="1"/>
    <x v="0"/>
    <s v="Air"/>
    <m/>
    <m/>
    <m/>
    <m/>
    <x v="1"/>
    <m/>
    <m/>
    <m/>
    <m/>
    <m/>
    <m/>
    <m/>
    <m/>
    <m/>
    <m/>
    <m/>
    <m/>
    <m/>
    <m/>
    <m/>
    <s v="13a07572-e6ce-4ef8-a85d-e4c708b046e7"/>
    <d v="2021-03-19T16:13:34"/>
    <s v="ccber_user"/>
    <d v="2021-03-19T16:13:34"/>
    <s v="ccber_user"/>
    <n v="-119.87895402506101"/>
    <n v="34.420718636107701"/>
  </r>
  <r>
    <n v="172"/>
    <d v="2021-03-19T00:00:00"/>
    <d v="2021-03-19T09:29:17"/>
    <x v="5"/>
    <n v="1"/>
    <x v="0"/>
    <s v="Vegetation - Herbaceous"/>
    <m/>
    <m/>
    <m/>
    <m/>
    <x v="0"/>
    <m/>
    <m/>
    <m/>
    <m/>
    <m/>
    <m/>
    <m/>
    <m/>
    <m/>
    <m/>
    <m/>
    <m/>
    <m/>
    <m/>
    <m/>
    <s v="c14af356-71d6-4d0a-9db4-db3fe628b9b5"/>
    <d v="2021-03-19T16:29:17"/>
    <s v="ccber_user"/>
    <d v="2021-03-19T16:29:17"/>
    <s v="ccber_user"/>
    <n v="-119.879275531202"/>
    <n v="34.421138987911199"/>
  </r>
  <r>
    <n v="70"/>
    <d v="2021-03-19T00:00:00"/>
    <d v="2021-03-19T09:33:46"/>
    <x v="5"/>
    <n v="1"/>
    <x v="0"/>
    <s v="Vegetation - Tree"/>
    <m/>
    <m/>
    <m/>
    <m/>
    <x v="1"/>
    <m/>
    <m/>
    <m/>
    <m/>
    <m/>
    <m/>
    <m/>
    <m/>
    <m/>
    <m/>
    <m/>
    <m/>
    <m/>
    <m/>
    <m/>
    <s v="e3a540d2-8af7-41c1-bed7-f3c823e921db"/>
    <d v="2021-03-19T16:33:46"/>
    <s v="ccber_user"/>
    <d v="2021-03-19T16:33:46"/>
    <s v="ccber_user"/>
    <n v="-119.881709200258"/>
    <n v="34.420835572545599"/>
  </r>
  <r>
    <n v="179"/>
    <d v="2021-03-19T00:00:00"/>
    <d v="2021-03-19T09:36:12"/>
    <x v="5"/>
    <n v="1"/>
    <x v="0"/>
    <s v="Vegetation - Tree"/>
    <m/>
    <m/>
    <m/>
    <m/>
    <x v="0"/>
    <m/>
    <m/>
    <m/>
    <m/>
    <m/>
    <m/>
    <m/>
    <m/>
    <m/>
    <m/>
    <m/>
    <m/>
    <m/>
    <m/>
    <m/>
    <s v="3180c14d-bda0-4f30-bd60-9388df9f945b"/>
    <d v="2021-03-19T16:36:12"/>
    <s v="ccber_user"/>
    <d v="2021-03-19T16:36:12"/>
    <s v="ccber_user"/>
    <n v="-119.881332436048"/>
    <n v="34.4220468576302"/>
  </r>
  <r>
    <n v="185"/>
    <d v="2021-03-19T00:00:00"/>
    <d v="2021-03-19T09:41:24"/>
    <x v="5"/>
    <n v="1"/>
    <x v="0"/>
    <s v="Vegetation - Tree"/>
    <m/>
    <m/>
    <m/>
    <m/>
    <x v="0"/>
    <m/>
    <m/>
    <m/>
    <m/>
    <m/>
    <m/>
    <m/>
    <m/>
    <m/>
    <m/>
    <m/>
    <m/>
    <m/>
    <m/>
    <m/>
    <s v="4c5a883c-fab9-4281-9ec1-e7163ede97d2"/>
    <d v="2021-03-19T16:41:24"/>
    <s v="ccber_user"/>
    <d v="2021-03-19T16:41:24"/>
    <s v="ccber_user"/>
    <n v="-119.88283735040601"/>
    <n v="34.421728983082097"/>
  </r>
  <r>
    <n v="3"/>
    <d v="2021-03-19T00:00:00"/>
    <d v="2021-03-19T08:02:17"/>
    <x v="6"/>
    <n v="1"/>
    <x v="0"/>
    <s v="Vegetation - Herbaceous"/>
    <m/>
    <m/>
    <m/>
    <m/>
    <x v="1"/>
    <m/>
    <m/>
    <m/>
    <m/>
    <m/>
    <m/>
    <m/>
    <m/>
    <m/>
    <m/>
    <m/>
    <m/>
    <m/>
    <m/>
    <m/>
    <s v="5cd45c79-2333-4a88-904f-c94de7ccadd3"/>
    <d v="2021-03-19T15:02:17"/>
    <s v="ccber_user"/>
    <d v="2021-03-19T15:02:17"/>
    <s v="ccber_user"/>
    <n v="-119.87462513982599"/>
    <n v="34.418165174469102"/>
  </r>
  <r>
    <n v="5"/>
    <d v="2021-03-19T00:00:00"/>
    <d v="2021-03-19T08:05:01"/>
    <x v="6"/>
    <n v="1"/>
    <x v="0"/>
    <s v="Bare ground"/>
    <m/>
    <m/>
    <m/>
    <m/>
    <x v="1"/>
    <m/>
    <m/>
    <m/>
    <m/>
    <m/>
    <m/>
    <m/>
    <m/>
    <m/>
    <m/>
    <m/>
    <m/>
    <m/>
    <m/>
    <m/>
    <s v="3a9f9567-c81d-4951-878f-ddde698a8c40"/>
    <d v="2021-03-19T15:05:01"/>
    <s v="ccber_user"/>
    <d v="2021-03-19T15:05:01"/>
    <s v="ccber_user"/>
    <n v="-119.87619866750499"/>
    <n v="34.417913186324"/>
  </r>
  <r>
    <n v="26"/>
    <d v="2021-03-19T00:00:00"/>
    <d v="2021-03-19T08:30:59"/>
    <x v="6"/>
    <n v="1"/>
    <x v="0"/>
    <s v="Vegetation - Shrub"/>
    <m/>
    <m/>
    <m/>
    <m/>
    <x v="1"/>
    <m/>
    <m/>
    <m/>
    <m/>
    <m/>
    <m/>
    <m/>
    <m/>
    <m/>
    <m/>
    <m/>
    <m/>
    <m/>
    <m/>
    <m/>
    <s v="b63dbd9a-39eb-447d-a11f-f2b363deb4cc"/>
    <d v="2021-03-19T15:30:59"/>
    <s v="ccber_user"/>
    <d v="2021-03-19T15:30:59"/>
    <s v="ccber_user"/>
    <n v="-119.879593143148"/>
    <n v="34.417671364701597"/>
  </r>
  <r>
    <n v="143"/>
    <d v="2021-03-19T00:00:00"/>
    <d v="2021-03-19T08:46:50"/>
    <x v="6"/>
    <n v="1"/>
    <x v="0"/>
    <s v="Vegetation - Herbaceous"/>
    <m/>
    <m/>
    <m/>
    <m/>
    <x v="0"/>
    <m/>
    <m/>
    <m/>
    <m/>
    <m/>
    <m/>
    <m/>
    <m/>
    <m/>
    <m/>
    <m/>
    <m/>
    <m/>
    <m/>
    <m/>
    <s v="89a21051-bb9f-414d-8863-1f2a74cad801"/>
    <d v="2021-03-19T15:46:50"/>
    <s v="ccber_user"/>
    <d v="2021-03-19T15:46:50"/>
    <s v="ccber_user"/>
    <n v="-119.873513842073"/>
    <n v="34.421798926405202"/>
  </r>
  <r>
    <n v="150"/>
    <d v="2021-03-19T00:00:00"/>
    <d v="2021-03-19T08:55:25"/>
    <x v="6"/>
    <n v="1"/>
    <x v="0"/>
    <s v="Vegetation - Tree"/>
    <m/>
    <m/>
    <m/>
    <m/>
    <x v="0"/>
    <m/>
    <m/>
    <m/>
    <m/>
    <m/>
    <m/>
    <m/>
    <m/>
    <m/>
    <m/>
    <m/>
    <m/>
    <m/>
    <m/>
    <m/>
    <s v="124a2efd-0fd3-42ff-a034-9493a4497302"/>
    <d v="2021-03-19T15:55:25"/>
    <s v="ccber_user"/>
    <d v="2021-03-19T15:55:25"/>
    <s v="ccber_user"/>
    <n v="-119.875864225623"/>
    <n v="34.420905638144497"/>
  </r>
  <r>
    <n v="156"/>
    <d v="2021-03-19T00:00:00"/>
    <d v="2021-03-19T09:00:48"/>
    <x v="6"/>
    <n v="1"/>
    <x v="0"/>
    <s v="Vegetation - Tree"/>
    <m/>
    <m/>
    <m/>
    <m/>
    <x v="0"/>
    <m/>
    <m/>
    <m/>
    <m/>
    <m/>
    <m/>
    <m/>
    <m/>
    <m/>
    <m/>
    <m/>
    <m/>
    <m/>
    <m/>
    <m/>
    <s v="da5512b6-9794-4c9e-bf76-90198997c24d"/>
    <d v="2021-03-19T16:00:48"/>
    <s v="ccber_user"/>
    <d v="2021-03-19T16:00:48"/>
    <s v="ccber_user"/>
    <n v="-119.877588027077"/>
    <n v="34.421405150987503"/>
  </r>
  <r>
    <n v="46"/>
    <d v="2021-03-19T00:00:00"/>
    <d v="2021-03-19T09:02:12"/>
    <x v="6"/>
    <n v="1"/>
    <x v="0"/>
    <s v="Habitat Feature - Log"/>
    <m/>
    <m/>
    <m/>
    <m/>
    <x v="1"/>
    <m/>
    <m/>
    <m/>
    <m/>
    <m/>
    <m/>
    <m/>
    <m/>
    <m/>
    <m/>
    <m/>
    <m/>
    <m/>
    <m/>
    <m/>
    <s v="44011405-7038-4681-b652-5bad853850d4"/>
    <d v="2021-03-19T16:02:12"/>
    <s v="ccber_user"/>
    <d v="2021-03-19T16:02:12"/>
    <s v="ccber_user"/>
    <n v="-119.8772000474"/>
    <n v="34.4200554011177"/>
  </r>
  <r>
    <n v="171"/>
    <d v="2021-03-19T00:00:00"/>
    <d v="2021-03-19T09:29:00"/>
    <x v="6"/>
    <n v="1"/>
    <x v="0"/>
    <s v="Vegetation - Herbaceous"/>
    <m/>
    <m/>
    <m/>
    <m/>
    <x v="0"/>
    <m/>
    <m/>
    <m/>
    <m/>
    <m/>
    <m/>
    <m/>
    <m/>
    <m/>
    <m/>
    <m/>
    <m/>
    <m/>
    <m/>
    <m/>
    <s v="abedcba0-a61d-472d-a9fa-182f570727f9"/>
    <d v="2021-03-19T16:29:00"/>
    <s v="ccber_user"/>
    <d v="2021-03-19T16:29:00"/>
    <s v="ccber_user"/>
    <n v="-119.879409333467"/>
    <n v="34.4216333500095"/>
  </r>
  <r>
    <n v="74"/>
    <d v="2021-03-19T00:00:00"/>
    <d v="2021-03-19T09:37:45"/>
    <x v="6"/>
    <n v="1"/>
    <x v="0"/>
    <s v="Vegetation - Tree"/>
    <m/>
    <m/>
    <m/>
    <m/>
    <x v="1"/>
    <m/>
    <m/>
    <m/>
    <m/>
    <m/>
    <m/>
    <m/>
    <m/>
    <m/>
    <m/>
    <m/>
    <m/>
    <m/>
    <m/>
    <m/>
    <s v="87822748-2063-4465-9700-ed4eb212db78"/>
    <d v="2021-03-19T16:37:45"/>
    <s v="ccber_user"/>
    <d v="2021-03-19T16:37:45"/>
    <s v="ccber_user"/>
    <n v="-119.881811877695"/>
    <n v="34.4208821572239"/>
  </r>
  <r>
    <n v="140"/>
    <d v="2021-03-19T00:00:00"/>
    <d v="2021-03-19T08:40:17"/>
    <x v="7"/>
    <n v="3"/>
    <x v="0"/>
    <s v="Water - Wading"/>
    <m/>
    <m/>
    <m/>
    <m/>
    <x v="0"/>
    <m/>
    <m/>
    <m/>
    <m/>
    <m/>
    <m/>
    <m/>
    <m/>
    <m/>
    <m/>
    <m/>
    <m/>
    <m/>
    <m/>
    <m/>
    <s v="f5d5aa40-39ab-4490-9040-fcb2fe8b33ad"/>
    <d v="2021-03-19T15:40:17"/>
    <s v="ccber_user"/>
    <d v="2021-03-19T15:46:25"/>
    <s v="ccber_user"/>
    <n v="-119.87341218152901"/>
    <n v="34.421806218031101"/>
  </r>
  <r>
    <n v="38"/>
    <d v="2021-03-19T00:00:00"/>
    <d v="2021-03-19T08:53:58"/>
    <x v="7"/>
    <m/>
    <x v="0"/>
    <s v="Air"/>
    <m/>
    <m/>
    <s v="Observation excluded following survey review as it is considered to be a mistake. Removed from spatial data."/>
    <m/>
    <x v="1"/>
    <m/>
    <m/>
    <m/>
    <m/>
    <m/>
    <m/>
    <m/>
    <m/>
    <m/>
    <m/>
    <m/>
    <m/>
    <m/>
    <m/>
    <m/>
    <s v="bb4fbc09-cc30-4798-b41d-e1723176cda1"/>
    <d v="2021-03-19T15:53:58"/>
    <s v="ccber_user"/>
    <d v="2021-03-19T15:53:58"/>
    <s v="ccber_user"/>
    <n v="-119.876911351326"/>
    <n v="34.419996414760703"/>
  </r>
  <r>
    <n v="11"/>
    <d v="2021-03-19T00:00:00"/>
    <d v="2021-03-19T08:09:47"/>
    <x v="8"/>
    <n v="1"/>
    <x v="0"/>
    <s v="Vegetation - Shrub"/>
    <m/>
    <m/>
    <m/>
    <m/>
    <x v="1"/>
    <m/>
    <m/>
    <m/>
    <m/>
    <m/>
    <m/>
    <m/>
    <m/>
    <m/>
    <m/>
    <m/>
    <m/>
    <m/>
    <m/>
    <m/>
    <s v="c0858d25-3076-4faa-9967-d540135ac6f0"/>
    <d v="2021-03-19T15:09:47"/>
    <s v="ccber_user"/>
    <d v="2021-03-19T15:09:47"/>
    <s v="ccber_user"/>
    <n v="-119.87521553419"/>
    <n v="34.417305846428597"/>
  </r>
  <r>
    <n v="39"/>
    <d v="2021-03-19T00:00:00"/>
    <d v="2021-03-19T08:54:41"/>
    <x v="8"/>
    <n v="1"/>
    <x v="0"/>
    <s v="Vegetation - Tree"/>
    <m/>
    <m/>
    <m/>
    <m/>
    <x v="1"/>
    <m/>
    <m/>
    <m/>
    <m/>
    <m/>
    <m/>
    <m/>
    <m/>
    <m/>
    <m/>
    <m/>
    <m/>
    <m/>
    <m/>
    <m/>
    <s v="044271ad-7f1f-4812-adb5-3cf5b5039a32"/>
    <d v="2021-03-19T15:54:41"/>
    <s v="ccber_user"/>
    <d v="2021-03-19T15:54:41"/>
    <s v="ccber_user"/>
    <n v="-119.877743036769"/>
    <n v="34.419435283470001"/>
  </r>
  <r>
    <n v="24"/>
    <d v="2021-03-19T00:00:00"/>
    <d v="2021-03-19T08:30:18"/>
    <x v="9"/>
    <n v="1"/>
    <x v="0"/>
    <s v="Bare ground"/>
    <m/>
    <m/>
    <m/>
    <m/>
    <x v="1"/>
    <m/>
    <m/>
    <m/>
    <m/>
    <m/>
    <m/>
    <m/>
    <m/>
    <m/>
    <m/>
    <m/>
    <m/>
    <m/>
    <m/>
    <m/>
    <s v="0b687438-2a9c-471c-84aa-807be1c7df19"/>
    <d v="2021-03-19T15:30:18"/>
    <s v="ccber_user"/>
    <d v="2021-03-19T15:30:18"/>
    <s v="ccber_user"/>
    <n v="-119.879700954456"/>
    <n v="34.419001182670101"/>
  </r>
  <r>
    <n v="35"/>
    <d v="2021-03-19T00:00:00"/>
    <d v="2021-03-19T08:49:51"/>
    <x v="9"/>
    <n v="1"/>
    <x v="0"/>
    <s v="Habitat Feature - Hibernacula"/>
    <m/>
    <m/>
    <s v="both in abs"/>
    <m/>
    <x v="1"/>
    <m/>
    <m/>
    <m/>
    <m/>
    <m/>
    <m/>
    <m/>
    <m/>
    <m/>
    <m/>
    <m/>
    <m/>
    <m/>
    <m/>
    <m/>
    <s v="a7c3339d-a033-47f6-b755-1a00f7896f91"/>
    <d v="2021-03-19T15:49:51"/>
    <s v="ccber_user"/>
    <d v="2021-03-19T15:49:51"/>
    <s v="ccber_user"/>
    <n v="-119.880112312788"/>
    <n v="34.419151526966097"/>
  </r>
  <r>
    <n v="131"/>
    <d v="2021-03-19T00:00:00"/>
    <d v="2021-03-19T08:34:57"/>
    <x v="10"/>
    <n v="4"/>
    <x v="0"/>
    <s v="Vegetation - Tree"/>
    <m/>
    <m/>
    <m/>
    <m/>
    <x v="0"/>
    <m/>
    <m/>
    <m/>
    <m/>
    <m/>
    <m/>
    <m/>
    <m/>
    <m/>
    <m/>
    <m/>
    <m/>
    <m/>
    <m/>
    <m/>
    <s v="958d927d-eb5b-41a9-8e6c-198849258335"/>
    <d v="2021-03-19T15:34:57"/>
    <s v="ccber_user"/>
    <d v="2021-03-19T15:34:57"/>
    <s v="ccber_user"/>
    <n v="-119.872068500392"/>
    <n v="34.422642983451802"/>
  </r>
  <r>
    <n v="192"/>
    <d v="2021-03-19T00:00:00"/>
    <d v="2021-03-19T09:47:51"/>
    <x v="10"/>
    <n v="2"/>
    <x v="0"/>
    <s v="Vegetation - Tree"/>
    <m/>
    <m/>
    <m/>
    <m/>
    <x v="0"/>
    <m/>
    <m/>
    <m/>
    <m/>
    <m/>
    <m/>
    <m/>
    <m/>
    <m/>
    <m/>
    <m/>
    <m/>
    <m/>
    <m/>
    <m/>
    <s v="a3e455b9-b5c1-4d4a-9acc-257d36abd01b"/>
    <d v="2021-03-19T16:47:51"/>
    <s v="ccber_user"/>
    <d v="2021-03-19T16:47:51"/>
    <s v="ccber_user"/>
    <n v="-119.88365475982199"/>
    <n v="34.421683209551503"/>
  </r>
  <r>
    <n v="37"/>
    <d v="2021-03-19T00:00:00"/>
    <d v="2021-03-19T08:52:39"/>
    <x v="11"/>
    <n v="1"/>
    <x v="0"/>
    <s v="Vegetation - Shrub"/>
    <m/>
    <m/>
    <m/>
    <m/>
    <x v="1"/>
    <m/>
    <m/>
    <m/>
    <m/>
    <m/>
    <m/>
    <m/>
    <m/>
    <m/>
    <m/>
    <m/>
    <m/>
    <m/>
    <m/>
    <m/>
    <s v="bb117af0-e6c3-4d83-94d2-cdd77760898d"/>
    <d v="2021-03-19T15:52:39"/>
    <s v="ccber_user"/>
    <d v="2021-03-19T15:52:39"/>
    <s v="ccber_user"/>
    <n v="-119.880263761558"/>
    <n v="34.417218214704597"/>
  </r>
  <r>
    <n v="190"/>
    <d v="2021-03-19T00:00:00"/>
    <d v="2021-03-19T09:45:32"/>
    <x v="12"/>
    <n v="2"/>
    <x v="0"/>
    <s v="Vegetation - Shrub"/>
    <m/>
    <m/>
    <m/>
    <m/>
    <x v="0"/>
    <m/>
    <m/>
    <m/>
    <m/>
    <m/>
    <m/>
    <m/>
    <m/>
    <m/>
    <m/>
    <m/>
    <m/>
    <m/>
    <m/>
    <m/>
    <s v="d63ea408-a19c-4a19-959a-2dd890637c1d"/>
    <d v="2021-03-19T16:45:32"/>
    <s v="ccber_user"/>
    <d v="2021-03-19T16:45:32"/>
    <s v="ccber_user"/>
    <n v="-119.88383957831"/>
    <n v="34.421549809552303"/>
  </r>
  <r>
    <n v="83"/>
    <d v="2021-03-19T00:00:00"/>
    <d v="2021-03-19T09:51:31"/>
    <x v="12"/>
    <n v="1"/>
    <x v="0"/>
    <s v="Bare ground"/>
    <m/>
    <m/>
    <m/>
    <m/>
    <x v="1"/>
    <m/>
    <m/>
    <m/>
    <m/>
    <m/>
    <m/>
    <m/>
    <m/>
    <m/>
    <m/>
    <m/>
    <m/>
    <m/>
    <m/>
    <m/>
    <s v="85b8b49e-ea25-4a81-a531-523c8a69976c"/>
    <d v="2021-03-19T16:51:31"/>
    <s v="ccber_user"/>
    <d v="2021-03-19T16:51:31"/>
    <s v="ccber_user"/>
    <n v="-119.88420504979899"/>
    <n v="34.421122847649201"/>
  </r>
  <r>
    <n v="108"/>
    <d v="2021-03-19T00:00:00"/>
    <d v="2021-03-19T08:13:05"/>
    <x v="13"/>
    <n v="2"/>
    <x v="0"/>
    <s v="Water - Floating"/>
    <m/>
    <m/>
    <m/>
    <m/>
    <x v="0"/>
    <m/>
    <m/>
    <m/>
    <m/>
    <m/>
    <m/>
    <m/>
    <m/>
    <m/>
    <m/>
    <m/>
    <m/>
    <m/>
    <m/>
    <m/>
    <s v="795b5b8c-0169-443c-a75d-82eb2ff144ad"/>
    <d v="2021-03-19T15:13:05"/>
    <s v="ccber_user"/>
    <d v="2021-03-19T15:13:05"/>
    <s v="ccber_user"/>
    <n v="-119.875665936898"/>
    <n v="34.4195252478847"/>
  </r>
  <r>
    <n v="19"/>
    <d v="2021-03-19T00:00:00"/>
    <d v="2021-03-19T08:19:23"/>
    <x v="13"/>
    <n v="2"/>
    <x v="0"/>
    <s v="Vegetation - Herbaceous"/>
    <m/>
    <m/>
    <m/>
    <m/>
    <x v="1"/>
    <m/>
    <m/>
    <m/>
    <m/>
    <m/>
    <m/>
    <m/>
    <m/>
    <m/>
    <m/>
    <m/>
    <m/>
    <m/>
    <m/>
    <m/>
    <s v="75633e3a-1afe-47b8-abf3-9071806156f3"/>
    <d v="2021-03-19T15:19:23"/>
    <s v="ccber_user"/>
    <d v="2021-03-19T15:19:23"/>
    <s v="ccber_user"/>
    <n v="-119.87720747107799"/>
    <n v="34.4195885563107"/>
  </r>
  <r>
    <n v="40"/>
    <d v="2021-03-19T00:00:00"/>
    <d v="2021-03-19T08:55:14"/>
    <x v="13"/>
    <n v="2"/>
    <x v="0"/>
    <s v="Air"/>
    <m/>
    <m/>
    <m/>
    <m/>
    <x v="1"/>
    <m/>
    <m/>
    <m/>
    <m/>
    <m/>
    <m/>
    <m/>
    <m/>
    <m/>
    <m/>
    <m/>
    <m/>
    <m/>
    <m/>
    <m/>
    <s v="aa32a6a6-a2a5-4613-a480-1c22e58c95d0"/>
    <d v="2021-03-19T15:55:14"/>
    <s v="ccber_user"/>
    <d v="2021-03-19T15:55:14"/>
    <s v="ccber_user"/>
    <n v="-119.87603602842201"/>
    <n v="34.419634329506003"/>
  </r>
  <r>
    <n v="57"/>
    <d v="2021-03-19T00:00:00"/>
    <d v="2021-03-19T09:22:07"/>
    <x v="14"/>
    <n v="1"/>
    <x v="0"/>
    <s v="Fence"/>
    <m/>
    <m/>
    <m/>
    <m/>
    <x v="1"/>
    <m/>
    <m/>
    <m/>
    <m/>
    <m/>
    <m/>
    <m/>
    <m/>
    <m/>
    <m/>
    <m/>
    <m/>
    <m/>
    <m/>
    <m/>
    <s v="95ed23fb-bedc-44cf-b7a4-f182e045b8da"/>
    <d v="2021-03-19T16:22:07"/>
    <s v="ccber_user"/>
    <d v="2021-03-19T16:22:07"/>
    <s v="ccber_user"/>
    <n v="-119.880476214021"/>
    <n v="34.420680521298401"/>
  </r>
  <r>
    <n v="117"/>
    <d v="2021-03-19T00:00:00"/>
    <d v="2021-03-19T08:22:53"/>
    <x v="15"/>
    <n v="3"/>
    <x v="0"/>
    <s v="Water - Floating"/>
    <m/>
    <m/>
    <m/>
    <m/>
    <x v="0"/>
    <m/>
    <m/>
    <m/>
    <m/>
    <m/>
    <m/>
    <m/>
    <m/>
    <m/>
    <m/>
    <m/>
    <m/>
    <m/>
    <m/>
    <m/>
    <s v="16efa16b-b30a-4f8f-94dd-ca53571d45b5"/>
    <d v="2021-03-19T15:22:53"/>
    <s v="ccber_user"/>
    <d v="2021-03-19T15:22:53"/>
    <s v="ccber_user"/>
    <n v="-119.87200202595901"/>
    <n v="34.421186652092899"/>
  </r>
  <r>
    <n v="31"/>
    <d v="2021-03-19T00:00:00"/>
    <d v="2021-03-19T08:43:55"/>
    <x v="15"/>
    <n v="5"/>
    <x v="0"/>
    <s v="Water - Floating"/>
    <m/>
    <m/>
    <m/>
    <m/>
    <x v="1"/>
    <m/>
    <m/>
    <m/>
    <m/>
    <m/>
    <m/>
    <m/>
    <m/>
    <m/>
    <m/>
    <m/>
    <m/>
    <m/>
    <m/>
    <m/>
    <s v="deb88da2-457f-45aa-9a7a-1bfba55dc9f8"/>
    <d v="2021-03-19T15:43:55"/>
    <s v="ccber_user"/>
    <d v="2021-03-19T15:43:55"/>
    <s v="ccber_user"/>
    <n v="-119.879804281375"/>
    <n v="34.419411981468002"/>
  </r>
  <r>
    <n v="176"/>
    <d v="2021-03-19T00:00:00"/>
    <d v="2021-03-19T09:31:10"/>
    <x v="15"/>
    <n v="2"/>
    <x v="0"/>
    <s v="Water - Floating"/>
    <m/>
    <m/>
    <m/>
    <m/>
    <x v="0"/>
    <m/>
    <m/>
    <m/>
    <m/>
    <m/>
    <m/>
    <m/>
    <m/>
    <m/>
    <m/>
    <m/>
    <m/>
    <m/>
    <m/>
    <m/>
    <s v="df320dab-9488-49cd-b0e9-dec4032115d2"/>
    <d v="2021-03-19T16:31:10"/>
    <s v="ccber_user"/>
    <d v="2021-03-19T16:31:10"/>
    <s v="ccber_user"/>
    <n v="-119.88128823624101"/>
    <n v="34.421733297297799"/>
  </r>
  <r>
    <n v="22"/>
    <d v="2021-03-19T00:00:00"/>
    <d v="2021-03-19T08:23:36"/>
    <x v="16"/>
    <n v="1"/>
    <x v="0"/>
    <s v="Fence"/>
    <m/>
    <m/>
    <m/>
    <m/>
    <x v="1"/>
    <m/>
    <m/>
    <m/>
    <m/>
    <m/>
    <m/>
    <m/>
    <m/>
    <m/>
    <m/>
    <m/>
    <m/>
    <m/>
    <m/>
    <m/>
    <s v="c0eb9175-379c-42a9-ae16-dd799e27a383"/>
    <d v="2021-03-19T15:23:36"/>
    <s v="ccber_user"/>
    <d v="2021-03-19T15:23:36"/>
    <s v="ccber_user"/>
    <n v="-119.878514038319"/>
    <n v="34.417655245260796"/>
  </r>
  <r>
    <n v="118"/>
    <d v="2021-03-19T00:00:00"/>
    <d v="2021-03-19T08:25:20"/>
    <x v="16"/>
    <n v="1"/>
    <x v="0"/>
    <s v="Vegetation - Herbaceous"/>
    <m/>
    <m/>
    <m/>
    <m/>
    <x v="0"/>
    <m/>
    <m/>
    <m/>
    <m/>
    <m/>
    <m/>
    <m/>
    <m/>
    <m/>
    <m/>
    <m/>
    <m/>
    <m/>
    <m/>
    <m/>
    <s v="f5f2ce18-fb82-47ad-a6f1-1720a3f87cb9"/>
    <d v="2021-03-19T15:25:20"/>
    <s v="ccber_user"/>
    <d v="2021-03-19T15:25:20"/>
    <s v="ccber_user"/>
    <n v="-119.871692625514"/>
    <n v="34.4210809160029"/>
  </r>
  <r>
    <n v="139"/>
    <d v="2021-03-19T00:00:00"/>
    <d v="2021-03-19T08:39:51"/>
    <x v="16"/>
    <n v="1"/>
    <x v="0"/>
    <s v="Vegetation - Herbaceous"/>
    <m/>
    <m/>
    <m/>
    <m/>
    <x v="0"/>
    <m/>
    <m/>
    <m/>
    <m/>
    <m/>
    <m/>
    <m/>
    <m/>
    <m/>
    <m/>
    <m/>
    <m/>
    <m/>
    <m/>
    <m/>
    <s v="419c4f3f-fcf1-4bf6-9111-8cb1e200687b"/>
    <d v="2021-03-19T15:39:51"/>
    <s v="ccber_user"/>
    <d v="2021-03-19T15:39:51"/>
    <s v="ccber_user"/>
    <n v="-119.873253061146"/>
    <n v="34.421849970737"/>
  </r>
  <r>
    <n v="153"/>
    <d v="2021-03-19T00:00:00"/>
    <d v="2021-03-19T08:58:21"/>
    <x v="16"/>
    <n v="1"/>
    <x v="0"/>
    <s v="Vegetation - Shrub"/>
    <m/>
    <m/>
    <m/>
    <m/>
    <x v="0"/>
    <m/>
    <m/>
    <m/>
    <m/>
    <m/>
    <m/>
    <m/>
    <m/>
    <m/>
    <m/>
    <m/>
    <m/>
    <m/>
    <m/>
    <m/>
    <s v="064cc0e8-1841-4afc-bbc6-5ef5ae8fb60f"/>
    <d v="2021-03-19T15:58:21"/>
    <s v="ccber_user"/>
    <d v="2021-03-19T15:58:21"/>
    <s v="ccber_user"/>
    <n v="-119.87691410017101"/>
    <n v="34.420638199648998"/>
  </r>
  <r>
    <n v="65"/>
    <d v="2021-03-19T00:00:00"/>
    <d v="2021-03-19T09:29:26"/>
    <x v="16"/>
    <n v="1"/>
    <x v="0"/>
    <s v="Vegetation - Herbaceous"/>
    <m/>
    <m/>
    <m/>
    <m/>
    <x v="1"/>
    <m/>
    <m/>
    <m/>
    <m/>
    <m/>
    <m/>
    <m/>
    <m/>
    <m/>
    <m/>
    <m/>
    <m/>
    <m/>
    <m/>
    <m/>
    <s v="2c6b653e-ba36-40a9-970c-42f8b0a45d8b"/>
    <d v="2021-03-19T16:29:26"/>
    <s v="ccber_user"/>
    <d v="2021-03-19T16:29:26"/>
    <s v="ccber_user"/>
    <n v="-119.88069012894201"/>
    <n v="34.421405106526102"/>
  </r>
  <r>
    <n v="75"/>
    <d v="2021-03-19T00:00:00"/>
    <d v="2021-03-19T09:41:23"/>
    <x v="16"/>
    <n v="1"/>
    <x v="0"/>
    <s v="Vegetation - Herbaceous"/>
    <s v="M"/>
    <m/>
    <m/>
    <m/>
    <x v="1"/>
    <m/>
    <m/>
    <m/>
    <m/>
    <m/>
    <m/>
    <m/>
    <m/>
    <m/>
    <m/>
    <m/>
    <m/>
    <m/>
    <m/>
    <m/>
    <s v="a51e7d97-c54f-450e-b740-c23c9215733b"/>
    <d v="2021-03-19T16:41:23"/>
    <s v="ccber_user"/>
    <d v="2021-03-19T16:41:23"/>
    <s v="ccber_user"/>
    <n v="-119.88166179616"/>
    <n v="34.420768453956597"/>
  </r>
  <r>
    <n v="186"/>
    <d v="2021-03-19T00:00:00"/>
    <d v="2021-03-19T09:43:03"/>
    <x v="16"/>
    <n v="1"/>
    <x v="0"/>
    <s v="Vegetation - Herbaceous"/>
    <m/>
    <m/>
    <m/>
    <m/>
    <x v="0"/>
    <m/>
    <m/>
    <m/>
    <m/>
    <m/>
    <m/>
    <m/>
    <m/>
    <m/>
    <m/>
    <m/>
    <m/>
    <m/>
    <m/>
    <m/>
    <s v="f92ea31d-f85c-4532-8731-9262e8ab8e78"/>
    <d v="2021-03-19T16:43:03"/>
    <s v="ccber_user"/>
    <d v="2021-03-19T16:43:03"/>
    <s v="ccber_user"/>
    <n v="-119.883480200094"/>
    <n v="34.421580833137099"/>
  </r>
  <r>
    <n v="84"/>
    <d v="2021-03-19T00:00:00"/>
    <d v="2021-03-19T09:53:29"/>
    <x v="16"/>
    <n v="1"/>
    <x v="0"/>
    <s v="Vegetation - Herbaceous"/>
    <m/>
    <m/>
    <m/>
    <m/>
    <x v="1"/>
    <m/>
    <m/>
    <m/>
    <m/>
    <m/>
    <m/>
    <m/>
    <m/>
    <m/>
    <m/>
    <m/>
    <m/>
    <m/>
    <m/>
    <m/>
    <s v="4553b981-95fe-478e-aae5-9cfbfeacc5a9"/>
    <d v="2021-03-19T16:53:29"/>
    <s v="ccber_user"/>
    <d v="2021-03-19T16:53:29"/>
    <s v="ccber_user"/>
    <n v="-119.883819796509"/>
    <n v="34.421205667516503"/>
  </r>
  <r>
    <n v="87"/>
    <d v="2021-03-19T00:00:00"/>
    <d v="2021-03-19T09:56:09"/>
    <x v="16"/>
    <n v="1"/>
    <x v="0"/>
    <s v="Vegetation - Tree"/>
    <m/>
    <m/>
    <m/>
    <m/>
    <x v="1"/>
    <m/>
    <m/>
    <m/>
    <m/>
    <m/>
    <m/>
    <m/>
    <m/>
    <m/>
    <m/>
    <m/>
    <m/>
    <m/>
    <m/>
    <m/>
    <s v="0a3899a7-b5a3-4f8a-b422-fa4416b3fcca"/>
    <d v="2021-03-19T16:56:09"/>
    <s v="ccber_user"/>
    <d v="2021-03-19T16:56:09"/>
    <s v="ccber_user"/>
    <n v="-119.88459263781"/>
    <n v="34.421488795332301"/>
  </r>
  <r>
    <n v="112"/>
    <d v="2021-03-19T00:00:00"/>
    <d v="2021-03-19T08:20:24"/>
    <x v="17"/>
    <n v="1"/>
    <x v="0"/>
    <s v="Flyover"/>
    <m/>
    <m/>
    <m/>
    <m/>
    <x v="0"/>
    <m/>
    <m/>
    <m/>
    <m/>
    <m/>
    <m/>
    <m/>
    <m/>
    <m/>
    <m/>
    <m/>
    <m/>
    <m/>
    <m/>
    <m/>
    <s v="6b4cbb22-c0f4-4cd9-8e09-5ffa876bb069"/>
    <d v="2021-03-19T15:20:24"/>
    <s v="ccber_user"/>
    <d v="2021-03-19T15:20:24"/>
    <s v="ccber_user"/>
    <n v="-119.87312885468501"/>
    <n v="34.420393027552997"/>
  </r>
  <r>
    <n v="110"/>
    <d v="2021-03-19T00:00:00"/>
    <d v="2021-03-19T08:17:11"/>
    <x v="18"/>
    <n v="1"/>
    <x v="0"/>
    <s v="Vegetation - Tree"/>
    <m/>
    <m/>
    <m/>
    <m/>
    <x v="0"/>
    <m/>
    <m/>
    <m/>
    <m/>
    <m/>
    <m/>
    <m/>
    <m/>
    <m/>
    <m/>
    <m/>
    <m/>
    <m/>
    <m/>
    <m/>
    <s v="bbec86d4-3cf5-432e-ae70-764394d9fb80"/>
    <d v="2021-03-19T15:17:11"/>
    <s v="ccber_user"/>
    <d v="2021-03-19T15:17:11"/>
    <s v="ccber_user"/>
    <n v="-119.873747655575"/>
    <n v="34.419900800455501"/>
  </r>
  <r>
    <n v="155"/>
    <d v="2021-03-19T00:00:00"/>
    <d v="2021-03-19T09:00:18"/>
    <x v="18"/>
    <n v="1"/>
    <x v="0"/>
    <s v="Vegetation - Tree"/>
    <m/>
    <m/>
    <m/>
    <m/>
    <x v="0"/>
    <m/>
    <m/>
    <m/>
    <m/>
    <m/>
    <m/>
    <m/>
    <m/>
    <m/>
    <m/>
    <m/>
    <m/>
    <m/>
    <m/>
    <m/>
    <s v="5206cbbf-236e-4044-94f0-1ef60af0023f"/>
    <d v="2021-03-19T16:00:18"/>
    <s v="ccber_user"/>
    <d v="2021-03-19T16:00:18"/>
    <s v="ccber_user"/>
    <n v="-119.877627807172"/>
    <n v="34.421288476927501"/>
  </r>
  <r>
    <n v="195"/>
    <d v="2021-03-19T00:00:00"/>
    <d v="2021-03-19T09:50:30"/>
    <x v="19"/>
    <n v="2"/>
    <x v="0"/>
    <s v="Flyover"/>
    <m/>
    <m/>
    <m/>
    <m/>
    <x v="0"/>
    <m/>
    <m/>
    <m/>
    <m/>
    <m/>
    <m/>
    <m/>
    <m/>
    <m/>
    <m/>
    <m/>
    <m/>
    <m/>
    <m/>
    <m/>
    <s v="3fce9c74-f43a-4e97-a88e-a9333145557d"/>
    <d v="2021-03-19T16:50:30"/>
    <s v="ccber_user"/>
    <d v="2021-03-19T16:50:30"/>
    <s v="ccber_user"/>
    <n v="-119.88389091702901"/>
    <n v="34.421469345734302"/>
  </r>
  <r>
    <n v="175"/>
    <d v="2021-03-19T00:00:00"/>
    <d v="2021-03-19T09:30:46"/>
    <x v="20"/>
    <n v="2"/>
    <x v="0"/>
    <s v="Water - Floating"/>
    <m/>
    <m/>
    <m/>
    <m/>
    <x v="0"/>
    <m/>
    <m/>
    <m/>
    <m/>
    <m/>
    <m/>
    <m/>
    <m/>
    <m/>
    <m/>
    <m/>
    <m/>
    <m/>
    <m/>
    <m/>
    <s v="caa2448b-0697-46ab-8f3d-9063ab832c40"/>
    <d v="2021-03-19T16:30:46"/>
    <s v="ccber_user"/>
    <d v="2021-03-19T16:30:46"/>
    <s v="ccber_user"/>
    <n v="-119.880983256405"/>
    <n v="34.421532763841498"/>
  </r>
  <r>
    <n v="9"/>
    <d v="2021-03-19T00:00:00"/>
    <d v="2021-03-19T08:07:35"/>
    <x v="21"/>
    <n v="1"/>
    <x v="0"/>
    <s v="Air"/>
    <m/>
    <m/>
    <m/>
    <m/>
    <x v="1"/>
    <m/>
    <m/>
    <m/>
    <m/>
    <m/>
    <m/>
    <m/>
    <m/>
    <m/>
    <m/>
    <m/>
    <m/>
    <m/>
    <m/>
    <m/>
    <s v="2cc17e81-8787-4f0f-8252-dca67ce543f3"/>
    <d v="2021-03-19T15:07:35"/>
    <s v="ccber_user"/>
    <d v="2021-03-19T15:07:35"/>
    <s v="ccber_user"/>
    <n v="-119.875662179245"/>
    <n v="34.417955938422303"/>
  </r>
  <r>
    <n v="91"/>
    <d v="2021-03-19T00:00:00"/>
    <d v="2021-03-19T10:00:05"/>
    <x v="21"/>
    <n v="1"/>
    <x v="0"/>
    <s v="Air"/>
    <m/>
    <m/>
    <m/>
    <m/>
    <x v="1"/>
    <m/>
    <m/>
    <m/>
    <m/>
    <m/>
    <m/>
    <m/>
    <m/>
    <m/>
    <m/>
    <m/>
    <m/>
    <m/>
    <m/>
    <m/>
    <s v="a59dd592-dc89-4681-bc59-3f27489fc6f6"/>
    <d v="2021-03-19T17:00:05"/>
    <s v="ccber_user"/>
    <d v="2021-03-19T17:00:05"/>
    <s v="ccber_user"/>
    <n v="-119.884318290525"/>
    <n v="34.421319304238096"/>
  </r>
  <r>
    <n v="160"/>
    <d v="2021-03-19T00:00:00"/>
    <d v="2021-03-19T09:05:32"/>
    <x v="22"/>
    <n v="1"/>
    <x v="0"/>
    <s v="Water - Wading"/>
    <m/>
    <m/>
    <m/>
    <m/>
    <x v="0"/>
    <m/>
    <m/>
    <m/>
    <m/>
    <m/>
    <m/>
    <m/>
    <m/>
    <m/>
    <m/>
    <m/>
    <m/>
    <m/>
    <m/>
    <m/>
    <s v="6d2b3280-b9e5-497f-a0c5-c7304bea8a2c"/>
    <d v="2021-03-19T16:05:32"/>
    <s v="ccber_user"/>
    <d v="2021-03-19T16:05:32"/>
    <s v="ccber_user"/>
    <n v="-119.878890763003"/>
    <n v="34.421277538679703"/>
  </r>
  <r>
    <n v="97"/>
    <d v="2021-03-19T00:00:00"/>
    <d v="2021-03-19T08:03:25"/>
    <x v="23"/>
    <n v="1"/>
    <x v="0"/>
    <s v="Water - Floating"/>
    <m/>
    <m/>
    <m/>
    <m/>
    <x v="0"/>
    <m/>
    <m/>
    <m/>
    <m/>
    <m/>
    <m/>
    <m/>
    <m/>
    <m/>
    <m/>
    <m/>
    <m/>
    <m/>
    <m/>
    <m/>
    <s v="22e717b1-5711-4082-a9d3-d0af8b132840"/>
    <d v="2021-03-19T15:03:25"/>
    <s v="ccber_user"/>
    <d v="2021-03-19T15:03:25"/>
    <s v="ccber_user"/>
    <n v="-119.875982533746"/>
    <n v="34.419378290815203"/>
  </r>
  <r>
    <n v="157"/>
    <d v="2021-03-19T00:00:00"/>
    <d v="2021-03-19T09:01:09"/>
    <x v="24"/>
    <n v="1"/>
    <x v="0"/>
    <s v="Water - Floating"/>
    <m/>
    <m/>
    <m/>
    <m/>
    <x v="0"/>
    <m/>
    <m/>
    <m/>
    <m/>
    <m/>
    <m/>
    <m/>
    <m/>
    <m/>
    <m/>
    <m/>
    <m/>
    <m/>
    <m/>
    <m/>
    <s v="b683dccc-1466-4622-857c-253acb3d3957"/>
    <d v="2021-03-19T16:01:09"/>
    <s v="ccber_user"/>
    <d v="2021-03-19T16:01:09"/>
    <s v="ccber_user"/>
    <n v="-119.878002342662"/>
    <n v="34.420778024333401"/>
  </r>
  <r>
    <n v="48"/>
    <d v="2021-03-19T00:00:00"/>
    <d v="2021-03-19T09:04:26"/>
    <x v="24"/>
    <n v="1"/>
    <x v="1"/>
    <s v="Mud"/>
    <m/>
    <m/>
    <m/>
    <m/>
    <x v="1"/>
    <m/>
    <m/>
    <m/>
    <m/>
    <m/>
    <m/>
    <m/>
    <m/>
    <m/>
    <m/>
    <m/>
    <m/>
    <m/>
    <m/>
    <m/>
    <s v="cf6adb14-5964-413f-97e0-8e58b453b763"/>
    <d v="2021-03-19T16:04:26"/>
    <s v="ccber_user"/>
    <d v="2021-03-19T16:04:26"/>
    <s v="ccber_user"/>
    <n v="-119.87771071987601"/>
    <n v="34.420516099436199"/>
  </r>
  <r>
    <n v="6"/>
    <d v="2021-03-19T00:00:00"/>
    <d v="2021-03-19T08:06:48"/>
    <x v="25"/>
    <n v="2"/>
    <x v="0"/>
    <s v="Building"/>
    <m/>
    <m/>
    <m/>
    <m/>
    <x v="1"/>
    <m/>
    <m/>
    <m/>
    <m/>
    <m/>
    <m/>
    <m/>
    <m/>
    <m/>
    <m/>
    <m/>
    <m/>
    <m/>
    <m/>
    <m/>
    <s v="48e283e8-2a5c-477f-aeb2-ee6b62f5e2e7"/>
    <d v="2021-03-19T15:06:48"/>
    <s v="ccber_user"/>
    <d v="2021-03-19T15:06:48"/>
    <s v="ccber_user"/>
    <n v="-119.875264305524"/>
    <n v="34.417443488342499"/>
  </r>
  <r>
    <n v="109"/>
    <d v="2021-03-19T00:00:00"/>
    <d v="2021-03-19T08:15:13"/>
    <x v="25"/>
    <n v="2"/>
    <x v="0"/>
    <s v="Vegetation - Shrub"/>
    <m/>
    <m/>
    <m/>
    <m/>
    <x v="0"/>
    <m/>
    <m/>
    <m/>
    <m/>
    <m/>
    <m/>
    <m/>
    <m/>
    <m/>
    <m/>
    <m/>
    <m/>
    <m/>
    <m/>
    <m/>
    <s v="7eb7335a-2773-440b-8c5d-78e7c9224195"/>
    <d v="2021-03-19T15:15:13"/>
    <s v="ccber_user"/>
    <d v="2021-03-19T15:15:13"/>
    <s v="ccber_user"/>
    <n v="-119.874198495762"/>
    <n v="34.419780478395303"/>
  </r>
  <r>
    <n v="128"/>
    <d v="2021-03-19T00:00:00"/>
    <d v="2021-03-19T08:30:49"/>
    <x v="25"/>
    <n v="1"/>
    <x v="0"/>
    <s v="Vegetation - Tree"/>
    <m/>
    <m/>
    <m/>
    <m/>
    <x v="0"/>
    <m/>
    <m/>
    <m/>
    <m/>
    <m/>
    <m/>
    <m/>
    <m/>
    <m/>
    <m/>
    <m/>
    <m/>
    <m/>
    <m/>
    <m/>
    <s v="46ea2b9b-7c58-4e71-b523-939521dbbb1b"/>
    <d v="2021-03-19T15:30:49"/>
    <s v="ccber_user"/>
    <d v="2021-03-19T15:30:49"/>
    <s v="ccber_user"/>
    <n v="-119.871458849741"/>
    <n v="34.421477618501697"/>
  </r>
  <r>
    <n v="129"/>
    <d v="2021-03-19T00:00:00"/>
    <d v="2021-03-19T08:31:30"/>
    <x v="25"/>
    <n v="1"/>
    <x v="0"/>
    <s v="Vegetation - Shrub"/>
    <m/>
    <m/>
    <m/>
    <m/>
    <x v="0"/>
    <m/>
    <m/>
    <m/>
    <m/>
    <m/>
    <m/>
    <m/>
    <m/>
    <m/>
    <m/>
    <m/>
    <m/>
    <m/>
    <m/>
    <m/>
    <s v="f2d3bc8d-d028-49cf-903d-5307579ad985"/>
    <d v="2021-03-19T15:31:30"/>
    <s v="ccber_user"/>
    <d v="2021-03-19T15:31:30"/>
    <s v="ccber_user"/>
    <n v="-119.87164266840399"/>
    <n v="34.421393758508103"/>
  </r>
  <r>
    <n v="133"/>
    <d v="2021-03-19T00:00:00"/>
    <d v="2021-03-19T08:35:27"/>
    <x v="25"/>
    <n v="1"/>
    <x v="0"/>
    <s v="Vegetation - Tree"/>
    <m/>
    <m/>
    <m/>
    <m/>
    <x v="0"/>
    <m/>
    <m/>
    <m/>
    <m/>
    <m/>
    <m/>
    <m/>
    <m/>
    <m/>
    <m/>
    <m/>
    <m/>
    <m/>
    <m/>
    <m/>
    <s v="bb82797e-0157-433f-9c6e-c99999830dd4"/>
    <d v="2021-03-19T15:35:27"/>
    <s v="ccber_user"/>
    <d v="2021-03-19T15:35:27"/>
    <s v="ccber_user"/>
    <n v="-119.87217741662801"/>
    <n v="34.422686666805703"/>
  </r>
  <r>
    <n v="138"/>
    <d v="2021-03-19T00:00:00"/>
    <d v="2021-03-19T08:39:25"/>
    <x v="25"/>
    <n v="2"/>
    <x v="0"/>
    <s v="Vegetation - Herbaceous"/>
    <m/>
    <m/>
    <m/>
    <m/>
    <x v="0"/>
    <m/>
    <m/>
    <m/>
    <m/>
    <m/>
    <m/>
    <m/>
    <m/>
    <m/>
    <m/>
    <m/>
    <m/>
    <m/>
    <m/>
    <m/>
    <s v="711ebcf5-2e45-4848-9110-6a99f4c67f72"/>
    <d v="2021-03-19T15:39:25"/>
    <s v="ccber_user"/>
    <d v="2021-03-19T15:39:25"/>
    <s v="ccber_user"/>
    <n v="-119.873129301148"/>
    <n v="34.421828094386903"/>
  </r>
  <r>
    <n v="147"/>
    <d v="2021-03-19T00:00:00"/>
    <d v="2021-03-19T08:52:50"/>
    <x v="25"/>
    <n v="1"/>
    <x v="0"/>
    <s v="Vegetation - Tree"/>
    <m/>
    <m/>
    <m/>
    <m/>
    <x v="0"/>
    <m/>
    <m/>
    <m/>
    <m/>
    <m/>
    <m/>
    <m/>
    <m/>
    <m/>
    <m/>
    <m/>
    <m/>
    <m/>
    <m/>
    <m/>
    <s v="8739ce92-156a-4458-97a6-372c1baedeea"/>
    <d v="2021-03-19T15:52:50"/>
    <s v="ccber_user"/>
    <d v="2021-03-19T15:52:50"/>
    <s v="ccber_user"/>
    <n v="-119.87557692463299"/>
    <n v="34.421208263324097"/>
  </r>
  <r>
    <n v="154"/>
    <d v="2021-03-19T00:00:00"/>
    <d v="2021-03-19T08:59:43"/>
    <x v="25"/>
    <n v="2"/>
    <x v="0"/>
    <s v="Vegetation - Tree"/>
    <m/>
    <m/>
    <m/>
    <m/>
    <x v="0"/>
    <m/>
    <m/>
    <m/>
    <m/>
    <m/>
    <m/>
    <m/>
    <m/>
    <m/>
    <m/>
    <m/>
    <m/>
    <m/>
    <m/>
    <m/>
    <s v="bc382d84-56e8-4910-b39f-05036c93408b"/>
    <d v="2021-03-19T15:59:43"/>
    <s v="ccber_user"/>
    <d v="2021-03-19T15:59:58"/>
    <s v="ccber_user"/>
    <n v="-119.87742006637301"/>
    <n v="34.421324937496102"/>
  </r>
  <r>
    <n v="164"/>
    <d v="2021-03-19T00:00:00"/>
    <d v="2021-03-19T09:14:41"/>
    <x v="25"/>
    <n v="2"/>
    <x v="0"/>
    <s v="Vegetation - Herbaceous"/>
    <m/>
    <m/>
    <m/>
    <m/>
    <x v="0"/>
    <m/>
    <m/>
    <m/>
    <m/>
    <m/>
    <m/>
    <m/>
    <m/>
    <m/>
    <m/>
    <m/>
    <m/>
    <m/>
    <m/>
    <m/>
    <s v="3e9bed7b-c7f6-40a8-ba5c-9ad77e01f3c7"/>
    <d v="2021-03-19T16:14:41"/>
    <s v="ccber_user"/>
    <d v="2021-03-19T16:14:41"/>
    <s v="ccber_user"/>
    <n v="-119.878908443645"/>
    <n v="34.421711420917099"/>
  </r>
  <r>
    <n v="59"/>
    <d v="2021-03-19T00:00:00"/>
    <d v="2021-03-19T09:23:19"/>
    <x v="25"/>
    <n v="4"/>
    <x v="0"/>
    <s v="Vegetation - Shrub"/>
    <m/>
    <m/>
    <m/>
    <m/>
    <x v="1"/>
    <m/>
    <m/>
    <m/>
    <m/>
    <m/>
    <m/>
    <m/>
    <m/>
    <m/>
    <m/>
    <m/>
    <m/>
    <m/>
    <m/>
    <m/>
    <s v="9f934b37-9459-421c-9c1b-c991333b6386"/>
    <d v="2021-03-19T16:23:19"/>
    <s v="ccber_user"/>
    <d v="2021-03-19T16:23:19"/>
    <s v="ccber_user"/>
    <n v="-119.879706773743"/>
    <n v="34.4211929507996"/>
  </r>
  <r>
    <n v="77"/>
    <d v="2021-03-19T00:00:00"/>
    <d v="2021-03-19T09:46:55"/>
    <x v="25"/>
    <n v="15"/>
    <x v="0"/>
    <s v="Vegetation - Shrub"/>
    <m/>
    <m/>
    <m/>
    <m/>
    <x v="1"/>
    <m/>
    <m/>
    <m/>
    <m/>
    <m/>
    <m/>
    <m/>
    <m/>
    <m/>
    <m/>
    <m/>
    <m/>
    <m/>
    <m/>
    <m/>
    <s v="dfcaf660-6fae-451d-9526-3ff7dd385e8f"/>
    <d v="2021-03-19T16:46:55"/>
    <s v="ccber_user"/>
    <d v="2021-03-19T16:47:35"/>
    <s v="ccber_user"/>
    <n v="-119.883235498113"/>
    <n v="34.420649038682498"/>
  </r>
  <r>
    <n v="197"/>
    <d v="2021-03-19T00:00:00"/>
    <d v="2021-03-19T09:55:14"/>
    <x v="25"/>
    <n v="1"/>
    <x v="0"/>
    <s v="Fence"/>
    <m/>
    <m/>
    <m/>
    <m/>
    <x v="0"/>
    <m/>
    <m/>
    <m/>
    <m/>
    <m/>
    <m/>
    <m/>
    <m/>
    <m/>
    <m/>
    <m/>
    <m/>
    <m/>
    <m/>
    <m/>
    <s v="262dae04-434e-4dde-b8b6-17a8da22788f"/>
    <d v="2021-03-19T16:55:14"/>
    <s v="ccber_user"/>
    <d v="2021-03-19T16:55:14"/>
    <s v="ccber_user"/>
    <n v="-119.88369968097599"/>
    <n v="34.421405821612701"/>
  </r>
  <r>
    <n v="93"/>
    <d v="2021-03-19T00:00:00"/>
    <d v="2021-03-19T10:01:23"/>
    <x v="25"/>
    <n v="1"/>
    <x v="0"/>
    <s v="Vegetation - Tree"/>
    <m/>
    <m/>
    <m/>
    <m/>
    <x v="1"/>
    <m/>
    <m/>
    <m/>
    <m/>
    <m/>
    <m/>
    <m/>
    <m/>
    <m/>
    <m/>
    <m/>
    <m/>
    <m/>
    <m/>
    <m/>
    <s v="2e1bbb23-8c98-4546-bbd1-8442907a1c8a"/>
    <d v="2021-03-19T17:01:23"/>
    <s v="ccber_user"/>
    <d v="2021-03-19T17:01:23"/>
    <s v="ccber_user"/>
    <n v="-119.88445838279399"/>
    <n v="34.421321230157297"/>
  </r>
  <r>
    <n v="184"/>
    <d v="2021-03-19T00:00:00"/>
    <d v="2021-03-19T09:40:07"/>
    <x v="26"/>
    <n v="2"/>
    <x v="0"/>
    <s v="Vegetation - Herbaceous"/>
    <m/>
    <m/>
    <m/>
    <m/>
    <x v="0"/>
    <m/>
    <m/>
    <m/>
    <m/>
    <m/>
    <m/>
    <m/>
    <m/>
    <m/>
    <m/>
    <m/>
    <m/>
    <m/>
    <m/>
    <m/>
    <s v="17af7966-ee6b-4fc9-afbb-e2f685ef25e6"/>
    <d v="2021-03-19T16:40:07"/>
    <s v="ccber_user"/>
    <d v="2021-03-19T16:40:07"/>
    <s v="ccber_user"/>
    <n v="-119.88245953696401"/>
    <n v="34.421875492891203"/>
  </r>
  <r>
    <n v="89"/>
    <d v="2021-03-19T00:00:00"/>
    <d v="2021-03-19T09:58:47"/>
    <x v="26"/>
    <n v="1"/>
    <x v="0"/>
    <s v="Vegetation - Herbaceous"/>
    <m/>
    <m/>
    <m/>
    <m/>
    <x v="1"/>
    <m/>
    <m/>
    <m/>
    <m/>
    <m/>
    <m/>
    <m/>
    <m/>
    <m/>
    <m/>
    <m/>
    <m/>
    <m/>
    <m/>
    <m/>
    <s v="ec3134a4-d13a-46b0-9da4-446dca2bb0e5"/>
    <d v="2021-03-19T16:58:47"/>
    <s v="ccber_user"/>
    <d v="2021-03-19T16:58:47"/>
    <s v="ccber_user"/>
    <n v="-119.884339304815"/>
    <n v="34.421560058614801"/>
  </r>
  <r>
    <n v="1"/>
    <d v="2021-03-19T00:00:00"/>
    <d v="2021-03-19T07:57:32"/>
    <x v="27"/>
    <n v="2"/>
    <x v="0"/>
    <s v="Mud"/>
    <m/>
    <m/>
    <m/>
    <n v="5.95"/>
    <x v="1"/>
    <s v="8"/>
    <m/>
    <n v="57"/>
    <n v="80"/>
    <s v="Medium"/>
    <m/>
    <m/>
    <m/>
    <m/>
    <m/>
    <m/>
    <m/>
    <m/>
    <m/>
    <m/>
    <s v="d757760c-2a74-4317-a532-a45e8a5e9b7e"/>
    <d v="2021-03-19T14:57:32"/>
    <s v="ccber_user"/>
    <d v="2021-03-19T14:57:32"/>
    <s v="ccber_user"/>
    <n v="-119.874016778258"/>
    <n v="34.417832719006398"/>
  </r>
  <r>
    <n v="98"/>
    <d v="2021-03-19T00:00:00"/>
    <d v="2021-03-19T08:03:52"/>
    <x v="27"/>
    <n v="1"/>
    <x v="0"/>
    <s v="Mud"/>
    <m/>
    <m/>
    <m/>
    <m/>
    <x v="0"/>
    <m/>
    <m/>
    <m/>
    <m/>
    <m/>
    <m/>
    <m/>
    <m/>
    <m/>
    <m/>
    <m/>
    <m/>
    <m/>
    <m/>
    <m/>
    <s v="b4c024c2-85d4-44a0-be4e-d6a730493f61"/>
    <d v="2021-03-19T15:03:52"/>
    <s v="ccber_user"/>
    <d v="2021-03-19T15:03:52"/>
    <s v="ccber_user"/>
    <n v="-119.87414677166601"/>
    <n v="34.417990203222999"/>
  </r>
  <r>
    <n v="103"/>
    <d v="2021-03-19T00:00:00"/>
    <d v="2021-03-19T08:07:03"/>
    <x v="27"/>
    <n v="1"/>
    <x v="0"/>
    <s v="Water - Wading"/>
    <m/>
    <m/>
    <m/>
    <m/>
    <x v="0"/>
    <m/>
    <m/>
    <m/>
    <m/>
    <m/>
    <m/>
    <m/>
    <m/>
    <m/>
    <m/>
    <m/>
    <m/>
    <m/>
    <m/>
    <m/>
    <s v="b0679a6d-75ee-463f-a37f-bde103328a57"/>
    <d v="2021-03-19T15:07:03"/>
    <s v="ccber_user"/>
    <d v="2021-03-19T15:07:03"/>
    <s v="ccber_user"/>
    <n v="-119.87424401160099"/>
    <n v="34.418285546280899"/>
  </r>
  <r>
    <n v="121"/>
    <d v="2021-03-19T00:00:00"/>
    <d v="2021-03-19T08:27:33"/>
    <x v="27"/>
    <n v="2"/>
    <x v="0"/>
    <s v="Bare ground"/>
    <m/>
    <m/>
    <m/>
    <m/>
    <x v="0"/>
    <m/>
    <m/>
    <m/>
    <m/>
    <m/>
    <m/>
    <m/>
    <m/>
    <m/>
    <m/>
    <m/>
    <m/>
    <m/>
    <m/>
    <m/>
    <s v="69d50197-2d2f-4fcf-8deb-e45aadcfb551"/>
    <d v="2021-03-19T15:27:33"/>
    <s v="ccber_user"/>
    <d v="2021-03-19T15:27:33"/>
    <s v="ccber_user"/>
    <n v="-119.87098542501001"/>
    <n v="34.421117376662004"/>
  </r>
  <r>
    <n v="25"/>
    <d v="2021-03-19T00:00:00"/>
    <d v="2021-03-19T08:30:44"/>
    <x v="27"/>
    <n v="6"/>
    <x v="0"/>
    <s v="Bare ground"/>
    <m/>
    <m/>
    <m/>
    <m/>
    <x v="1"/>
    <m/>
    <m/>
    <m/>
    <m/>
    <m/>
    <m/>
    <m/>
    <m/>
    <m/>
    <m/>
    <m/>
    <m/>
    <m/>
    <m/>
    <m/>
    <s v="cc5b49b2-7a30-4174-a0d6-8b75dcee2c29"/>
    <d v="2021-03-19T15:30:44"/>
    <s v="ccber_user"/>
    <d v="2021-03-19T15:30:44"/>
    <s v="ccber_user"/>
    <n v="-119.880909978133"/>
    <n v="34.418444270901098"/>
  </r>
  <r>
    <n v="136"/>
    <d v="2021-03-19T00:00:00"/>
    <d v="2021-03-19T08:37:39"/>
    <x v="27"/>
    <n v="1"/>
    <x v="0"/>
    <s v="Bare ground"/>
    <m/>
    <m/>
    <m/>
    <m/>
    <x v="0"/>
    <m/>
    <m/>
    <m/>
    <m/>
    <m/>
    <m/>
    <m/>
    <m/>
    <m/>
    <m/>
    <m/>
    <m/>
    <m/>
    <m/>
    <m/>
    <s v="33cb9886-8449-43ee-a888-0f75fc700bce"/>
    <d v="2021-03-19T15:37:39"/>
    <s v="ccber_user"/>
    <d v="2021-03-19T15:37:39"/>
    <s v="ccber_user"/>
    <n v="-119.872682880672"/>
    <n v="34.421851793642404"/>
  </r>
  <r>
    <n v="34"/>
    <d v="2021-03-19T00:00:00"/>
    <d v="2021-03-19T08:46:15"/>
    <x v="27"/>
    <n v="1"/>
    <x v="0"/>
    <s v="Bare ground"/>
    <m/>
    <m/>
    <m/>
    <m/>
    <x v="1"/>
    <m/>
    <m/>
    <m/>
    <m/>
    <m/>
    <m/>
    <m/>
    <m/>
    <m/>
    <m/>
    <m/>
    <m/>
    <m/>
    <m/>
    <m/>
    <s v="be781b30-195d-481a-97be-7e3618859000"/>
    <d v="2021-03-19T15:46:15"/>
    <s v="ccber_user"/>
    <d v="2021-03-19T15:46:15"/>
    <s v="ccber_user"/>
    <n v="-119.878985431061"/>
    <n v="34.419460684089699"/>
  </r>
  <r>
    <n v="181"/>
    <d v="2021-03-19T00:00:00"/>
    <d v="2021-03-19T09:36:55"/>
    <x v="27"/>
    <n v="4"/>
    <x v="0"/>
    <s v="Water - Wading"/>
    <m/>
    <m/>
    <m/>
    <m/>
    <x v="0"/>
    <m/>
    <m/>
    <m/>
    <m/>
    <m/>
    <m/>
    <m/>
    <m/>
    <m/>
    <m/>
    <m/>
    <m/>
    <m/>
    <m/>
    <m/>
    <s v="045e7aea-c659-483c-9f0e-b4deb812d01d"/>
    <d v="2021-03-19T16:36:55"/>
    <s v="ccber_user"/>
    <d v="2021-03-19T17:17:18"/>
    <s v="ccber_user"/>
    <n v="-119.88189377709899"/>
    <n v="34.421252016342898"/>
  </r>
  <r>
    <n v="73"/>
    <d v="2021-03-19T00:00:00"/>
    <d v="2021-03-19T09:37:24"/>
    <x v="27"/>
    <n v="1"/>
    <x v="0"/>
    <s v="Bare ground"/>
    <m/>
    <m/>
    <m/>
    <m/>
    <x v="1"/>
    <m/>
    <m/>
    <m/>
    <m/>
    <m/>
    <m/>
    <m/>
    <m/>
    <m/>
    <m/>
    <m/>
    <m/>
    <m/>
    <m/>
    <m/>
    <s v="7a124889-1ded-402a-8d9c-68d878630f72"/>
    <d v="2021-03-19T16:37:24"/>
    <s v="ccber_user"/>
    <d v="2021-03-19T16:37:24"/>
    <s v="ccber_user"/>
    <n v="-119.882635861881"/>
    <n v="34.4202490279879"/>
  </r>
  <r>
    <n v="29"/>
    <d v="2021-03-19T00:00:00"/>
    <d v="2021-03-19T08:39:43"/>
    <x v="28"/>
    <n v="1"/>
    <x v="0"/>
    <s v="Habitat Feature - Snag"/>
    <m/>
    <m/>
    <m/>
    <m/>
    <x v="1"/>
    <m/>
    <m/>
    <m/>
    <m/>
    <m/>
    <m/>
    <m/>
    <m/>
    <m/>
    <m/>
    <m/>
    <m/>
    <m/>
    <m/>
    <m/>
    <s v="c83acf6c-33d8-4c70-9387-161767ff53d1"/>
    <d v="2021-03-19T15:39:43"/>
    <s v="ccber_user"/>
    <d v="2021-03-19T15:39:43"/>
    <s v="ccber_user"/>
    <n v="-119.880702706254"/>
    <n v="34.419873599252099"/>
  </r>
  <r>
    <n v="33"/>
    <d v="2021-03-19T00:00:00"/>
    <d v="2021-03-19T08:44:44"/>
    <x v="28"/>
    <n v="2"/>
    <x v="0"/>
    <s v="Other"/>
    <m/>
    <m/>
    <s v="Perched on oak tree support post. Corrected Species from Lark Bunting to Lark Sparrow following survey review."/>
    <m/>
    <x v="1"/>
    <m/>
    <m/>
    <m/>
    <m/>
    <m/>
    <m/>
    <m/>
    <m/>
    <m/>
    <m/>
    <m/>
    <m/>
    <m/>
    <m/>
    <m/>
    <s v="8e361500-280e-4e10-948c-43a2f1375389"/>
    <d v="2021-03-19T15:44:44"/>
    <s v="ccber_user"/>
    <d v="2021-03-19T15:44:44"/>
    <s v="ccber_user"/>
    <n v="-119.879673368092"/>
    <n v="34.4199307716408"/>
  </r>
  <r>
    <n v="56"/>
    <d v="2021-03-19T00:00:00"/>
    <d v="2021-03-19T09:21:53"/>
    <x v="28"/>
    <n v="2"/>
    <x v="1"/>
    <s v="Other"/>
    <m/>
    <m/>
    <s v="Perched on oak tree support post."/>
    <m/>
    <x v="1"/>
    <m/>
    <m/>
    <m/>
    <m/>
    <m/>
    <m/>
    <m/>
    <m/>
    <m/>
    <m/>
    <m/>
    <m/>
    <m/>
    <m/>
    <m/>
    <s v="b1788429-c6ea-45a6-a084-e587585d5ed5"/>
    <d v="2021-03-19T16:21:53"/>
    <s v="ccber_user"/>
    <d v="2021-03-19T16:21:53"/>
    <s v="ccber_user"/>
    <n v="-119.88017331648101"/>
    <n v="34.420678404179"/>
  </r>
  <r>
    <n v="2"/>
    <d v="2021-03-19T00:00:00"/>
    <d v="2021-03-19T07:59:34"/>
    <x v="29"/>
    <n v="1"/>
    <x v="0"/>
    <s v="Mud"/>
    <m/>
    <m/>
    <m/>
    <m/>
    <x v="1"/>
    <m/>
    <m/>
    <m/>
    <m/>
    <m/>
    <m/>
    <m/>
    <m/>
    <m/>
    <m/>
    <m/>
    <m/>
    <m/>
    <m/>
    <m/>
    <s v="d3d2503d-e807-4856-9d60-643b36c0b2b0"/>
    <d v="2021-03-19T14:59:34"/>
    <s v="ccber_user"/>
    <d v="2021-03-19T14:59:34"/>
    <s v="ccber_user"/>
    <n v="-119.874032178975"/>
    <n v="34.417796720074001"/>
  </r>
  <r>
    <n v="99"/>
    <d v="2021-03-19T00:00:00"/>
    <d v="2021-03-19T08:04:12"/>
    <x v="29"/>
    <n v="1"/>
    <x v="0"/>
    <s v="Water - Wading"/>
    <m/>
    <m/>
    <m/>
    <m/>
    <x v="0"/>
    <m/>
    <m/>
    <m/>
    <m/>
    <m/>
    <m/>
    <m/>
    <m/>
    <m/>
    <m/>
    <m/>
    <m/>
    <m/>
    <m/>
    <m/>
    <s v="7f680337-786b-474e-bda8-fff6d52017d3"/>
    <d v="2021-03-19T15:04:12"/>
    <s v="ccber_user"/>
    <d v="2021-03-19T15:04:12"/>
    <s v="ccber_user"/>
    <n v="-119.874195391184"/>
    <n v="34.418044896597699"/>
  </r>
  <r>
    <n v="20"/>
    <d v="2021-03-19T00:00:00"/>
    <d v="2021-03-19T08:20:17"/>
    <x v="29"/>
    <n v="4"/>
    <x v="0"/>
    <s v="Air"/>
    <m/>
    <m/>
    <m/>
    <m/>
    <x v="1"/>
    <m/>
    <m/>
    <m/>
    <m/>
    <m/>
    <m/>
    <m/>
    <m/>
    <m/>
    <m/>
    <m/>
    <m/>
    <m/>
    <m/>
    <m/>
    <s v="b1d27227-9b9d-4067-b670-bcf06f2a1307"/>
    <d v="2021-03-19T15:20:17"/>
    <s v="ccber_user"/>
    <d v="2021-03-19T15:20:17"/>
    <s v="ccber_user"/>
    <n v="-119.875433723295"/>
    <n v="34.418288393395201"/>
  </r>
  <r>
    <n v="21"/>
    <d v="2021-03-19T00:00:00"/>
    <d v="2021-03-19T08:21:25"/>
    <x v="30"/>
    <n v="1"/>
    <x v="0"/>
    <s v="Vegetation - Tree"/>
    <m/>
    <m/>
    <m/>
    <m/>
    <x v="1"/>
    <m/>
    <m/>
    <m/>
    <m/>
    <m/>
    <m/>
    <m/>
    <m/>
    <m/>
    <m/>
    <m/>
    <m/>
    <m/>
    <m/>
    <m/>
    <s v="3b91ebba-f8bb-48f8-a7c5-573de7635d6d"/>
    <d v="2021-03-19T15:21:25"/>
    <s v="ccber_user"/>
    <d v="2021-03-19T15:21:25"/>
    <s v="ccber_user"/>
    <n v="-119.87666841633001"/>
    <n v="34.417858530656801"/>
  </r>
  <r>
    <n v="124"/>
    <d v="2021-03-19T00:00:00"/>
    <d v="2021-03-19T08:28:38"/>
    <x v="30"/>
    <n v="3"/>
    <x v="0"/>
    <s v="Vegetation - Tree"/>
    <m/>
    <m/>
    <m/>
    <m/>
    <x v="0"/>
    <m/>
    <m/>
    <m/>
    <m/>
    <m/>
    <m/>
    <m/>
    <m/>
    <m/>
    <m/>
    <m/>
    <m/>
    <m/>
    <m/>
    <m/>
    <s v="88c98959-08e2-469e-823d-793e79182656"/>
    <d v="2021-03-19T15:28:38"/>
    <s v="ccber_user"/>
    <d v="2021-03-19T15:28:38"/>
    <s v="ccber_user"/>
    <n v="-119.870614145015"/>
    <n v="34.421197590352499"/>
  </r>
  <r>
    <n v="28"/>
    <d v="2021-03-19T00:00:00"/>
    <d v="2021-03-19T08:36:10"/>
    <x v="30"/>
    <n v="2"/>
    <x v="0"/>
    <s v="Vegetation - Shrub"/>
    <m/>
    <m/>
    <m/>
    <m/>
    <x v="1"/>
    <m/>
    <m/>
    <m/>
    <m/>
    <m/>
    <m/>
    <m/>
    <m/>
    <m/>
    <m/>
    <m/>
    <m/>
    <m/>
    <m/>
    <m/>
    <s v="0c001c12-d9f9-43ab-958a-34702ee1251f"/>
    <d v="2021-03-19T15:36:10"/>
    <s v="ccber_user"/>
    <d v="2021-03-19T15:36:10"/>
    <s v="ccber_user"/>
    <n v="-119.88139321067"/>
    <n v="34.418634849129802"/>
  </r>
  <r>
    <n v="60"/>
    <d v="2021-03-19T00:00:00"/>
    <d v="2021-03-19T09:23:32"/>
    <x v="30"/>
    <n v="3"/>
    <x v="0"/>
    <s v="Fence"/>
    <m/>
    <m/>
    <m/>
    <m/>
    <x v="1"/>
    <m/>
    <m/>
    <m/>
    <m/>
    <m/>
    <m/>
    <m/>
    <m/>
    <m/>
    <m/>
    <m/>
    <m/>
    <m/>
    <m/>
    <m/>
    <s v="f0eb6dc2-4887-4e9d-b6b4-440ca64654ad"/>
    <d v="2021-03-19T16:23:32"/>
    <s v="ccber_user"/>
    <d v="2021-03-19T16:23:32"/>
    <s v="ccber_user"/>
    <n v="-119.879842821796"/>
    <n v="34.421305177371202"/>
  </r>
  <r>
    <n v="177"/>
    <d v="2021-03-19T00:00:00"/>
    <d v="2021-03-19T09:31:27"/>
    <x v="30"/>
    <n v="2"/>
    <x v="0"/>
    <s v="Vegetation - Shrub"/>
    <m/>
    <m/>
    <m/>
    <m/>
    <x v="0"/>
    <m/>
    <m/>
    <m/>
    <m/>
    <m/>
    <m/>
    <m/>
    <m/>
    <m/>
    <m/>
    <m/>
    <m/>
    <m/>
    <m/>
    <m/>
    <s v="9320e47e-e16f-4b39-b31c-59349962ef9c"/>
    <d v="2021-03-19T16:31:27"/>
    <s v="ccber_user"/>
    <d v="2021-03-19T16:31:27"/>
    <s v="ccber_user"/>
    <n v="-119.880625235544"/>
    <n v="34.421835386751198"/>
  </r>
  <r>
    <n v="188"/>
    <d v="2021-03-19T00:00:00"/>
    <d v="2021-03-19T09:44:52"/>
    <x v="30"/>
    <n v="3"/>
    <x v="0"/>
    <s v="Vegetation - Tree"/>
    <m/>
    <m/>
    <m/>
    <m/>
    <x v="0"/>
    <m/>
    <m/>
    <m/>
    <m/>
    <m/>
    <m/>
    <m/>
    <m/>
    <m/>
    <m/>
    <m/>
    <m/>
    <m/>
    <m/>
    <m/>
    <s v="7f934524-210d-4417-ada1-6ecf08caff80"/>
    <d v="2021-03-19T16:44:52"/>
    <s v="ccber_user"/>
    <d v="2021-03-19T16:44:52"/>
    <s v="ccber_user"/>
    <n v="-119.88367272792399"/>
    <n v="34.421628155456403"/>
  </r>
  <r>
    <n v="135"/>
    <d v="2021-03-19T00:00:00"/>
    <d v="2021-03-19T08:37:13"/>
    <x v="31"/>
    <n v="2"/>
    <x v="0"/>
    <s v="Flyover"/>
    <m/>
    <m/>
    <m/>
    <m/>
    <x v="0"/>
    <m/>
    <m/>
    <m/>
    <m/>
    <m/>
    <m/>
    <m/>
    <m/>
    <m/>
    <m/>
    <m/>
    <m/>
    <m/>
    <m/>
    <m/>
    <s v="1512ee63-e2c8-4b1e-ac99-c4d8dfdcf366"/>
    <d v="2021-03-19T15:37:13"/>
    <s v="ccber_user"/>
    <d v="2021-03-19T15:37:13"/>
    <s v="ccber_user"/>
    <n v="-119.872825483732"/>
    <n v="34.4221863998551"/>
  </r>
  <r>
    <n v="144"/>
    <d v="2021-03-19T00:00:00"/>
    <d v="2021-03-19T08:47:23"/>
    <x v="31"/>
    <n v="2"/>
    <x v="1"/>
    <s v="Water - Floating"/>
    <m/>
    <m/>
    <m/>
    <m/>
    <x v="0"/>
    <m/>
    <m/>
    <m/>
    <m/>
    <m/>
    <m/>
    <m/>
    <m/>
    <m/>
    <m/>
    <m/>
    <m/>
    <m/>
    <m/>
    <m/>
    <s v="262d75b7-877e-4b12-9c97-2e60e1e07449"/>
    <d v="2021-03-19T15:47:23"/>
    <s v="ccber_user"/>
    <d v="2021-03-19T15:47:23"/>
    <s v="ccber_user"/>
    <n v="-119.87347742347301"/>
    <n v="34.4216895445308"/>
  </r>
  <r>
    <n v="81"/>
    <d v="2021-03-19T00:00:00"/>
    <d v="2021-03-19T09:49:12"/>
    <x v="31"/>
    <n v="1"/>
    <x v="0"/>
    <s v="Water - Floating"/>
    <m/>
    <m/>
    <m/>
    <m/>
    <x v="1"/>
    <m/>
    <m/>
    <m/>
    <m/>
    <m/>
    <m/>
    <m/>
    <m/>
    <m/>
    <m/>
    <m/>
    <m/>
    <m/>
    <m/>
    <m/>
    <s v="3ecb18df-419e-491c-949d-71b16f07305e"/>
    <d v="2021-03-19T16:49:12"/>
    <s v="ccber_user"/>
    <d v="2021-03-19T16:49:12"/>
    <s v="ccber_user"/>
    <n v="-119.882712487276"/>
    <n v="34.4208801653431"/>
  </r>
  <r>
    <n v="163"/>
    <d v="2021-03-19T00:00:00"/>
    <d v="2021-03-19T09:14:12"/>
    <x v="32"/>
    <n v="1"/>
    <x v="0"/>
    <s v="Vegetation - Herbaceous"/>
    <m/>
    <m/>
    <m/>
    <m/>
    <x v="0"/>
    <m/>
    <m/>
    <m/>
    <m/>
    <m/>
    <m/>
    <m/>
    <m/>
    <m/>
    <m/>
    <m/>
    <m/>
    <m/>
    <m/>
    <m/>
    <s v="491bdb85-855d-40cb-aa30-5fceed736478"/>
    <d v="2021-03-19T16:14:12"/>
    <s v="ccber_user"/>
    <d v="2021-03-19T16:14:12"/>
    <s v="ccber_user"/>
    <n v="-119.878930543099"/>
    <n v="34.4213285840708"/>
  </r>
  <r>
    <n v="58"/>
    <d v="2021-03-19T00:00:00"/>
    <d v="2021-03-19T09:23:06"/>
    <x v="32"/>
    <n v="1"/>
    <x v="0"/>
    <s v="Vegetation - Shrub"/>
    <m/>
    <m/>
    <m/>
    <m/>
    <x v="1"/>
    <m/>
    <m/>
    <m/>
    <m/>
    <m/>
    <m/>
    <m/>
    <m/>
    <m/>
    <m/>
    <m/>
    <m/>
    <m/>
    <m/>
    <m/>
    <s v="57c009a3-fbc3-4184-b421-385a22fd6900"/>
    <d v="2021-03-19T16:23:06"/>
    <s v="ccber_user"/>
    <d v="2021-03-19T16:23:06"/>
    <s v="ccber_user"/>
    <n v="-119.880091174531"/>
    <n v="34.421319999317802"/>
  </r>
  <r>
    <n v="63"/>
    <d v="2021-03-19T00:00:00"/>
    <d v="2021-03-19T09:27:47"/>
    <x v="32"/>
    <n v="1"/>
    <x v="0"/>
    <s v="Vegetation - Herbaceous"/>
    <m/>
    <m/>
    <m/>
    <m/>
    <x v="1"/>
    <m/>
    <m/>
    <m/>
    <m/>
    <m/>
    <m/>
    <m/>
    <m/>
    <m/>
    <m/>
    <m/>
    <m/>
    <m/>
    <m/>
    <m/>
    <s v="b08ecd74-52fd-4a4f-8e0a-2a0207726945"/>
    <d v="2021-03-19T16:27:47"/>
    <s v="ccber_user"/>
    <d v="2021-03-19T16:27:47"/>
    <s v="ccber_user"/>
    <n v="-119.88085034167599"/>
    <n v="34.421381813965397"/>
  </r>
  <r>
    <n v="82"/>
    <d v="2021-03-19T00:00:00"/>
    <d v="2021-03-19T09:51:08"/>
    <x v="32"/>
    <n v="1"/>
    <x v="0"/>
    <s v="Vegetation - Herbaceous"/>
    <m/>
    <m/>
    <m/>
    <m/>
    <x v="1"/>
    <m/>
    <m/>
    <m/>
    <m/>
    <m/>
    <m/>
    <m/>
    <m/>
    <m/>
    <m/>
    <m/>
    <m/>
    <m/>
    <m/>
    <m/>
    <s v="59840361-f1a3-4035-a0d2-863af085c2e9"/>
    <d v="2021-03-19T16:51:08"/>
    <s v="ccber_user"/>
    <d v="2021-03-19T16:51:08"/>
    <s v="ccber_user"/>
    <n v="-119.88327343666199"/>
    <n v="34.421194111243601"/>
  </r>
  <r>
    <n v="17"/>
    <d v="2021-03-19T00:00:00"/>
    <d v="2021-03-19T08:16:59"/>
    <x v="33"/>
    <n v="1"/>
    <x v="0"/>
    <s v="Air"/>
    <m/>
    <m/>
    <m/>
    <m/>
    <x v="1"/>
    <m/>
    <m/>
    <m/>
    <m/>
    <m/>
    <m/>
    <m/>
    <m/>
    <m/>
    <m/>
    <m/>
    <m/>
    <m/>
    <m/>
    <m/>
    <s v="ea4f0a7c-b025-4994-bb73-ad3b072b40aa"/>
    <d v="2021-03-19T15:16:59"/>
    <s v="ccber_user"/>
    <d v="2021-03-19T15:16:59"/>
    <s v="ccber_user"/>
    <n v="-119.876660715073"/>
    <n v="34.418104166672002"/>
  </r>
  <r>
    <n v="49"/>
    <d v="2021-03-19T00:00:00"/>
    <d v="2021-03-19T09:06:02"/>
    <x v="34"/>
    <n v="1"/>
    <x v="0"/>
    <s v="Air"/>
    <m/>
    <m/>
    <m/>
    <m/>
    <x v="1"/>
    <m/>
    <m/>
    <m/>
    <m/>
    <m/>
    <m/>
    <m/>
    <m/>
    <m/>
    <m/>
    <m/>
    <m/>
    <m/>
    <m/>
    <m/>
    <s v="2f5822ad-db35-44fa-bcf1-34a89998c3af"/>
    <d v="2021-03-19T16:06:02"/>
    <s v="ccber_user"/>
    <d v="2021-03-19T16:06:02"/>
    <s v="ccber_user"/>
    <n v="-119.878495201546"/>
    <n v="34.420058986241898"/>
  </r>
  <r>
    <n v="159"/>
    <d v="2021-03-19T00:00:00"/>
    <d v="2021-03-19T09:03:57"/>
    <x v="35"/>
    <n v="1"/>
    <x v="0"/>
    <s v="Vegetation - Tree"/>
    <m/>
    <m/>
    <m/>
    <m/>
    <x v="0"/>
    <m/>
    <m/>
    <m/>
    <m/>
    <m/>
    <m/>
    <m/>
    <m/>
    <m/>
    <m/>
    <m/>
    <m/>
    <m/>
    <m/>
    <m/>
    <s v="4e480d70-daa6-476b-9763-ad76766dc106"/>
    <d v="2021-03-19T16:03:57"/>
    <s v="ccber_user"/>
    <d v="2021-03-19T16:03:57"/>
    <s v="ccber_user"/>
    <n v="-119.877922782471"/>
    <n v="34.421441612246198"/>
  </r>
  <r>
    <n v="54"/>
    <d v="2021-03-19T00:00:00"/>
    <d v="2021-03-19T09:17:35"/>
    <x v="36"/>
    <n v="4"/>
    <x v="0"/>
    <s v="Air"/>
    <m/>
    <m/>
    <m/>
    <m/>
    <x v="1"/>
    <m/>
    <m/>
    <m/>
    <m/>
    <m/>
    <m/>
    <m/>
    <m/>
    <m/>
    <m/>
    <m/>
    <m/>
    <m/>
    <m/>
    <m/>
    <s v="63a8114f-f7ef-4389-8b2f-ddf987956582"/>
    <d v="2021-03-19T16:17:35"/>
    <s v="ccber_user"/>
    <d v="2021-03-19T16:17:35"/>
    <s v="ccber_user"/>
    <n v="-119.879141410934"/>
    <n v="34.421036258102198"/>
  </r>
  <r>
    <n v="169"/>
    <d v="2021-03-19T00:00:00"/>
    <d v="2021-03-19T09:23:21"/>
    <x v="36"/>
    <n v="1"/>
    <x v="0"/>
    <s v="Air"/>
    <m/>
    <m/>
    <m/>
    <m/>
    <x v="0"/>
    <m/>
    <m/>
    <m/>
    <m/>
    <m/>
    <m/>
    <m/>
    <m/>
    <m/>
    <m/>
    <m/>
    <m/>
    <m/>
    <m/>
    <m/>
    <s v="fba98718-e890-470c-8775-8cc8738a6dc1"/>
    <d v="2021-03-19T16:23:21"/>
    <s v="ccber_user"/>
    <d v="2021-03-19T16:23:21"/>
    <s v="ccber_user"/>
    <n v="-119.87855949127599"/>
    <n v="34.420931160587003"/>
  </r>
  <r>
    <n v="116"/>
    <d v="2021-03-19T00:00:00"/>
    <d v="2021-03-19T08:22:33"/>
    <x v="37"/>
    <n v="2"/>
    <x v="0"/>
    <s v="Water - Floating"/>
    <m/>
    <m/>
    <m/>
    <m/>
    <x v="0"/>
    <m/>
    <m/>
    <m/>
    <m/>
    <m/>
    <m/>
    <m/>
    <m/>
    <m/>
    <m/>
    <m/>
    <m/>
    <m/>
    <m/>
    <m/>
    <s v="3242d1d1-800f-45db-b2bf-f036a46849b6"/>
    <d v="2021-03-19T15:22:33"/>
    <s v="ccber_user"/>
    <d v="2021-03-19T15:22:33"/>
    <s v="ccber_user"/>
    <n v="-119.872130205668"/>
    <n v="34.4211671335093"/>
  </r>
  <r>
    <n v="199"/>
    <d v="2021-03-19T00:00:00"/>
    <d v="2021-03-19T10:09:02"/>
    <x v="37"/>
    <n v="2"/>
    <x v="0"/>
    <s v="Water - Floating"/>
    <m/>
    <m/>
    <m/>
    <m/>
    <x v="0"/>
    <m/>
    <m/>
    <m/>
    <m/>
    <m/>
    <m/>
    <m/>
    <m/>
    <m/>
    <m/>
    <m/>
    <m/>
    <m/>
    <m/>
    <m/>
    <s v="54daefeb-04a3-4c6a-962b-b9b16b1f649e"/>
    <d v="2021-03-19T17:09:02"/>
    <s v="ccber_user"/>
    <d v="2021-03-19T17:09:02"/>
    <s v="ccber_user"/>
    <n v="-119.88107038310601"/>
    <n v="34.421523341014399"/>
  </r>
  <r>
    <n v="92"/>
    <d v="2021-03-19T00:00:00"/>
    <d v="2021-03-19T10:01:09"/>
    <x v="38"/>
    <n v="1"/>
    <x v="0"/>
    <s v="Vegetation - Tree"/>
    <m/>
    <m/>
    <m/>
    <m/>
    <x v="1"/>
    <m/>
    <m/>
    <m/>
    <m/>
    <m/>
    <m/>
    <m/>
    <m/>
    <m/>
    <m/>
    <m/>
    <m/>
    <m/>
    <m/>
    <m/>
    <s v="a681118a-6583-4d59-ba92-bbed6ca1491b"/>
    <d v="2021-03-19T17:01:09"/>
    <s v="ccber_user"/>
    <d v="2021-03-19T17:01:09"/>
    <s v="ccber_user"/>
    <n v="-119.88441168567"/>
    <n v="34.421398272076203"/>
  </r>
  <r>
    <n v="101"/>
    <d v="2021-03-19T00:00:00"/>
    <d v="2021-03-19T08:05:38"/>
    <x v="39"/>
    <n v="1"/>
    <x v="0"/>
    <s v="Flyover"/>
    <m/>
    <m/>
    <m/>
    <m/>
    <x v="0"/>
    <m/>
    <m/>
    <m/>
    <m/>
    <m/>
    <m/>
    <m/>
    <m/>
    <m/>
    <m/>
    <m/>
    <m/>
    <m/>
    <m/>
    <m/>
    <s v="0175cbd4-78a2-48ec-b242-94c00443d739"/>
    <d v="2021-03-19T15:05:38"/>
    <s v="ccber_user"/>
    <d v="2021-03-19T15:05:38"/>
    <s v="ccber_user"/>
    <n v="-119.874301471439"/>
    <n v="34.418661105160602"/>
  </r>
  <r>
    <n v="7"/>
    <d v="2021-03-19T00:00:00"/>
    <d v="2021-03-19T08:07:01"/>
    <x v="39"/>
    <n v="1"/>
    <x v="1"/>
    <s v="Air"/>
    <m/>
    <m/>
    <s v="Change Repeat Observation from No to Yes following survey review."/>
    <m/>
    <x v="1"/>
    <m/>
    <m/>
    <m/>
    <m/>
    <m/>
    <m/>
    <m/>
    <m/>
    <m/>
    <m/>
    <m/>
    <m/>
    <m/>
    <m/>
    <m/>
    <s v="b8b402f6-bc13-4e7c-bdd0-bd47219611a7"/>
    <d v="2021-03-19T15:07:01"/>
    <s v="ccber_user"/>
    <d v="2021-03-19T15:07:01"/>
    <s v="ccber_user"/>
    <n v="-119.87599074704301"/>
    <n v="34.417824649668297"/>
  </r>
  <r>
    <n v="142"/>
    <d v="2021-03-19T00:00:00"/>
    <d v="2021-03-19T08:46:10"/>
    <x v="40"/>
    <n v="1"/>
    <x v="0"/>
    <s v="Water - Floating"/>
    <m/>
    <m/>
    <m/>
    <m/>
    <x v="0"/>
    <m/>
    <m/>
    <m/>
    <m/>
    <m/>
    <m/>
    <m/>
    <m/>
    <m/>
    <m/>
    <m/>
    <m/>
    <m/>
    <m/>
    <m/>
    <s v="44594655-e9b0-49ca-b34f-d4741e7c3db6"/>
    <d v="2021-03-19T15:46:10"/>
    <s v="ccber_user"/>
    <d v="2021-03-19T15:46:10"/>
    <s v="ccber_user"/>
    <n v="-119.873390081176"/>
    <n v="34.4217187125506"/>
  </r>
  <r>
    <n v="149"/>
    <d v="2021-03-19T00:00:00"/>
    <d v="2021-03-19T08:54:30"/>
    <x v="41"/>
    <n v="1"/>
    <x v="0"/>
    <s v="Vegetation - Tree"/>
    <m/>
    <m/>
    <m/>
    <m/>
    <x v="0"/>
    <m/>
    <m/>
    <m/>
    <m/>
    <m/>
    <m/>
    <m/>
    <m/>
    <m/>
    <m/>
    <m/>
    <m/>
    <m/>
    <m/>
    <m/>
    <s v="267dc64b-2a0f-4b3b-a0be-a66dd7514dce"/>
    <d v="2021-03-19T15:54:30"/>
    <s v="ccber_user"/>
    <d v="2021-03-19T15:54:30"/>
    <s v="ccber_user"/>
    <n v="-119.875550404569"/>
    <n v="34.421157217859601"/>
  </r>
  <r>
    <n v="100"/>
    <d v="2021-03-19T00:00:00"/>
    <d v="2021-03-19T08:04:38"/>
    <x v="42"/>
    <n v="2"/>
    <x v="0"/>
    <s v="Water - Floating"/>
    <m/>
    <m/>
    <m/>
    <m/>
    <x v="0"/>
    <m/>
    <m/>
    <m/>
    <m/>
    <m/>
    <m/>
    <m/>
    <m/>
    <m/>
    <m/>
    <m/>
    <m/>
    <m/>
    <m/>
    <m/>
    <s v="02ed24ca-e6f1-428a-8851-459322604a2e"/>
    <d v="2021-03-19T15:04:38"/>
    <s v="ccber_user"/>
    <d v="2021-03-19T15:04:38"/>
    <s v="ccber_user"/>
    <n v="-119.87442081172701"/>
    <n v="34.418143343841201"/>
  </r>
  <r>
    <n v="200"/>
    <d v="2021-03-19T00:00:00"/>
    <d v="2021-03-19T10:17:05"/>
    <x v="42"/>
    <n v="4"/>
    <x v="0"/>
    <s v="Water - Floating"/>
    <m/>
    <m/>
    <m/>
    <m/>
    <x v="0"/>
    <m/>
    <m/>
    <m/>
    <m/>
    <m/>
    <m/>
    <m/>
    <m/>
    <m/>
    <m/>
    <m/>
    <m/>
    <m/>
    <m/>
    <m/>
    <s v="6113cad7-2729-4467-a668-d16a51521528"/>
    <d v="2021-03-19T17:17:05"/>
    <s v="ccber_user"/>
    <d v="2021-03-19T17:17:05"/>
    <s v="ccber_user"/>
    <n v="-119.88211430362"/>
    <n v="34.421164951933001"/>
  </r>
  <r>
    <n v="191"/>
    <d v="2021-03-19T00:00:00"/>
    <d v="2021-03-19T09:46:15"/>
    <x v="43"/>
    <n v="1"/>
    <x v="0"/>
    <s v="Vegetation - Tree"/>
    <m/>
    <m/>
    <s v="Changed Repeat Observation from Yes to No following survey review."/>
    <m/>
    <x v="0"/>
    <m/>
    <m/>
    <m/>
    <m/>
    <m/>
    <m/>
    <m/>
    <m/>
    <m/>
    <m/>
    <m/>
    <m/>
    <m/>
    <m/>
    <m/>
    <s v="6ef306fc-ff50-4620-b975-3958dbf105f0"/>
    <d v="2021-03-19T16:46:15"/>
    <s v="ccber_user"/>
    <d v="2021-03-19T16:46:15"/>
    <s v="ccber_user"/>
    <n v="-119.884933090319"/>
    <n v="34.421562514358499"/>
  </r>
  <r>
    <n v="95"/>
    <d v="2021-03-19T00:00:00"/>
    <d v="2021-03-19T10:12:07"/>
    <x v="43"/>
    <n v="1"/>
    <x v="1"/>
    <s v="Air"/>
    <m/>
    <m/>
    <m/>
    <m/>
    <x v="1"/>
    <m/>
    <s v="1015"/>
    <m/>
    <m/>
    <m/>
    <m/>
    <m/>
    <m/>
    <n v="65"/>
    <n v="50"/>
    <s v="High"/>
    <m/>
    <m/>
    <m/>
    <m/>
    <s v="89a70979-3637-4331-acff-4bf367030845"/>
    <d v="2021-03-19T17:12:07"/>
    <s v="ccber_user"/>
    <d v="2021-03-19T17:28:33"/>
    <s v="ccber_user"/>
    <n v="-119.88093296242801"/>
    <n v="34.422001065007301"/>
  </r>
  <r>
    <n v="113"/>
    <d v="2021-03-19T00:00:00"/>
    <d v="2021-03-19T08:20:50"/>
    <x v="44"/>
    <n v="1"/>
    <x v="0"/>
    <s v="Vegetation - Herbaceous"/>
    <m/>
    <m/>
    <m/>
    <m/>
    <x v="0"/>
    <m/>
    <m/>
    <m/>
    <m/>
    <m/>
    <m/>
    <m/>
    <m/>
    <m/>
    <m/>
    <m/>
    <m/>
    <m/>
    <m/>
    <m/>
    <s v="e9a626fc-1bfa-4c62-b7aa-bde0732baf2b"/>
    <d v="2021-03-19T15:20:50"/>
    <s v="ccber_user"/>
    <d v="2021-03-19T15:20:50"/>
    <s v="ccber_user"/>
    <n v="-119.872585466465"/>
    <n v="34.420809816650198"/>
  </r>
  <r>
    <n v="123"/>
    <d v="2021-03-19T00:00:00"/>
    <d v="2021-03-19T08:28:20"/>
    <x v="44"/>
    <n v="1"/>
    <x v="0"/>
    <s v="Vegetation - Tree"/>
    <m/>
    <m/>
    <m/>
    <m/>
    <x v="0"/>
    <m/>
    <m/>
    <m/>
    <m/>
    <m/>
    <m/>
    <m/>
    <m/>
    <m/>
    <m/>
    <m/>
    <m/>
    <m/>
    <m/>
    <m/>
    <s v="17d97ee6-a4ca-4ac4-837c-8084d243983f"/>
    <d v="2021-03-19T15:28:20"/>
    <s v="ccber_user"/>
    <d v="2021-03-19T15:28:20"/>
    <s v="ccber_user"/>
    <n v="-119.870530164214"/>
    <n v="34.421150191463902"/>
  </r>
  <r>
    <n v="71"/>
    <d v="2021-03-19T00:00:00"/>
    <d v="2021-03-19T09:35:32"/>
    <x v="44"/>
    <n v="6"/>
    <x v="0"/>
    <s v="Air"/>
    <m/>
    <m/>
    <m/>
    <m/>
    <x v="1"/>
    <m/>
    <m/>
    <m/>
    <m/>
    <m/>
    <m/>
    <m/>
    <m/>
    <m/>
    <m/>
    <m/>
    <m/>
    <m/>
    <m/>
    <m/>
    <s v="8ead51f1-73d4-4b15-80fe-2fdbbe3b9440"/>
    <d v="2021-03-19T16:35:32"/>
    <s v="ccber_user"/>
    <d v="2021-03-19T16:35:32"/>
    <s v="ccber_user"/>
    <n v="-119.882217451774"/>
    <n v="34.420837689661099"/>
  </r>
  <r>
    <n v="107"/>
    <d v="2021-03-19T00:00:00"/>
    <d v="2021-03-19T08:12:39"/>
    <x v="45"/>
    <n v="10"/>
    <x v="0"/>
    <s v="Bare ground"/>
    <m/>
    <m/>
    <m/>
    <m/>
    <x v="0"/>
    <m/>
    <m/>
    <m/>
    <m/>
    <m/>
    <m/>
    <m/>
    <m/>
    <m/>
    <m/>
    <m/>
    <m/>
    <m/>
    <m/>
    <m/>
    <s v="04daf016-b94e-492d-b07e-1e7b74302d28"/>
    <d v="2021-03-19T15:12:39"/>
    <s v="ccber_user"/>
    <d v="2021-03-19T15:12:39"/>
    <s v="ccber_user"/>
    <n v="-119.875480297349"/>
    <n v="34.419295539536797"/>
  </r>
  <r>
    <n v="162"/>
    <d v="2021-03-19T00:00:00"/>
    <d v="2021-03-19T09:07:56"/>
    <x v="46"/>
    <n v="3"/>
    <x v="0"/>
    <s v="Bare ground"/>
    <m/>
    <m/>
    <m/>
    <m/>
    <x v="0"/>
    <m/>
    <m/>
    <m/>
    <m/>
    <m/>
    <m/>
    <m/>
    <m/>
    <m/>
    <m/>
    <m/>
    <m/>
    <m/>
    <m/>
    <m/>
    <s v="112e1b41-a5a6-4c33-b691-f1a306b012f4"/>
    <d v="2021-03-19T16:07:56"/>
    <s v="ccber_user"/>
    <d v="2021-03-19T16:07:56"/>
    <s v="ccber_user"/>
    <n v="-119.878926123388"/>
    <n v="34.421292122762701"/>
  </r>
  <r>
    <n v="126"/>
    <d v="2021-03-19T00:00:00"/>
    <d v="2021-03-19T08:29:54"/>
    <x v="47"/>
    <n v="1"/>
    <x v="0"/>
    <s v="Vegetation - Tree"/>
    <m/>
    <m/>
    <m/>
    <m/>
    <x v="0"/>
    <m/>
    <m/>
    <m/>
    <m/>
    <m/>
    <m/>
    <m/>
    <m/>
    <m/>
    <m/>
    <m/>
    <m/>
    <m/>
    <m/>
    <m/>
    <s v="74d6cad0-e1fc-4be1-8834-c59e211bce99"/>
    <d v="2021-03-19T15:29:54"/>
    <s v="ccber_user"/>
    <d v="2021-03-19T15:29:54"/>
    <s v="ccber_user"/>
    <n v="-119.871206910033"/>
    <n v="34.421309899171497"/>
  </r>
  <r>
    <n v="132"/>
    <d v="2021-03-19T00:00:00"/>
    <d v="2021-03-19T08:35:08"/>
    <x v="47"/>
    <n v="1"/>
    <x v="0"/>
    <s v="Vegetation - Tree"/>
    <m/>
    <m/>
    <m/>
    <m/>
    <x v="0"/>
    <m/>
    <m/>
    <m/>
    <m/>
    <m/>
    <m/>
    <m/>
    <m/>
    <m/>
    <m/>
    <m/>
    <m/>
    <m/>
    <m/>
    <m/>
    <s v="fbae2066-a259-4b81-94b8-73808b849bb2"/>
    <d v="2021-03-19T15:35:08"/>
    <s v="ccber_user"/>
    <d v="2021-03-19T15:35:08"/>
    <s v="ccber_user"/>
    <n v="-119.872176966572"/>
    <n v="34.422686116975598"/>
  </r>
  <r>
    <n v="168"/>
    <d v="2021-03-19T00:00:00"/>
    <d v="2021-03-19T09:20:39"/>
    <x v="47"/>
    <n v="1"/>
    <x v="0"/>
    <s v="Vegetation - Tree"/>
    <m/>
    <m/>
    <m/>
    <m/>
    <x v="0"/>
    <m/>
    <m/>
    <m/>
    <m/>
    <m/>
    <m/>
    <m/>
    <m/>
    <m/>
    <m/>
    <m/>
    <m/>
    <m/>
    <m/>
    <m/>
    <s v="24e98cb1-1f39-410b-92ea-202dec3fe73c"/>
    <d v="2021-03-19T16:20:39"/>
    <s v="ccber_user"/>
    <d v="2021-03-19T16:20:49"/>
    <s v="ccber_user"/>
    <n v="-119.87883353133699"/>
    <n v="34.421565578480397"/>
  </r>
  <r>
    <n v="189"/>
    <d v="2021-03-19T00:00:00"/>
    <d v="2021-03-19T09:45:13"/>
    <x v="47"/>
    <n v="1"/>
    <x v="0"/>
    <s v="Vegetation - Tree"/>
    <m/>
    <m/>
    <m/>
    <m/>
    <x v="0"/>
    <m/>
    <m/>
    <m/>
    <m/>
    <m/>
    <m/>
    <m/>
    <m/>
    <m/>
    <m/>
    <m/>
    <m/>
    <m/>
    <m/>
    <m/>
    <s v="185f14ef-8bb8-4068-9a02-ae909898cc7e"/>
    <d v="2021-03-19T16:45:13"/>
    <s v="ccber_user"/>
    <d v="2021-03-19T16:45:13"/>
    <s v="ccber_user"/>
    <n v="-119.88362652307799"/>
    <n v="34.421640860250797"/>
  </r>
  <r>
    <n v="80"/>
    <d v="2021-03-19T00:00:00"/>
    <d v="2021-03-19T09:48:52"/>
    <x v="47"/>
    <n v="1"/>
    <x v="0"/>
    <s v="Vegetation - Tree"/>
    <m/>
    <m/>
    <m/>
    <m/>
    <x v="1"/>
    <m/>
    <m/>
    <m/>
    <m/>
    <m/>
    <m/>
    <m/>
    <m/>
    <m/>
    <m/>
    <m/>
    <m/>
    <m/>
    <m/>
    <m/>
    <s v="fd36a859-154c-4126-998e-3f1ebb2c478d"/>
    <d v="2021-03-19T16:48:52"/>
    <s v="ccber_user"/>
    <d v="2021-03-19T16:48:52"/>
    <s v="ccber_user"/>
    <n v="-119.88182290182"/>
    <n v="34.420795418481099"/>
  </r>
  <r>
    <n v="50"/>
    <d v="2021-03-19T00:00:00"/>
    <d v="2021-03-19T09:09:03"/>
    <x v="48"/>
    <n v="1"/>
    <x v="0"/>
    <s v="Vegetation - Herbaceous"/>
    <m/>
    <m/>
    <m/>
    <m/>
    <x v="1"/>
    <m/>
    <m/>
    <m/>
    <m/>
    <m/>
    <m/>
    <m/>
    <m/>
    <m/>
    <m/>
    <m/>
    <m/>
    <m/>
    <m/>
    <m/>
    <s v="05a34b50-7c62-4dfb-8671-97bc9acd42a1"/>
    <d v="2021-03-19T16:09:03"/>
    <s v="ccber_user"/>
    <d v="2021-03-19T16:09:03"/>
    <s v="ccber_user"/>
    <n v="-119.879213284241"/>
    <n v="34.420572529614802"/>
  </r>
  <r>
    <n v="55"/>
    <d v="2021-03-19T00:00:00"/>
    <d v="2021-03-19T09:18:58"/>
    <x v="49"/>
    <n v="1"/>
    <x v="0"/>
    <s v="Vegetation - Shrub"/>
    <m/>
    <m/>
    <m/>
    <m/>
    <x v="1"/>
    <m/>
    <m/>
    <m/>
    <m/>
    <m/>
    <m/>
    <m/>
    <m/>
    <m/>
    <m/>
    <m/>
    <m/>
    <m/>
    <m/>
    <m/>
    <s v="e73fe72f-f7d9-47e3-94b8-20e36ccdfaec"/>
    <d v="2021-03-19T16:18:58"/>
    <s v="ccber_user"/>
    <d v="2021-03-19T16:18:58"/>
    <s v="ccber_user"/>
    <n v="-119.87995512737599"/>
    <n v="34.420947323857902"/>
  </r>
  <r>
    <n v="4"/>
    <d v="2021-03-19T00:00:00"/>
    <d v="2021-03-19T08:04:33"/>
    <x v="50"/>
    <n v="1"/>
    <x v="0"/>
    <s v="Bare ground"/>
    <m/>
    <m/>
    <m/>
    <m/>
    <x v="1"/>
    <m/>
    <m/>
    <m/>
    <m/>
    <m/>
    <m/>
    <m/>
    <m/>
    <m/>
    <m/>
    <m/>
    <m/>
    <m/>
    <m/>
    <m/>
    <s v="03acb4fd-ddb4-4665-8973-db6d565583b4"/>
    <d v="2021-03-19T15:04:33"/>
    <s v="ccber_user"/>
    <d v="2021-03-19T15:04:33"/>
    <s v="ccber_user"/>
    <n v="-119.875151360343"/>
    <n v="34.417663313874201"/>
  </r>
  <r>
    <n v="51"/>
    <d v="2021-03-19T00:00:00"/>
    <d v="2021-03-19T09:13:21"/>
    <x v="50"/>
    <n v="1"/>
    <x v="0"/>
    <s v="Fence"/>
    <m/>
    <m/>
    <m/>
    <m/>
    <x v="1"/>
    <m/>
    <m/>
    <m/>
    <m/>
    <m/>
    <m/>
    <m/>
    <m/>
    <m/>
    <m/>
    <m/>
    <m/>
    <m/>
    <m/>
    <m/>
    <s v="0a11957b-0086-4e43-ae1a-5cc509743b01"/>
    <d v="2021-03-19T16:13:21"/>
    <s v="ccber_user"/>
    <d v="2021-03-19T16:13:21"/>
    <s v="ccber_user"/>
    <n v="-119.878864181854"/>
    <n v="34.420551354685799"/>
  </r>
  <r>
    <n v="174"/>
    <d v="2021-03-19T00:00:00"/>
    <d v="2021-03-19T09:30:21"/>
    <x v="50"/>
    <n v="2"/>
    <x v="0"/>
    <s v="Vegetation - Herbaceous"/>
    <m/>
    <m/>
    <m/>
    <m/>
    <x v="0"/>
    <m/>
    <m/>
    <m/>
    <m/>
    <m/>
    <m/>
    <m/>
    <m/>
    <m/>
    <m/>
    <m/>
    <m/>
    <m/>
    <m/>
    <m/>
    <s v="92d3ba07-0be0-46cc-8c90-8a2927ff13de"/>
    <d v="2021-03-19T16:30:21"/>
    <s v="ccber_user"/>
    <d v="2021-03-19T17:16:30"/>
    <s v="ccber_user"/>
    <n v="-119.880585455448"/>
    <n v="34.421481718575102"/>
  </r>
  <r>
    <n v="68"/>
    <d v="2021-03-19T00:00:00"/>
    <d v="2021-03-19T09:31:36"/>
    <x v="50"/>
    <n v="1"/>
    <x v="1"/>
    <s v="Fence"/>
    <m/>
    <m/>
    <s v="Changed Repeat Observation from No to Yes following survey review."/>
    <m/>
    <x v="1"/>
    <m/>
    <m/>
    <m/>
    <m/>
    <m/>
    <m/>
    <m/>
    <m/>
    <m/>
    <m/>
    <m/>
    <m/>
    <m/>
    <m/>
    <m/>
    <s v="130da135-3e1a-4e83-a211-2b62d474c245"/>
    <d v="2021-03-19T16:31:36"/>
    <s v="ccber_user"/>
    <d v="2021-03-19T16:31:36"/>
    <s v="ccber_user"/>
    <n v="-119.88155261761599"/>
    <n v="34.421256883386903"/>
  </r>
  <r>
    <n v="198"/>
    <d v="2021-03-19T00:00:00"/>
    <d v="2021-03-19T09:55:30"/>
    <x v="51"/>
    <n v="1"/>
    <x v="0"/>
    <s v="Fence"/>
    <m/>
    <m/>
    <m/>
    <m/>
    <x v="0"/>
    <m/>
    <m/>
    <m/>
    <m/>
    <m/>
    <m/>
    <m/>
    <m/>
    <m/>
    <m/>
    <m/>
    <m/>
    <m/>
    <m/>
    <m/>
    <s v="de216c71-88f8-4e7b-b338-3a052387fa36"/>
    <d v="2021-03-19T16:55:30"/>
    <s v="ccber_user"/>
    <d v="2021-03-19T16:55:30"/>
    <s v="ccber_user"/>
    <n v="-119.883622672898"/>
    <n v="34.4213571201241"/>
  </r>
  <r>
    <n v="88"/>
    <d v="2021-03-19T00:00:00"/>
    <d v="2021-03-19T09:58:01"/>
    <x v="52"/>
    <n v="1"/>
    <x v="0"/>
    <s v="Vegetation - Tree"/>
    <m/>
    <m/>
    <m/>
    <m/>
    <x v="1"/>
    <m/>
    <m/>
    <m/>
    <m/>
    <m/>
    <m/>
    <m/>
    <m/>
    <m/>
    <m/>
    <m/>
    <m/>
    <m/>
    <m/>
    <m/>
    <s v="5754f92f-f210-48df-b96c-ed025f30fb5a"/>
    <d v="2021-03-19T16:58:01"/>
    <s v="ccber_user"/>
    <d v="2021-03-19T16:58:01"/>
    <s v="ccber_user"/>
    <n v="-119.885560441374"/>
    <n v="34.421887484047602"/>
  </r>
  <r>
    <n v="96"/>
    <d v="2021-03-19T00:00:00"/>
    <d v="2021-03-19T08:03:01"/>
    <x v="53"/>
    <n v="5"/>
    <x v="0"/>
    <s v="Water - Floating"/>
    <m/>
    <m/>
    <m/>
    <m/>
    <x v="0"/>
    <m/>
    <m/>
    <m/>
    <m/>
    <m/>
    <m/>
    <m/>
    <m/>
    <m/>
    <m/>
    <m/>
    <m/>
    <m/>
    <m/>
    <m/>
    <s v="ca48d191-3152-42b8-ad3b-b63fa26be5e0"/>
    <d v="2021-03-19T15:03:01"/>
    <s v="ccber_user"/>
    <d v="2021-03-19T15:03:01"/>
    <s v="ccber_user"/>
    <n v="-119.875631766781"/>
    <n v="34.419265064956797"/>
  </r>
  <r>
    <n v="36"/>
    <d v="2021-03-19T00:00:00"/>
    <d v="2021-03-19T08:51:58"/>
    <x v="54"/>
    <n v="1"/>
    <x v="0"/>
    <s v="Mud"/>
    <m/>
    <m/>
    <s v="Corrected Species from Great Egret to Snowy Egret during survey review."/>
    <m/>
    <x v="1"/>
    <m/>
    <m/>
    <m/>
    <m/>
    <m/>
    <m/>
    <m/>
    <m/>
    <m/>
    <m/>
    <m/>
    <m/>
    <m/>
    <m/>
    <m/>
    <s v="69ead259-d7e4-4442-8f83-b87c52c4db5b"/>
    <d v="2021-03-19T15:51:58"/>
    <s v="ccber_user"/>
    <d v="2021-03-19T15:51:58"/>
    <s v="ccber_user"/>
    <n v="-119.88085158853799"/>
    <n v="34.419009652799303"/>
  </r>
  <r>
    <n v="10"/>
    <d v="2021-03-19T00:00:00"/>
    <d v="2021-03-19T08:08:27"/>
    <x v="55"/>
    <n v="2"/>
    <x v="0"/>
    <s v="Fence"/>
    <m/>
    <m/>
    <m/>
    <m/>
    <x v="1"/>
    <m/>
    <m/>
    <m/>
    <m/>
    <m/>
    <m/>
    <m/>
    <m/>
    <m/>
    <m/>
    <m/>
    <m/>
    <m/>
    <m/>
    <m/>
    <s v="cc2e3416-a2d6-4757-aa00-140353bb9440"/>
    <d v="2021-03-19T15:08:27"/>
    <s v="ccber_user"/>
    <d v="2021-03-19T15:08:27"/>
    <s v="ccber_user"/>
    <n v="-119.8754876285"/>
    <n v="34.417246555038901"/>
  </r>
  <r>
    <n v="104"/>
    <d v="2021-03-19T00:00:00"/>
    <d v="2021-03-19T08:08:30"/>
    <x v="55"/>
    <n v="1"/>
    <x v="0"/>
    <s v="Vegetation - Shrub"/>
    <m/>
    <m/>
    <m/>
    <m/>
    <x v="0"/>
    <m/>
    <m/>
    <m/>
    <m/>
    <m/>
    <m/>
    <m/>
    <m/>
    <m/>
    <m/>
    <m/>
    <m/>
    <m/>
    <m/>
    <m/>
    <s v="212a72ea-eeac-4bd8-97d3-e85c2202cddc"/>
    <d v="2021-03-19T15:08:30"/>
    <s v="ccber_user"/>
    <d v="2021-03-19T15:08:30"/>
    <s v="ccber_user"/>
    <n v="-119.873884675605"/>
    <n v="34.418985615563301"/>
  </r>
  <r>
    <n v="106"/>
    <d v="2021-03-19T00:00:00"/>
    <d v="2021-03-19T08:10:45"/>
    <x v="55"/>
    <n v="1"/>
    <x v="0"/>
    <s v="Vegetation - Shrub"/>
    <m/>
    <m/>
    <m/>
    <m/>
    <x v="0"/>
    <m/>
    <m/>
    <m/>
    <m/>
    <m/>
    <m/>
    <m/>
    <m/>
    <m/>
    <m/>
    <m/>
    <m/>
    <m/>
    <m/>
    <m/>
    <s v="39b4a439-4781-47ff-8f5b-2f2cc8fb0ad4"/>
    <d v="2021-03-19T15:10:45"/>
    <s v="ccber_user"/>
    <d v="2021-03-19T15:10:45"/>
    <s v="ccber_user"/>
    <n v="-119.874079155475"/>
    <n v="34.419539832273401"/>
  </r>
  <r>
    <n v="114"/>
    <d v="2021-03-19T00:00:00"/>
    <d v="2021-03-19T08:21:21"/>
    <x v="55"/>
    <n v="1"/>
    <x v="0"/>
    <s v="Vegetation - Shrub"/>
    <m/>
    <m/>
    <m/>
    <m/>
    <x v="0"/>
    <m/>
    <m/>
    <m/>
    <m/>
    <m/>
    <m/>
    <m/>
    <m/>
    <m/>
    <m/>
    <m/>
    <m/>
    <m/>
    <m/>
    <m/>
    <s v="4329e956-d53e-4af8-92e1-4aafbf3eaa47"/>
    <d v="2021-03-19T15:21:21"/>
    <s v="ccber_user"/>
    <d v="2021-03-19T15:21:21"/>
    <s v="ccber_user"/>
    <n v="-119.87255626672599"/>
    <n v="34.420810716998901"/>
  </r>
  <r>
    <n v="134"/>
    <d v="2021-03-19T00:00:00"/>
    <d v="2021-03-19T08:36:59"/>
    <x v="55"/>
    <n v="1"/>
    <x v="0"/>
    <s v="Vegetation - Tree"/>
    <m/>
    <m/>
    <m/>
    <m/>
    <x v="0"/>
    <m/>
    <m/>
    <m/>
    <m/>
    <m/>
    <m/>
    <m/>
    <m/>
    <m/>
    <m/>
    <m/>
    <m/>
    <m/>
    <m/>
    <m/>
    <s v="adccda4e-0fd2-4acb-9ccd-b06f282b42d4"/>
    <d v="2021-03-19T15:36:59"/>
    <s v="ccber_user"/>
    <d v="2021-03-19T15:36:59"/>
    <s v="ccber_user"/>
    <n v="-119.872331490276"/>
    <n v="34.422282027107997"/>
  </r>
  <r>
    <n v="141"/>
    <d v="2021-03-19T00:00:00"/>
    <d v="2021-03-19T08:45:05"/>
    <x v="55"/>
    <n v="1"/>
    <x v="0"/>
    <s v="Vegetation - Herbaceous"/>
    <m/>
    <m/>
    <m/>
    <m/>
    <x v="0"/>
    <m/>
    <m/>
    <m/>
    <m/>
    <m/>
    <m/>
    <m/>
    <m/>
    <m/>
    <m/>
    <m/>
    <m/>
    <m/>
    <m/>
    <m/>
    <s v="c4382666-f1a0-4b80-b925-7c46426eab51"/>
    <d v="2021-03-19T15:45:05"/>
    <s v="ccber_user"/>
    <d v="2021-03-19T15:45:05"/>
    <s v="ccber_user"/>
    <n v="-119.872890621472"/>
    <n v="34.421733297297799"/>
  </r>
  <r>
    <n v="145"/>
    <d v="2021-03-19T00:00:00"/>
    <d v="2021-03-19T08:48:37"/>
    <x v="55"/>
    <n v="2"/>
    <x v="0"/>
    <s v="Vegetation - Herbaceous"/>
    <m/>
    <m/>
    <m/>
    <m/>
    <x v="0"/>
    <m/>
    <m/>
    <m/>
    <m/>
    <m/>
    <m/>
    <m/>
    <m/>
    <m/>
    <m/>
    <m/>
    <m/>
    <m/>
    <m/>
    <m/>
    <s v="2cf66541-852f-475c-b146-d3dc9fc17d45"/>
    <d v="2021-03-19T15:48:37"/>
    <s v="ccber_user"/>
    <d v="2021-03-19T15:48:37"/>
    <s v="ccber_user"/>
    <n v="-119.87390174359599"/>
    <n v="34.421649437560603"/>
  </r>
  <r>
    <n v="148"/>
    <d v="2021-03-19T00:00:00"/>
    <d v="2021-03-19T08:53:10"/>
    <x v="55"/>
    <n v="1"/>
    <x v="0"/>
    <s v="Vegetation - Tree"/>
    <m/>
    <m/>
    <m/>
    <m/>
    <x v="0"/>
    <m/>
    <m/>
    <m/>
    <m/>
    <m/>
    <m/>
    <m/>
    <m/>
    <m/>
    <m/>
    <m/>
    <m/>
    <m/>
    <m/>
    <m/>
    <s v="e7eccc81-b3de-4960-b566-2d949222f0d6"/>
    <d v="2021-03-19T15:53:10"/>
    <s v="ccber_user"/>
    <d v="2021-03-19T15:53:10"/>
    <s v="ccber_user"/>
    <n v="-119.875674164567"/>
    <n v="34.420971267901699"/>
  </r>
  <r>
    <n v="42"/>
    <d v="2021-03-19T00:00:00"/>
    <d v="2021-03-19T08:56:18"/>
    <x v="55"/>
    <n v="1"/>
    <x v="0"/>
    <s v="Vegetation - Tree"/>
    <m/>
    <m/>
    <m/>
    <m/>
    <x v="1"/>
    <m/>
    <m/>
    <m/>
    <m/>
    <m/>
    <m/>
    <m/>
    <m/>
    <m/>
    <m/>
    <m/>
    <m/>
    <m/>
    <m/>
    <m/>
    <s v="eda6b672-f700-40c2-865e-a02cd0693dde"/>
    <d v="2021-03-19T15:56:18"/>
    <s v="ccber_user"/>
    <d v="2021-03-19T15:56:18"/>
    <s v="ccber_user"/>
    <n v="-119.877839240946"/>
    <n v="34.4194723858459"/>
  </r>
  <r>
    <n v="44"/>
    <d v="2021-03-19T00:00:00"/>
    <d v="2021-03-19T09:01:09"/>
    <x v="55"/>
    <n v="1"/>
    <x v="0"/>
    <s v="Vegetation - Shrub"/>
    <m/>
    <m/>
    <m/>
    <m/>
    <x v="1"/>
    <m/>
    <m/>
    <m/>
    <m/>
    <m/>
    <m/>
    <m/>
    <m/>
    <m/>
    <m/>
    <m/>
    <m/>
    <m/>
    <m/>
    <m/>
    <s v="835c0eb2-cd77-4a89-83e4-45e263b706de"/>
    <d v="2021-03-19T16:01:09"/>
    <s v="ccber_user"/>
    <d v="2021-03-19T16:01:09"/>
    <s v="ccber_user"/>
    <n v="-119.877421701307"/>
    <n v="34.420021341688901"/>
  </r>
  <r>
    <n v="158"/>
    <d v="2021-03-19T00:00:00"/>
    <d v="2021-03-19T09:03:35"/>
    <x v="55"/>
    <n v="1"/>
    <x v="0"/>
    <s v="Vegetation - Shrub"/>
    <m/>
    <m/>
    <m/>
    <m/>
    <x v="0"/>
    <m/>
    <m/>
    <m/>
    <m/>
    <m/>
    <m/>
    <m/>
    <m/>
    <m/>
    <m/>
    <m/>
    <m/>
    <m/>
    <m/>
    <m/>
    <s v="c3e27d87-932a-4f1a-bccb-f033580e9422"/>
    <d v="2021-03-19T16:03:35"/>
    <s v="ccber_user"/>
    <d v="2021-03-19T16:03:35"/>
    <s v="ccber_user"/>
    <n v="-119.87823218291599"/>
    <n v="34.421368690453797"/>
  </r>
  <r>
    <n v="161"/>
    <d v="2021-03-19T00:00:00"/>
    <d v="2021-03-19T09:06:37"/>
    <x v="55"/>
    <n v="1"/>
    <x v="0"/>
    <s v="Vegetation - Shrub"/>
    <m/>
    <m/>
    <m/>
    <m/>
    <x v="0"/>
    <m/>
    <m/>
    <m/>
    <m/>
    <m/>
    <m/>
    <m/>
    <m/>
    <m/>
    <m/>
    <m/>
    <m/>
    <m/>
    <m/>
    <m/>
    <s v="521fa59e-5848-47b5-a07b-5531c4ef7928"/>
    <d v="2021-03-19T16:06:37"/>
    <s v="ccber_user"/>
    <d v="2021-03-19T16:06:37"/>
    <s v="ccber_user"/>
    <n v="-119.878704383243"/>
    <n v="34.421361567002002"/>
  </r>
  <r>
    <n v="165"/>
    <d v="2021-03-19T00:00:00"/>
    <d v="2021-03-19T09:15:28"/>
    <x v="55"/>
    <n v="2"/>
    <x v="0"/>
    <s v="Vegetation - Herbaceous"/>
    <m/>
    <m/>
    <m/>
    <m/>
    <x v="0"/>
    <m/>
    <m/>
    <m/>
    <m/>
    <m/>
    <m/>
    <m/>
    <m/>
    <m/>
    <m/>
    <m/>
    <m/>
    <m/>
    <m/>
    <m/>
    <s v="ba6e8727-b6bf-4304-b869-f9d1f2afd7d5"/>
    <d v="2021-03-19T16:15:28"/>
    <s v="ccber_user"/>
    <d v="2021-03-19T16:15:28"/>
    <s v="ccber_user"/>
    <n v="-119.878992650821"/>
    <n v="34.421211909162899"/>
  </r>
  <r>
    <n v="64"/>
    <d v="2021-03-19T00:00:00"/>
    <d v="2021-03-19T09:28:55"/>
    <x v="55"/>
    <n v="1"/>
    <x v="0"/>
    <s v="Vegetation - Herbaceous"/>
    <m/>
    <m/>
    <m/>
    <m/>
    <x v="1"/>
    <m/>
    <m/>
    <m/>
    <m/>
    <m/>
    <m/>
    <m/>
    <m/>
    <m/>
    <m/>
    <m/>
    <m/>
    <m/>
    <m/>
    <m/>
    <s v="77d1ded7-38f9-4654-b9d5-166d4fcd23ba"/>
    <d v="2021-03-19T16:28:55"/>
    <s v="ccber_user"/>
    <d v="2021-03-19T16:28:55"/>
    <s v="ccber_user"/>
    <n v="-119.881008428098"/>
    <n v="34.421341582355801"/>
  </r>
  <r>
    <n v="66"/>
    <d v="2021-03-19T00:00:00"/>
    <d v="2021-03-19T09:30:19"/>
    <x v="55"/>
    <n v="1"/>
    <x v="0"/>
    <s v="Vegetation - Herbaceous"/>
    <m/>
    <m/>
    <m/>
    <m/>
    <x v="1"/>
    <m/>
    <m/>
    <m/>
    <m/>
    <m/>
    <m/>
    <m/>
    <m/>
    <m/>
    <m/>
    <m/>
    <m/>
    <m/>
    <m/>
    <m/>
    <s v="d80bf8ef-42b9-4940-9515-208667d26339"/>
    <d v="2021-03-19T16:30:19"/>
    <s v="ccber_user"/>
    <d v="2021-03-19T16:30:19"/>
    <s v="ccber_user"/>
    <n v="-119.881375499486"/>
    <n v="34.421246296380303"/>
  </r>
  <r>
    <n v="69"/>
    <d v="2021-03-19T00:00:00"/>
    <d v="2021-03-19T09:32:01"/>
    <x v="55"/>
    <n v="1"/>
    <x v="0"/>
    <s v="Vegetation - Shrub"/>
    <m/>
    <m/>
    <m/>
    <m/>
    <x v="1"/>
    <m/>
    <m/>
    <m/>
    <m/>
    <m/>
    <m/>
    <m/>
    <m/>
    <m/>
    <m/>
    <m/>
    <m/>
    <m/>
    <m/>
    <m/>
    <s v="d99b721b-aa1a-4f84-a5e6-9d06b535f11b"/>
    <d v="2021-03-19T16:32:01"/>
    <s v="ccber_user"/>
    <d v="2021-03-19T16:32:01"/>
    <s v="ccber_user"/>
    <n v="-119.881496145025"/>
    <n v="34.421002786706502"/>
  </r>
  <r>
    <n v="183"/>
    <d v="2021-03-19T00:00:00"/>
    <d v="2021-03-19T09:39:28"/>
    <x v="55"/>
    <n v="1"/>
    <x v="0"/>
    <s v="Vegetation - Tree"/>
    <m/>
    <m/>
    <m/>
    <m/>
    <x v="0"/>
    <m/>
    <m/>
    <m/>
    <m/>
    <m/>
    <m/>
    <m/>
    <m/>
    <m/>
    <m/>
    <m/>
    <m/>
    <m/>
    <m/>
    <m/>
    <s v="00d9ca16-f94c-4dcd-826c-d58dc39ec54a"/>
    <d v="2021-03-19T16:39:28"/>
    <s v="ccber_user"/>
    <d v="2021-03-19T16:39:28"/>
    <s v="ccber_user"/>
    <n v="-119.882349036997"/>
    <n v="34.421813510397399"/>
  </r>
  <r>
    <n v="187"/>
    <d v="2021-03-19T00:00:00"/>
    <d v="2021-03-19T09:43:22"/>
    <x v="55"/>
    <n v="2"/>
    <x v="0"/>
    <s v="Vegetation - Shrub"/>
    <m/>
    <m/>
    <m/>
    <m/>
    <x v="0"/>
    <m/>
    <m/>
    <m/>
    <m/>
    <m/>
    <m/>
    <m/>
    <m/>
    <m/>
    <m/>
    <m/>
    <m/>
    <m/>
    <m/>
    <m/>
    <s v="0579fec7-2f74-4155-8230-a2de521ffe4e"/>
    <d v="2021-03-19T16:43:22"/>
    <s v="ccber_user"/>
    <d v="2021-03-19T16:43:22"/>
    <s v="ccber_user"/>
    <n v="-119.88344519813801"/>
    <n v="34.421489010969601"/>
  </r>
  <r>
    <n v="76"/>
    <d v="2021-03-19T00:00:00"/>
    <d v="2021-03-19T09:44:05"/>
    <x v="55"/>
    <n v="2"/>
    <x v="0"/>
    <s v="Bare ground"/>
    <m/>
    <m/>
    <m/>
    <m/>
    <x v="1"/>
    <m/>
    <m/>
    <m/>
    <m/>
    <m/>
    <m/>
    <m/>
    <m/>
    <m/>
    <m/>
    <m/>
    <m/>
    <m/>
    <m/>
    <m/>
    <s v="c2911fd0-a296-44b4-8e9e-71d77ec60d00"/>
    <d v="2021-03-19T16:44:05"/>
    <s v="ccber_user"/>
    <d v="2021-03-19T16:44:05"/>
    <s v="ccber_user"/>
    <n v="-119.883055712885"/>
    <n v="34.4208801653431"/>
  </r>
  <r>
    <n v="78"/>
    <d v="2021-03-19T00:00:00"/>
    <d v="2021-03-19T09:47:21"/>
    <x v="55"/>
    <n v="1"/>
    <x v="1"/>
    <s v="Vegetation - Shrub"/>
    <m/>
    <m/>
    <s v="Changed Repeat Observation from No to Yes following survey review."/>
    <m/>
    <x v="1"/>
    <m/>
    <m/>
    <m/>
    <m/>
    <m/>
    <m/>
    <m/>
    <m/>
    <m/>
    <m/>
    <m/>
    <m/>
    <m/>
    <m/>
    <m/>
    <s v="73c356ed-9375-4b4a-8a4b-135ea3cdedcc"/>
    <d v="2021-03-19T16:47:21"/>
    <s v="ccber_user"/>
    <d v="2021-03-19T16:47:21"/>
    <s v="ccber_user"/>
    <n v="-119.883195805154"/>
    <n v="34.421475313183002"/>
  </r>
  <r>
    <n v="85"/>
    <d v="2021-03-19T00:00:00"/>
    <d v="2021-03-19T09:53:43"/>
    <x v="55"/>
    <n v="2"/>
    <x v="0"/>
    <s v="Vegetation - Herbaceous"/>
    <m/>
    <m/>
    <m/>
    <m/>
    <x v="1"/>
    <m/>
    <m/>
    <m/>
    <m/>
    <m/>
    <m/>
    <m/>
    <m/>
    <m/>
    <m/>
    <m/>
    <m/>
    <m/>
    <m/>
    <m/>
    <s v="f2ea17f4-f91a-4809-abc4-5773c63ccfcf"/>
    <d v="2021-03-19T16:53:43"/>
    <s v="ccber_user"/>
    <d v="2021-03-19T16:53:43"/>
    <s v="ccber_user"/>
    <n v="-119.883906186592"/>
    <n v="34.421215297866098"/>
  </r>
  <r>
    <n v="94"/>
    <d v="2021-03-19T00:00:00"/>
    <d v="2021-03-19T10:01:36"/>
    <x v="55"/>
    <n v="1"/>
    <x v="0"/>
    <s v="Vegetation - Tree"/>
    <m/>
    <m/>
    <m/>
    <m/>
    <x v="1"/>
    <m/>
    <m/>
    <m/>
    <m/>
    <m/>
    <m/>
    <m/>
    <m/>
    <m/>
    <m/>
    <m/>
    <m/>
    <m/>
    <m/>
    <m/>
    <s v="a9c62d0b-e0b6-469e-b5ab-0b134926bae2"/>
    <d v="2021-03-19T17:01:36"/>
    <s v="ccber_user"/>
    <d v="2021-03-19T17:01:36"/>
    <s v="ccber_user"/>
    <n v="-119.884320626145"/>
    <n v="34.421373232923102"/>
  </r>
  <r>
    <n v="86"/>
    <d v="2021-03-19T00:00:00"/>
    <d v="2021-03-19T09:53:59"/>
    <x v="56"/>
    <n v="1"/>
    <x v="0"/>
    <s v="Vegetation - Shrub"/>
    <m/>
    <m/>
    <m/>
    <m/>
    <x v="1"/>
    <m/>
    <m/>
    <m/>
    <m/>
    <m/>
    <m/>
    <m/>
    <m/>
    <m/>
    <m/>
    <m/>
    <m/>
    <m/>
    <m/>
    <m/>
    <s v="df2aa30f-11ec-4f51-91d9-1cb1356931cb"/>
    <d v="2021-03-19T16:53:59"/>
    <s v="ccber_user"/>
    <d v="2021-03-19T16:53:59"/>
    <s v="ccber_user"/>
    <n v="-119.88426575614901"/>
    <n v="34.4207761584249"/>
  </r>
  <r>
    <n v="53"/>
    <d v="2021-03-19T00:00:00"/>
    <d v="2021-03-19T09:16:45"/>
    <x v="57"/>
    <n v="2"/>
    <x v="0"/>
    <s v="Air"/>
    <m/>
    <m/>
    <m/>
    <m/>
    <x v="1"/>
    <m/>
    <m/>
    <m/>
    <m/>
    <m/>
    <m/>
    <m/>
    <m/>
    <m/>
    <m/>
    <m/>
    <m/>
    <m/>
    <m/>
    <m/>
    <s v="db8efb48-1690-4c41-805d-4aefc12edf96"/>
    <d v="2021-03-19T16:16:45"/>
    <s v="ccber_user"/>
    <d v="2021-03-19T16:16:45"/>
    <s v="ccber_user"/>
    <n v="-119.87941607173001"/>
    <n v="34.420858389518997"/>
  </r>
  <r>
    <n v="170"/>
    <d v="2021-03-19T00:00:00"/>
    <d v="2021-03-19T09:23:41"/>
    <x v="57"/>
    <n v="1"/>
    <x v="0"/>
    <s v="Air"/>
    <m/>
    <m/>
    <m/>
    <m/>
    <x v="0"/>
    <m/>
    <m/>
    <m/>
    <m/>
    <m/>
    <m/>
    <m/>
    <m/>
    <m/>
    <m/>
    <m/>
    <m/>
    <m/>
    <m/>
    <m/>
    <s v="c7422910-fbbd-4853-9dd7-854339b60c68"/>
    <d v="2021-03-19T16:23:41"/>
    <s v="ccber_user"/>
    <d v="2021-03-19T16:23:41"/>
    <s v="ccber_user"/>
    <n v="-119.878692090697"/>
    <n v="34.421095234833302"/>
  </r>
  <r>
    <n v="62"/>
    <d v="2021-03-19T00:00:00"/>
    <d v="2021-03-19T09:26:32"/>
    <x v="57"/>
    <n v="3"/>
    <x v="0"/>
    <s v="Air"/>
    <m/>
    <m/>
    <m/>
    <m/>
    <x v="1"/>
    <m/>
    <m/>
    <m/>
    <m/>
    <m/>
    <m/>
    <m/>
    <m/>
    <m/>
    <m/>
    <m/>
    <m/>
    <m/>
    <m/>
    <m/>
    <s v="dbe76c38-cc89-41ab-95d7-7e84dc28a28c"/>
    <d v="2021-03-19T16:26:32"/>
    <s v="ccber_user"/>
    <d v="2021-03-19T16:26:32"/>
    <s v="ccber_user"/>
    <n v="-119.880909380753"/>
    <n v="34.420663989684499"/>
  </r>
  <r>
    <n v="79"/>
    <d v="2021-03-19T00:00:00"/>
    <d v="2021-03-19T09:48:18"/>
    <x v="58"/>
    <n v="1"/>
    <x v="0"/>
    <s v="Air"/>
    <m/>
    <m/>
    <m/>
    <m/>
    <x v="1"/>
    <m/>
    <m/>
    <m/>
    <m/>
    <m/>
    <m/>
    <m/>
    <m/>
    <m/>
    <m/>
    <m/>
    <m/>
    <m/>
    <m/>
    <m/>
    <s v="17c0ecfe-a818-42eb-9ced-7bfebbfc6f28"/>
    <d v="2021-03-19T16:48:18"/>
    <s v="ccber_user"/>
    <d v="2021-03-19T16:48:18"/>
    <s v="ccber_user"/>
    <n v="-119.88347598969099"/>
    <n v="34.420242639545101"/>
  </r>
  <r>
    <n v="196"/>
    <d v="2021-03-19T00:00:00"/>
    <d v="2021-03-19T09:50:49"/>
    <x v="58"/>
    <n v="1"/>
    <x v="1"/>
    <s v="Air"/>
    <m/>
    <m/>
    <s v="Changed Repeat Observation from No to Yes following survey review."/>
    <m/>
    <x v="0"/>
    <m/>
    <m/>
    <m/>
    <m/>
    <m/>
    <m/>
    <m/>
    <m/>
    <m/>
    <m/>
    <m/>
    <m/>
    <m/>
    <m/>
    <m/>
    <s v="4f08145a-c091-49a2-b3b0-65c63d43793f"/>
    <d v="2021-03-19T16:50:49"/>
    <s v="ccber_user"/>
    <d v="2021-03-19T17:17:43"/>
    <s v="ccber_user"/>
    <n v="-119.883740751951"/>
    <n v="34.4213909996813"/>
  </r>
  <r>
    <n v="111"/>
    <d v="2021-03-19T00:00:00"/>
    <d v="2021-03-19T08:17:26"/>
    <x v="59"/>
    <n v="1"/>
    <x v="0"/>
    <s v="Fence"/>
    <m/>
    <m/>
    <m/>
    <m/>
    <x v="0"/>
    <m/>
    <m/>
    <m/>
    <m/>
    <m/>
    <m/>
    <m/>
    <m/>
    <m/>
    <m/>
    <m/>
    <m/>
    <m/>
    <m/>
    <m/>
    <s v="f2a83284-c35d-4ec9-9c88-9cf097502e72"/>
    <d v="2021-03-19T15:17:26"/>
    <s v="ccber_user"/>
    <d v="2021-03-19T15:17:26"/>
    <s v="ccber_user"/>
    <n v="-119.87394655605399"/>
    <n v="34.419784124296399"/>
  </r>
  <r>
    <n v="120"/>
    <d v="2021-03-19T00:00:00"/>
    <d v="2021-03-19T08:27:17"/>
    <x v="59"/>
    <n v="2"/>
    <x v="0"/>
    <s v="Vegetation - Shrub"/>
    <m/>
    <m/>
    <m/>
    <m/>
    <x v="0"/>
    <m/>
    <m/>
    <m/>
    <m/>
    <m/>
    <m/>
    <m/>
    <m/>
    <m/>
    <m/>
    <m/>
    <m/>
    <m/>
    <m/>
    <m/>
    <s v="7a4070f9-b0ce-4dcd-bcdd-5a68fa307d3d"/>
    <d v="2021-03-19T15:27:17"/>
    <s v="ccber_user"/>
    <d v="2021-03-19T15:27:17"/>
    <s v="ccber_user"/>
    <n v="-119.87108426664"/>
    <n v="34.4208783335242"/>
  </r>
  <r>
    <n v="125"/>
    <d v="2021-03-19T00:00:00"/>
    <d v="2021-03-19T08:29:10"/>
    <x v="59"/>
    <n v="2"/>
    <x v="0"/>
    <s v="Bare ground"/>
    <m/>
    <m/>
    <m/>
    <m/>
    <x v="0"/>
    <m/>
    <m/>
    <m/>
    <m/>
    <m/>
    <m/>
    <m/>
    <m/>
    <m/>
    <m/>
    <m/>
    <m/>
    <m/>
    <m/>
    <m/>
    <s v="bb2c50ab-b4f6-4d9f-bd0b-db03496e2e0c"/>
    <d v="2021-03-19T15:29:10"/>
    <s v="ccber_user"/>
    <d v="2021-03-19T15:29:10"/>
    <s v="ccber_user"/>
    <n v="-119.87057878463"/>
    <n v="34.420916841728499"/>
  </r>
  <r>
    <n v="193"/>
    <d v="2021-03-19T00:00:00"/>
    <d v="2021-03-19T09:48:34"/>
    <x v="59"/>
    <n v="1"/>
    <x v="0"/>
    <s v="Vegetation - Shrub"/>
    <m/>
    <m/>
    <m/>
    <m/>
    <x v="0"/>
    <m/>
    <m/>
    <m/>
    <m/>
    <m/>
    <m/>
    <m/>
    <m/>
    <m/>
    <m/>
    <m/>
    <m/>
    <m/>
    <m/>
    <m/>
    <s v="c527a5db-a10d-45fd-9613-4680381eb910"/>
    <d v="2021-03-19T16:48:34"/>
    <s v="ccber_user"/>
    <d v="2021-03-19T16:48:34"/>
    <s v="ccber_user"/>
    <n v="-119.88367272792399"/>
    <n v="34.421759438238702"/>
  </r>
  <r>
    <n v="67"/>
    <d v="2021-03-19T00:00:00"/>
    <d v="2021-03-19T09:30:49"/>
    <x v="60"/>
    <n v="22"/>
    <x v="0"/>
    <s v="Air"/>
    <m/>
    <m/>
    <m/>
    <m/>
    <x v="1"/>
    <m/>
    <m/>
    <m/>
    <m/>
    <m/>
    <m/>
    <m/>
    <m/>
    <m/>
    <m/>
    <m/>
    <m/>
    <m/>
    <m/>
    <m/>
    <s v="d16dbfcf-5879-4693-ae8e-21cef1fbc85c"/>
    <d v="2021-03-19T16:30:49"/>
    <s v="ccber_user"/>
    <d v="2021-03-19T16:30:49"/>
    <s v="ccber_user"/>
    <n v="-119.88126512169001"/>
    <n v="34.420877855561699"/>
  </r>
  <r>
    <n v="180"/>
    <d v="2021-03-19T00:00:00"/>
    <d v="2021-03-19T09:36:38"/>
    <x v="61"/>
    <n v="3"/>
    <x v="0"/>
    <s v="Water - Wading"/>
    <m/>
    <m/>
    <m/>
    <m/>
    <x v="0"/>
    <m/>
    <m/>
    <m/>
    <m/>
    <m/>
    <m/>
    <m/>
    <m/>
    <m/>
    <m/>
    <m/>
    <m/>
    <m/>
    <m/>
    <m/>
    <s v="aa9345cb-029c-472f-b97e-c3040ca0839e"/>
    <d v="2021-03-19T16:36:38"/>
    <s v="ccber_user"/>
    <d v="2021-03-19T17:17:30"/>
    <s v="ccber_user"/>
    <n v="-119.882004277066"/>
    <n v="34.421241078090397"/>
  </r>
  <r>
    <n v="23"/>
    <d v="2021-03-19T00:00:00"/>
    <d v="2021-03-19T08:26:15"/>
    <x v="62"/>
    <n v="2"/>
    <x v="0"/>
    <s v="Vegetation - Shrub"/>
    <m/>
    <m/>
    <m/>
    <m/>
    <x v="1"/>
    <m/>
    <m/>
    <m/>
    <m/>
    <m/>
    <m/>
    <m/>
    <m/>
    <m/>
    <m/>
    <m/>
    <m/>
    <m/>
    <m/>
    <m/>
    <s v="62ae4c9a-bb39-4385-a6e0-6d96f4f97784"/>
    <d v="2021-03-19T15:26:15"/>
    <s v="ccber_user"/>
    <d v="2021-03-19T15:26:15"/>
    <s v="ccber_user"/>
    <n v="-119.879313348479"/>
    <n v="34.417681952901901"/>
  </r>
  <r>
    <n v="194"/>
    <d v="2021-03-19T00:00:00"/>
    <d v="2021-03-19T09:50:07"/>
    <x v="62"/>
    <n v="1"/>
    <x v="0"/>
    <s v="Vegetation - Herbaceous"/>
    <m/>
    <m/>
    <m/>
    <m/>
    <x v="0"/>
    <m/>
    <m/>
    <m/>
    <m/>
    <m/>
    <m/>
    <m/>
    <m/>
    <m/>
    <m/>
    <m/>
    <m/>
    <m/>
    <m/>
    <m/>
    <s v="ebc71ba4-c833-41f4-b9da-a54ac8a70c65"/>
    <d v="2021-03-19T16:50:07"/>
    <s v="ccber_user"/>
    <d v="2021-03-19T16:50:07"/>
    <s v="ccber_user"/>
    <n v="-119.883870381541"/>
    <n v="34.421276656120597"/>
  </r>
  <r>
    <n v="90"/>
    <d v="2021-03-19T00:00:00"/>
    <d v="2021-03-19T09:59:39"/>
    <x v="62"/>
    <n v="2"/>
    <x v="0"/>
    <s v="Vegetation - Shrub"/>
    <m/>
    <m/>
    <m/>
    <m/>
    <x v="1"/>
    <m/>
    <m/>
    <m/>
    <m/>
    <m/>
    <m/>
    <m/>
    <m/>
    <m/>
    <m/>
    <m/>
    <m/>
    <m/>
    <m/>
    <m/>
    <s v="51ae8d20-16f1-4a0f-b22d-16f1356c6ca4"/>
    <d v="2021-03-19T16:59:39"/>
    <s v="ccber_user"/>
    <d v="2021-03-19T16:59:39"/>
    <s v="ccber_user"/>
    <n v="-119.884131501133"/>
    <n v="34.421587023625101"/>
  </r>
  <r>
    <n v="8"/>
    <d v="2021-03-19T00:00:00"/>
    <d v="2021-03-19T08:07:15"/>
    <x v="63"/>
    <n v="2"/>
    <x v="0"/>
    <s v="Air"/>
    <m/>
    <m/>
    <m/>
    <m/>
    <x v="1"/>
    <m/>
    <m/>
    <m/>
    <m/>
    <m/>
    <m/>
    <m/>
    <m/>
    <m/>
    <m/>
    <m/>
    <m/>
    <m/>
    <m/>
    <m/>
    <s v="92bdf835-8558-4553-a157-be7a00ad391d"/>
    <d v="2021-03-19T15:07:15"/>
    <s v="ccber_user"/>
    <d v="2021-03-19T15:07:15"/>
    <s v="ccber_user"/>
    <n v="-119.876280809455"/>
    <n v="34.416829392470298"/>
  </r>
  <r>
    <n v="119"/>
    <d v="2021-03-19T00:00:00"/>
    <d v="2021-03-19T08:26:31"/>
    <x v="64"/>
    <n v="3"/>
    <x v="0"/>
    <s v="Water - Wading"/>
    <m/>
    <m/>
    <m/>
    <m/>
    <x v="0"/>
    <m/>
    <m/>
    <m/>
    <m/>
    <m/>
    <m/>
    <m/>
    <m/>
    <m/>
    <m/>
    <m/>
    <m/>
    <m/>
    <m/>
    <m/>
    <s v="98750ffc-13da-4ada-8d73-195310e35a7c"/>
    <d v="2021-03-19T15:26:31"/>
    <s v="ccber_user"/>
    <d v="2021-03-19T15:26:42"/>
    <s v="ccber_user"/>
    <n v="-119.87140532542099"/>
    <n v="34.421055393606103"/>
  </r>
  <r>
    <n v="15"/>
    <d v="2021-03-19T00:00:00"/>
    <d v="2021-03-19T08:13:10"/>
    <x v="65"/>
    <n v="1"/>
    <x v="0"/>
    <s v="Fence"/>
    <m/>
    <m/>
    <m/>
    <m/>
    <x v="1"/>
    <m/>
    <m/>
    <m/>
    <m/>
    <m/>
    <m/>
    <m/>
    <m/>
    <m/>
    <m/>
    <m/>
    <m/>
    <m/>
    <m/>
    <m/>
    <s v="92bbd531-80c6-4edc-880f-3bf9ada8f3b1"/>
    <d v="2021-03-19T15:13:10"/>
    <s v="ccber_user"/>
    <d v="2021-03-19T15:13:10"/>
    <s v="ccber_user"/>
    <n v="-119.875546667577"/>
    <n v="34.417479487427002"/>
  </r>
  <r>
    <n v="122"/>
    <d v="2021-03-19T00:00:00"/>
    <d v="2021-03-19T08:28:00"/>
    <x v="65"/>
    <n v="1"/>
    <x v="0"/>
    <s v="Vegetation - Tree"/>
    <m/>
    <m/>
    <m/>
    <m/>
    <x v="0"/>
    <m/>
    <m/>
    <m/>
    <m/>
    <m/>
    <m/>
    <m/>
    <m/>
    <m/>
    <m/>
    <m/>
    <m/>
    <m/>
    <m/>
    <m/>
    <s v="2e9f089e-7b98-4751-b4c3-155994cd5701"/>
    <d v="2021-03-19T15:28:00"/>
    <s v="ccber_user"/>
    <d v="2021-03-19T15:28:00"/>
    <s v="ccber_user"/>
    <n v="-119.87053458482301"/>
    <n v="34.421121023245803"/>
  </r>
  <r>
    <n v="41"/>
    <d v="2021-03-19T00:00:00"/>
    <d v="2021-03-19T08:55:33"/>
    <x v="65"/>
    <n v="1"/>
    <x v="0"/>
    <s v="Vegetation - Tree"/>
    <m/>
    <m/>
    <m/>
    <m/>
    <x v="1"/>
    <m/>
    <m/>
    <m/>
    <m/>
    <m/>
    <m/>
    <m/>
    <m/>
    <m/>
    <m/>
    <m/>
    <m/>
    <m/>
    <m/>
    <m/>
    <s v="5ea8bc9a-2149-491b-9848-6e42fc0d8abe"/>
    <d v="2021-03-19T15:55:33"/>
    <s v="ccber_user"/>
    <d v="2021-03-19T15:55:33"/>
    <s v="ccber_user"/>
    <n v="-119.877850848078"/>
    <n v="34.419403521013102"/>
  </r>
  <r>
    <n v="166"/>
    <d v="2021-03-19T00:00:00"/>
    <d v="2021-03-19T09:19:06"/>
    <x v="65"/>
    <n v="1"/>
    <x v="0"/>
    <s v="Vegetation - Tree"/>
    <m/>
    <m/>
    <m/>
    <m/>
    <x v="0"/>
    <m/>
    <m/>
    <m/>
    <m/>
    <m/>
    <m/>
    <m/>
    <m/>
    <m/>
    <m/>
    <m/>
    <m/>
    <m/>
    <m/>
    <m/>
    <s v="4616e950-2703-40bd-9249-d9bbe8abb0db"/>
    <d v="2021-03-19T16:19:06"/>
    <s v="ccber_user"/>
    <d v="2021-03-19T16:19:06"/>
    <s v="ccber_user"/>
    <n v="-119.878731870793"/>
    <n v="34.4217187125506"/>
  </r>
  <r>
    <n v="182"/>
    <d v="2021-03-19T00:00:00"/>
    <d v="2021-03-19T09:39:08"/>
    <x v="65"/>
    <n v="1"/>
    <x v="0"/>
    <s v="Vegetation - Tree"/>
    <m/>
    <m/>
    <m/>
    <m/>
    <x v="0"/>
    <m/>
    <m/>
    <m/>
    <m/>
    <m/>
    <m/>
    <m/>
    <m/>
    <m/>
    <m/>
    <m/>
    <m/>
    <m/>
    <m/>
    <m/>
    <s v="82db51d0-6caa-4b07-9c31-700f3dcc4193"/>
    <d v="2021-03-19T16:39:08"/>
    <s v="ccber_user"/>
    <d v="2021-03-19T16:39:08"/>
    <s v="ccber_user"/>
    <n v="-119.882456366809"/>
    <n v="34.421688733114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5" indent="0" outline="1" outlineData="1" multipleFieldFilters="0">
  <location ref="A3:G72" firstHeaderRow="1" firstDataRow="3" firstDataCol="1"/>
  <pivotFields count="34">
    <pivotField showAll="0"/>
    <pivotField numFmtId="14" showAll="0"/>
    <pivotField numFmtId="164" showAll="0"/>
    <pivotField axis="axisRow" showAll="0" sortType="ascending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6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m="1" x="66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numFmtId="22" showAll="0"/>
    <pivotField showAll="0"/>
    <pivotField showAll="0"/>
    <pivotField showAll="0"/>
  </pivotFields>
  <rowFields count="1">
    <field x="3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2">
    <field x="5"/>
    <field x="1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1" baseItem="0"/>
  </dataFields>
  <formats count="21">
    <format dxfId="20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19">
      <pivotArea type="topRight" dataOnly="0" labelOnly="1" outline="0" offset="B1:D1" fieldPosition="0"/>
    </format>
    <format dxfId="18">
      <pivotArea dataOnly="0" labelOnly="1" fieldPosition="0">
        <references count="1">
          <reference field="5" count="1">
            <x v="1"/>
          </reference>
        </references>
      </pivotArea>
    </format>
    <format dxfId="17">
      <pivotArea dataOnly="0" labelOnly="1" fieldPosition="0">
        <references count="1">
          <reference field="5" count="1" defaultSubtotal="1">
            <x v="1"/>
          </reference>
        </references>
      </pivotArea>
    </format>
    <format dxfId="16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15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14">
      <pivotArea type="topRight" dataOnly="0" labelOnly="1" outline="0" offset="A1" fieldPosition="0"/>
    </format>
    <format dxfId="13">
      <pivotArea dataOnly="0" labelOnly="1" fieldPosition="0">
        <references count="1">
          <reference field="5" count="1" defaultSubtotal="1">
            <x v="0"/>
          </reference>
        </references>
      </pivotArea>
    </format>
    <format dxfId="12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11">
      <pivotArea type="topRight" dataOnly="0" labelOnly="1" outline="0" fieldPosition="0"/>
    </format>
    <format dxfId="10">
      <pivotArea dataOnly="0" labelOnly="1" fieldPosition="0">
        <references count="1">
          <reference field="5" count="1" defaultSubtotal="1">
            <x v="0"/>
          </reference>
        </references>
      </pivotArea>
    </format>
    <format dxfId="9">
      <pivotArea outline="0" collapsedLevelsAreSubtotals="1" fieldPosition="0">
        <references count="2">
          <reference field="5" count="1" selected="0">
            <x v="0"/>
          </reference>
          <reference field="11" count="0" selected="0"/>
        </references>
      </pivotArea>
    </format>
    <format dxfId="8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7">
      <pivotArea dataOnly="0" labelOnly="1" fieldPosition="0">
        <references count="1">
          <reference field="5" count="1" defaultSubtotal="1">
            <x v="1"/>
          </reference>
        </references>
      </pivotArea>
    </format>
    <format dxfId="6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5">
      <pivotArea collapsedLevelsAreSubtotals="1" fieldPosition="0">
        <references count="2">
          <reference field="3" count="0"/>
          <reference field="5" count="1" selected="0" defaultSubtotal="1">
            <x v="1"/>
          </reference>
        </references>
      </pivotArea>
    </format>
    <format dxfId="4">
      <pivotArea collapsedLevelsAreSubtotals="1" fieldPosition="0">
        <references count="1">
          <reference field="3" count="0"/>
        </references>
      </pivotArea>
    </format>
    <format dxfId="3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">
      <pivotArea dataOnly="0" labelOnly="1" fieldPosition="0">
        <references count="1">
          <reference field="3" count="17">
            <x v="50"/>
            <x v="51"/>
            <x v="52"/>
            <x v="53"/>
            <x v="54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1">
      <pivotArea outline="0" collapsedLevelsAreSubtotals="1" fieldPosition="0">
        <references count="2">
          <reference field="5" count="1" selected="0">
            <x v="1"/>
          </reference>
          <reference field="11" count="0" selected="0"/>
        </references>
      </pivotArea>
    </format>
    <format dxfId="0">
      <pivotArea outline="0" collapsedLevelsAreSubtotals="1" fieldPosition="0">
        <references count="2">
          <reference field="5" count="1" selected="0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0"/>
  <sheetViews>
    <sheetView tabSelected="1" topLeftCell="B1" workbookViewId="0">
      <pane xSplit="3" ySplit="1" topLeftCell="E2" activePane="bottomRight" state="frozen"/>
      <selection activeCell="B1" sqref="B1"/>
      <selection pane="topRight" activeCell="E1" sqref="E1"/>
      <selection pane="bottomLeft" activeCell="B2" sqref="B2"/>
      <selection pane="bottomRight" activeCell="J201" sqref="J201"/>
    </sheetView>
  </sheetViews>
  <sheetFormatPr defaultRowHeight="15" x14ac:dyDescent="0.25"/>
  <cols>
    <col min="1" max="1" width="9.140625" style="2"/>
    <col min="2" max="2" width="10.42578125" style="2" bestFit="1" customWidth="1"/>
    <col min="3" max="3" width="10" style="3" bestFit="1" customWidth="1"/>
    <col min="4" max="4" width="31" bestFit="1" customWidth="1"/>
    <col min="5" max="6" width="9.140625" style="3"/>
    <col min="7" max="7" width="27.42578125" bestFit="1" customWidth="1"/>
    <col min="8" max="8" width="6.42578125" bestFit="1" customWidth="1"/>
    <col min="12" max="12" width="17.42578125" bestFit="1" customWidth="1"/>
    <col min="29" max="29" width="14.85546875" bestFit="1" customWidth="1"/>
  </cols>
  <sheetData>
    <row r="1" spans="1:34" x14ac:dyDescent="0.25">
      <c r="A1" s="2" t="s">
        <v>0</v>
      </c>
      <c r="B1" s="2" t="s">
        <v>328</v>
      </c>
      <c r="C1" s="3" t="s">
        <v>329</v>
      </c>
      <c r="D1" t="s">
        <v>1</v>
      </c>
      <c r="E1" s="3" t="s">
        <v>2</v>
      </c>
      <c r="F1" s="3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5">
      <c r="A2" s="2">
        <v>137</v>
      </c>
      <c r="B2" s="20">
        <v>44274</v>
      </c>
      <c r="C2" s="21">
        <f t="shared" ref="C2:C33" si="0">AC2-(7/24)</f>
        <v>44274.360011574034</v>
      </c>
      <c r="D2" t="s">
        <v>244</v>
      </c>
      <c r="E2" s="3">
        <v>1</v>
      </c>
      <c r="F2" s="3" t="s">
        <v>33</v>
      </c>
      <c r="G2" t="s">
        <v>42</v>
      </c>
      <c r="L2" t="s">
        <v>319</v>
      </c>
      <c r="AB2" t="s">
        <v>245</v>
      </c>
      <c r="AC2" s="1">
        <v>44274.651678240698</v>
      </c>
      <c r="AD2" t="s">
        <v>38</v>
      </c>
      <c r="AE2" s="1">
        <v>44274.651678240698</v>
      </c>
      <c r="AF2" t="s">
        <v>38</v>
      </c>
      <c r="AG2">
        <v>-119.87298565155101</v>
      </c>
      <c r="AH2">
        <v>34.421888254706403</v>
      </c>
    </row>
    <row r="3" spans="1:34" x14ac:dyDescent="0.25">
      <c r="A3" s="2">
        <v>115</v>
      </c>
      <c r="B3" s="20">
        <v>44274</v>
      </c>
      <c r="C3" s="21">
        <f t="shared" si="0"/>
        <v>44274.348784722235</v>
      </c>
      <c r="D3" t="s">
        <v>154</v>
      </c>
      <c r="E3" s="3">
        <v>2</v>
      </c>
      <c r="F3" s="3" t="s">
        <v>33</v>
      </c>
      <c r="G3" t="s">
        <v>196</v>
      </c>
      <c r="L3" t="s">
        <v>319</v>
      </c>
      <c r="AB3" t="s">
        <v>219</v>
      </c>
      <c r="AC3" s="1">
        <v>44274.640451388899</v>
      </c>
      <c r="AD3" t="s">
        <v>38</v>
      </c>
      <c r="AE3" s="1">
        <v>44274.640451388899</v>
      </c>
      <c r="AF3" t="s">
        <v>38</v>
      </c>
      <c r="AG3">
        <v>-119.872196505828</v>
      </c>
      <c r="AH3">
        <v>34.421097858062197</v>
      </c>
    </row>
    <row r="4" spans="1:34" x14ac:dyDescent="0.25">
      <c r="A4" s="2">
        <v>173</v>
      </c>
      <c r="B4" s="20">
        <v>44274</v>
      </c>
      <c r="C4" s="21">
        <f t="shared" si="0"/>
        <v>44274.395601851837</v>
      </c>
      <c r="D4" t="s">
        <v>154</v>
      </c>
      <c r="E4" s="3">
        <v>13</v>
      </c>
      <c r="F4" s="3" t="s">
        <v>33</v>
      </c>
      <c r="G4" t="s">
        <v>98</v>
      </c>
      <c r="L4" t="s">
        <v>319</v>
      </c>
      <c r="AB4" t="s">
        <v>285</v>
      </c>
      <c r="AC4" s="1">
        <v>44274.687268518501</v>
      </c>
      <c r="AD4" t="s">
        <v>38</v>
      </c>
      <c r="AE4" s="1">
        <v>44274.687268518501</v>
      </c>
      <c r="AF4" t="s">
        <v>38</v>
      </c>
      <c r="AG4">
        <v>-119.88120425633799</v>
      </c>
      <c r="AH4">
        <v>34.421554640268901</v>
      </c>
    </row>
    <row r="5" spans="1:34" x14ac:dyDescent="0.25">
      <c r="A5" s="2">
        <v>72</v>
      </c>
      <c r="B5" s="20">
        <v>44274</v>
      </c>
      <c r="C5" s="21">
        <f t="shared" si="0"/>
        <v>44274.400625000038</v>
      </c>
      <c r="D5" t="s">
        <v>154</v>
      </c>
      <c r="E5" s="3">
        <v>2</v>
      </c>
      <c r="F5" s="3" t="s">
        <v>33</v>
      </c>
      <c r="G5" t="s">
        <v>45</v>
      </c>
      <c r="L5" t="s">
        <v>318</v>
      </c>
      <c r="AB5" t="s">
        <v>155</v>
      </c>
      <c r="AC5" s="1">
        <v>44274.692291666703</v>
      </c>
      <c r="AD5" t="s">
        <v>38</v>
      </c>
      <c r="AE5" s="1">
        <v>44274.692291666703</v>
      </c>
      <c r="AF5" t="s">
        <v>38</v>
      </c>
      <c r="AG5">
        <v>-119.88294645978</v>
      </c>
      <c r="AH5">
        <v>34.4211743688724</v>
      </c>
    </row>
    <row r="6" spans="1:34" x14ac:dyDescent="0.25">
      <c r="A6" s="2">
        <v>105</v>
      </c>
      <c r="B6" s="20">
        <v>44274</v>
      </c>
      <c r="C6" s="21">
        <f t="shared" si="0"/>
        <v>44274.340370370337</v>
      </c>
      <c r="D6" t="s">
        <v>67</v>
      </c>
      <c r="E6" s="3">
        <v>2</v>
      </c>
      <c r="F6" s="3" t="s">
        <v>33</v>
      </c>
      <c r="G6" t="s">
        <v>200</v>
      </c>
      <c r="L6" t="s">
        <v>319</v>
      </c>
      <c r="AB6" t="s">
        <v>205</v>
      </c>
      <c r="AC6" s="1">
        <v>44274.632037037001</v>
      </c>
      <c r="AD6" t="s">
        <v>38</v>
      </c>
      <c r="AE6" s="1">
        <v>44274.632037037001</v>
      </c>
      <c r="AF6" t="s">
        <v>38</v>
      </c>
      <c r="AG6">
        <v>-119.87461839617301</v>
      </c>
      <c r="AH6">
        <v>34.4192700165951</v>
      </c>
    </row>
    <row r="7" spans="1:34" x14ac:dyDescent="0.25">
      <c r="A7" s="2">
        <v>13</v>
      </c>
      <c r="B7" s="20">
        <v>44274</v>
      </c>
      <c r="C7" s="21">
        <f t="shared" si="0"/>
        <v>44274.340659722235</v>
      </c>
      <c r="D7" t="s">
        <v>67</v>
      </c>
      <c r="E7" s="3">
        <v>1</v>
      </c>
      <c r="F7" s="3" t="s">
        <v>33</v>
      </c>
      <c r="G7" t="s">
        <v>52</v>
      </c>
      <c r="L7" t="s">
        <v>318</v>
      </c>
      <c r="AB7" t="s">
        <v>68</v>
      </c>
      <c r="AC7" s="1">
        <v>44274.632326388899</v>
      </c>
      <c r="AD7" t="s">
        <v>38</v>
      </c>
      <c r="AE7" s="1">
        <v>44274.632326388899</v>
      </c>
      <c r="AF7" t="s">
        <v>38</v>
      </c>
      <c r="AG7">
        <v>-119.876814731229</v>
      </c>
      <c r="AH7">
        <v>34.418057580446103</v>
      </c>
    </row>
    <row r="8" spans="1:34" x14ac:dyDescent="0.25">
      <c r="A8" s="2">
        <v>16</v>
      </c>
      <c r="B8" s="20">
        <v>44274</v>
      </c>
      <c r="C8" s="21">
        <f t="shared" si="0"/>
        <v>44274.344212962933</v>
      </c>
      <c r="D8" t="s">
        <v>67</v>
      </c>
      <c r="E8" s="3">
        <v>1</v>
      </c>
      <c r="F8" s="3" t="s">
        <v>72</v>
      </c>
      <c r="G8" t="s">
        <v>65</v>
      </c>
      <c r="L8" t="s">
        <v>318</v>
      </c>
      <c r="AB8" t="s">
        <v>73</v>
      </c>
      <c r="AC8" s="1">
        <v>44274.635879629597</v>
      </c>
      <c r="AD8" t="s">
        <v>38</v>
      </c>
      <c r="AE8" s="1">
        <v>44274.635879629597</v>
      </c>
      <c r="AF8" t="s">
        <v>38</v>
      </c>
      <c r="AG8">
        <v>-119.876352683661</v>
      </c>
      <c r="AH8">
        <v>34.417689126317903</v>
      </c>
    </row>
    <row r="9" spans="1:34" x14ac:dyDescent="0.25">
      <c r="A9" s="2">
        <v>18</v>
      </c>
      <c r="B9" s="20">
        <v>44274</v>
      </c>
      <c r="C9" s="21">
        <f t="shared" si="0"/>
        <v>44274.346458333333</v>
      </c>
      <c r="D9" t="s">
        <v>67</v>
      </c>
      <c r="E9" s="3">
        <v>3</v>
      </c>
      <c r="F9" s="3" t="s">
        <v>33</v>
      </c>
      <c r="G9" t="s">
        <v>45</v>
      </c>
      <c r="L9" t="s">
        <v>318</v>
      </c>
      <c r="AB9" t="s">
        <v>76</v>
      </c>
      <c r="AC9" s="1">
        <v>44274.638124999998</v>
      </c>
      <c r="AD9" t="s">
        <v>38</v>
      </c>
      <c r="AE9" s="1">
        <v>44274.638124999998</v>
      </c>
      <c r="AF9" t="s">
        <v>38</v>
      </c>
      <c r="AG9">
        <v>-119.876409156251</v>
      </c>
      <c r="AH9">
        <v>34.418589084280001</v>
      </c>
    </row>
    <row r="10" spans="1:34" x14ac:dyDescent="0.25">
      <c r="A10" s="2">
        <v>27</v>
      </c>
      <c r="B10" s="20">
        <v>44274</v>
      </c>
      <c r="C10" s="21">
        <f t="shared" si="0"/>
        <v>44274.358252314836</v>
      </c>
      <c r="D10" t="s">
        <v>67</v>
      </c>
      <c r="E10" s="3">
        <v>1</v>
      </c>
      <c r="F10" s="3" t="s">
        <v>33</v>
      </c>
      <c r="G10" t="s">
        <v>52</v>
      </c>
      <c r="L10" t="s">
        <v>318</v>
      </c>
      <c r="AB10" t="s">
        <v>90</v>
      </c>
      <c r="AC10" s="1">
        <v>44274.6499189815</v>
      </c>
      <c r="AD10" t="s">
        <v>38</v>
      </c>
      <c r="AE10" s="1">
        <v>44274.6499189815</v>
      </c>
      <c r="AF10" t="s">
        <v>38</v>
      </c>
      <c r="AG10">
        <v>-119.88156967931801</v>
      </c>
      <c r="AH10">
        <v>34.418319335933496</v>
      </c>
    </row>
    <row r="11" spans="1:34" x14ac:dyDescent="0.25">
      <c r="A11" s="2">
        <v>47</v>
      </c>
      <c r="B11" s="20">
        <v>44274</v>
      </c>
      <c r="C11" s="21">
        <f t="shared" si="0"/>
        <v>44274.377627314832</v>
      </c>
      <c r="D11" t="s">
        <v>67</v>
      </c>
      <c r="E11" s="3">
        <v>2</v>
      </c>
      <c r="F11" s="3" t="s">
        <v>33</v>
      </c>
      <c r="G11" t="s">
        <v>52</v>
      </c>
      <c r="L11" t="s">
        <v>318</v>
      </c>
      <c r="AB11" t="s">
        <v>119</v>
      </c>
      <c r="AC11" s="1">
        <v>44274.669293981497</v>
      </c>
      <c r="AD11" t="s">
        <v>38</v>
      </c>
      <c r="AE11" s="1">
        <v>44274.669293981497</v>
      </c>
      <c r="AF11" t="s">
        <v>38</v>
      </c>
      <c r="AG11">
        <v>-119.87766943150901</v>
      </c>
      <c r="AH11">
        <v>34.420395995383601</v>
      </c>
    </row>
    <row r="12" spans="1:34" x14ac:dyDescent="0.25">
      <c r="A12" s="2">
        <v>167</v>
      </c>
      <c r="B12" s="20">
        <v>44274</v>
      </c>
      <c r="C12" s="21">
        <f t="shared" si="0"/>
        <v>44274.388773148137</v>
      </c>
      <c r="D12" t="s">
        <v>67</v>
      </c>
      <c r="E12" s="3">
        <v>2</v>
      </c>
      <c r="F12" s="3" t="s">
        <v>33</v>
      </c>
      <c r="G12" t="s">
        <v>65</v>
      </c>
      <c r="L12" t="s">
        <v>319</v>
      </c>
      <c r="AB12" t="s">
        <v>279</v>
      </c>
      <c r="AC12" s="1">
        <v>44274.680439814802</v>
      </c>
      <c r="AD12" t="s">
        <v>38</v>
      </c>
      <c r="AE12" s="1">
        <v>44274.680439814802</v>
      </c>
      <c r="AF12" t="s">
        <v>38</v>
      </c>
      <c r="AG12">
        <v>-119.878762300324</v>
      </c>
      <c r="AH12">
        <v>34.421479716334296</v>
      </c>
    </row>
    <row r="13" spans="1:34" x14ac:dyDescent="0.25">
      <c r="A13" s="2">
        <v>61</v>
      </c>
      <c r="B13" s="20">
        <v>44274</v>
      </c>
      <c r="C13" s="21">
        <f t="shared" si="0"/>
        <v>44274.393229166635</v>
      </c>
      <c r="D13" t="s">
        <v>67</v>
      </c>
      <c r="E13" s="3">
        <v>3</v>
      </c>
      <c r="F13" s="3" t="s">
        <v>33</v>
      </c>
      <c r="G13" t="s">
        <v>52</v>
      </c>
      <c r="L13" t="s">
        <v>318</v>
      </c>
      <c r="AB13" t="s">
        <v>141</v>
      </c>
      <c r="AC13" s="1">
        <v>44274.684895833299</v>
      </c>
      <c r="AD13" t="s">
        <v>38</v>
      </c>
      <c r="AE13" s="1">
        <v>44274.684895833299</v>
      </c>
      <c r="AF13" t="s">
        <v>38</v>
      </c>
      <c r="AG13">
        <v>-119.880892695445</v>
      </c>
      <c r="AH13">
        <v>34.421091720891901</v>
      </c>
    </row>
    <row r="14" spans="1:34" x14ac:dyDescent="0.25">
      <c r="A14" s="2">
        <v>130</v>
      </c>
      <c r="B14" s="20">
        <v>44274</v>
      </c>
      <c r="C14" s="21">
        <f t="shared" si="0"/>
        <v>44274.356805555537</v>
      </c>
      <c r="D14" t="s">
        <v>95</v>
      </c>
      <c r="E14" s="3">
        <v>2</v>
      </c>
      <c r="F14" s="3" t="s">
        <v>33</v>
      </c>
      <c r="G14" t="s">
        <v>52</v>
      </c>
      <c r="L14" t="s">
        <v>319</v>
      </c>
      <c r="AB14" t="s">
        <v>236</v>
      </c>
      <c r="AC14" s="1">
        <v>44274.648472222201</v>
      </c>
      <c r="AD14" t="s">
        <v>38</v>
      </c>
      <c r="AE14" s="1">
        <v>44274.648472222201</v>
      </c>
      <c r="AF14" t="s">
        <v>38</v>
      </c>
      <c r="AG14">
        <v>-119.871820400083</v>
      </c>
      <c r="AH14">
        <v>34.422198516939503</v>
      </c>
    </row>
    <row r="15" spans="1:34" x14ac:dyDescent="0.25">
      <c r="A15" s="2">
        <v>30</v>
      </c>
      <c r="B15" s="20">
        <v>44274</v>
      </c>
      <c r="C15" s="21">
        <f t="shared" si="0"/>
        <v>44274.361967592638</v>
      </c>
      <c r="D15" t="s">
        <v>95</v>
      </c>
      <c r="E15" s="3">
        <v>40</v>
      </c>
      <c r="F15" s="3" t="s">
        <v>33</v>
      </c>
      <c r="G15" t="s">
        <v>45</v>
      </c>
      <c r="L15" t="s">
        <v>318</v>
      </c>
      <c r="AB15" t="s">
        <v>96</v>
      </c>
      <c r="AC15" s="1">
        <v>44274.653634259303</v>
      </c>
      <c r="AD15" t="s">
        <v>38</v>
      </c>
      <c r="AE15" s="1">
        <v>44274.654953703699</v>
      </c>
      <c r="AF15" t="s">
        <v>38</v>
      </c>
      <c r="AG15">
        <v>-119.880448580945</v>
      </c>
      <c r="AH15">
        <v>34.419843954102298</v>
      </c>
    </row>
    <row r="16" spans="1:34" x14ac:dyDescent="0.25">
      <c r="A16" s="2">
        <v>32</v>
      </c>
      <c r="B16" s="20">
        <v>44274</v>
      </c>
      <c r="C16" s="21">
        <f t="shared" si="0"/>
        <v>44274.364212962937</v>
      </c>
      <c r="D16" t="s">
        <v>95</v>
      </c>
      <c r="E16" s="3">
        <v>5</v>
      </c>
      <c r="F16" s="3" t="s">
        <v>33</v>
      </c>
      <c r="G16" t="s">
        <v>45</v>
      </c>
      <c r="L16" t="s">
        <v>318</v>
      </c>
      <c r="AB16" t="s">
        <v>100</v>
      </c>
      <c r="AC16" s="1">
        <v>44274.655879629601</v>
      </c>
      <c r="AD16" t="s">
        <v>38</v>
      </c>
      <c r="AE16" s="1">
        <v>44274.655879629601</v>
      </c>
      <c r="AF16" t="s">
        <v>38</v>
      </c>
      <c r="AG16">
        <v>-119.87984535235</v>
      </c>
      <c r="AH16">
        <v>34.419909596549402</v>
      </c>
    </row>
    <row r="17" spans="1:34" x14ac:dyDescent="0.25">
      <c r="A17" s="2">
        <v>152</v>
      </c>
      <c r="B17" s="20">
        <v>44274</v>
      </c>
      <c r="C17" s="21">
        <f t="shared" si="0"/>
        <v>44274.372233796334</v>
      </c>
      <c r="D17" t="s">
        <v>95</v>
      </c>
      <c r="E17" s="3">
        <v>1</v>
      </c>
      <c r="F17" s="3" t="s">
        <v>33</v>
      </c>
      <c r="G17" t="s">
        <v>52</v>
      </c>
      <c r="L17" t="s">
        <v>319</v>
      </c>
      <c r="AB17" t="s">
        <v>262</v>
      </c>
      <c r="AC17" s="1">
        <v>44274.663900462998</v>
      </c>
      <c r="AD17" t="s">
        <v>38</v>
      </c>
      <c r="AE17" s="1">
        <v>44274.663900462998</v>
      </c>
      <c r="AF17" t="s">
        <v>38</v>
      </c>
      <c r="AG17">
        <v>-119.876469765583</v>
      </c>
      <c r="AH17">
        <v>34.420541027691399</v>
      </c>
    </row>
    <row r="18" spans="1:34" x14ac:dyDescent="0.25">
      <c r="A18" s="2">
        <v>178</v>
      </c>
      <c r="B18" s="20">
        <v>44274</v>
      </c>
      <c r="C18" s="21">
        <f t="shared" si="0"/>
        <v>44274.397928240738</v>
      </c>
      <c r="D18" t="s">
        <v>291</v>
      </c>
      <c r="E18" s="3">
        <v>2</v>
      </c>
      <c r="F18" s="3" t="s">
        <v>33</v>
      </c>
      <c r="G18" t="s">
        <v>98</v>
      </c>
      <c r="L18" t="s">
        <v>319</v>
      </c>
      <c r="AB18" t="s">
        <v>292</v>
      </c>
      <c r="AC18" s="1">
        <v>44274.689594907402</v>
      </c>
      <c r="AD18" t="s">
        <v>38</v>
      </c>
      <c r="AE18" s="1">
        <v>44274.689594907402</v>
      </c>
      <c r="AF18" t="s">
        <v>38</v>
      </c>
      <c r="AG18">
        <v>-119.88036796703</v>
      </c>
      <c r="AH18">
        <v>34.421573633378102</v>
      </c>
    </row>
    <row r="19" spans="1:34" x14ac:dyDescent="0.25">
      <c r="A19" s="2">
        <v>102</v>
      </c>
      <c r="B19" s="20">
        <v>44274</v>
      </c>
      <c r="C19" s="21">
        <f t="shared" si="0"/>
        <v>44274.337731481537</v>
      </c>
      <c r="D19" t="s">
        <v>64</v>
      </c>
      <c r="E19" s="3">
        <v>2</v>
      </c>
      <c r="F19" s="3" t="s">
        <v>33</v>
      </c>
      <c r="G19" t="s">
        <v>62</v>
      </c>
      <c r="L19" t="s">
        <v>319</v>
      </c>
      <c r="AB19" t="s">
        <v>202</v>
      </c>
      <c r="AC19" s="1">
        <v>44274.629398148201</v>
      </c>
      <c r="AD19" t="s">
        <v>38</v>
      </c>
      <c r="AE19" s="1">
        <v>44274.629398148201</v>
      </c>
      <c r="AF19" t="s">
        <v>38</v>
      </c>
      <c r="AG19">
        <v>-119.873514710744</v>
      </c>
      <c r="AH19">
        <v>34.418650166569101</v>
      </c>
    </row>
    <row r="20" spans="1:34" x14ac:dyDescent="0.25">
      <c r="A20" s="2">
        <v>12</v>
      </c>
      <c r="B20" s="20">
        <v>44274</v>
      </c>
      <c r="C20" s="21">
        <f t="shared" si="0"/>
        <v>44274.340393518534</v>
      </c>
      <c r="D20" t="s">
        <v>64</v>
      </c>
      <c r="E20" s="3">
        <v>1</v>
      </c>
      <c r="F20" s="3" t="s">
        <v>33</v>
      </c>
      <c r="G20" t="s">
        <v>65</v>
      </c>
      <c r="L20" t="s">
        <v>318</v>
      </c>
      <c r="AB20" t="s">
        <v>66</v>
      </c>
      <c r="AC20" s="1">
        <v>44274.632060185198</v>
      </c>
      <c r="AD20" t="s">
        <v>38</v>
      </c>
      <c r="AE20" s="1">
        <v>44274.632060185198</v>
      </c>
      <c r="AF20" t="s">
        <v>38</v>
      </c>
      <c r="AG20">
        <v>-119.876257707481</v>
      </c>
      <c r="AH20">
        <v>34.417795003792001</v>
      </c>
    </row>
    <row r="21" spans="1:34" x14ac:dyDescent="0.25">
      <c r="A21" s="2">
        <v>14</v>
      </c>
      <c r="B21" s="20">
        <v>44274</v>
      </c>
      <c r="C21" s="21">
        <f t="shared" si="0"/>
        <v>44274.341481481439</v>
      </c>
      <c r="D21" t="s">
        <v>64</v>
      </c>
      <c r="E21" s="3">
        <v>1</v>
      </c>
      <c r="F21" s="3" t="s">
        <v>33</v>
      </c>
      <c r="G21" t="s">
        <v>65</v>
      </c>
      <c r="L21" t="s">
        <v>318</v>
      </c>
      <c r="AB21" t="s">
        <v>69</v>
      </c>
      <c r="AC21" s="1">
        <v>44274.633148148103</v>
      </c>
      <c r="AD21" t="s">
        <v>38</v>
      </c>
      <c r="AE21" s="1">
        <v>44274.633148148103</v>
      </c>
      <c r="AF21" t="s">
        <v>38</v>
      </c>
      <c r="AG21">
        <v>-119.87619353363399</v>
      </c>
      <c r="AH21">
        <v>34.417733594814102</v>
      </c>
    </row>
    <row r="22" spans="1:34" x14ac:dyDescent="0.25">
      <c r="A22" s="2">
        <v>127</v>
      </c>
      <c r="B22" s="20">
        <v>44274</v>
      </c>
      <c r="C22" s="21">
        <f t="shared" si="0"/>
        <v>44274.354328703739</v>
      </c>
      <c r="D22" t="s">
        <v>64</v>
      </c>
      <c r="E22" s="3">
        <v>1</v>
      </c>
      <c r="F22" s="3" t="s">
        <v>33</v>
      </c>
      <c r="G22" t="s">
        <v>65</v>
      </c>
      <c r="L22" t="s">
        <v>319</v>
      </c>
      <c r="AB22" t="s">
        <v>233</v>
      </c>
      <c r="AC22" s="1">
        <v>44274.645995370403</v>
      </c>
      <c r="AD22" t="s">
        <v>38</v>
      </c>
      <c r="AE22" s="1">
        <v>44274.645995370403</v>
      </c>
      <c r="AF22" t="s">
        <v>38</v>
      </c>
      <c r="AG22">
        <v>-119.87141023022301</v>
      </c>
      <c r="AH22">
        <v>34.421473971933501</v>
      </c>
    </row>
    <row r="23" spans="1:34" x14ac:dyDescent="0.25">
      <c r="A23" s="2">
        <v>146</v>
      </c>
      <c r="B23" s="20">
        <v>44274</v>
      </c>
      <c r="C23" s="21">
        <f t="shared" si="0"/>
        <v>44274.368182870334</v>
      </c>
      <c r="D23" t="s">
        <v>64</v>
      </c>
      <c r="E23" s="3">
        <v>1</v>
      </c>
      <c r="F23" s="3" t="s">
        <v>33</v>
      </c>
      <c r="G23" t="s">
        <v>52</v>
      </c>
      <c r="L23" t="s">
        <v>319</v>
      </c>
      <c r="AB23" t="s">
        <v>255</v>
      </c>
      <c r="AC23" s="1">
        <v>44274.659849536998</v>
      </c>
      <c r="AD23" t="s">
        <v>38</v>
      </c>
      <c r="AE23" s="1">
        <v>44274.659849536998</v>
      </c>
      <c r="AF23" t="s">
        <v>38</v>
      </c>
      <c r="AG23">
        <v>-119.874432143974</v>
      </c>
      <c r="AH23">
        <v>34.421602038928199</v>
      </c>
    </row>
    <row r="24" spans="1:34" x14ac:dyDescent="0.25">
      <c r="A24" s="2">
        <v>151</v>
      </c>
      <c r="B24" s="20">
        <v>44274</v>
      </c>
      <c r="C24" s="21">
        <f t="shared" si="0"/>
        <v>44274.371967592633</v>
      </c>
      <c r="D24" t="s">
        <v>64</v>
      </c>
      <c r="E24" s="3">
        <v>1</v>
      </c>
      <c r="F24" s="3" t="s">
        <v>33</v>
      </c>
      <c r="G24" t="s">
        <v>52</v>
      </c>
      <c r="L24" t="s">
        <v>319</v>
      </c>
      <c r="AB24" t="s">
        <v>261</v>
      </c>
      <c r="AC24" s="1">
        <v>44274.663634259297</v>
      </c>
      <c r="AD24" t="s">
        <v>38</v>
      </c>
      <c r="AE24" s="1">
        <v>44274.663634259297</v>
      </c>
      <c r="AF24" t="s">
        <v>38</v>
      </c>
      <c r="AG24">
        <v>-119.87607121633</v>
      </c>
      <c r="AH24">
        <v>34.420465766420598</v>
      </c>
    </row>
    <row r="25" spans="1:34" x14ac:dyDescent="0.25">
      <c r="A25" s="2">
        <v>43</v>
      </c>
      <c r="B25" s="20">
        <v>44274</v>
      </c>
      <c r="C25" s="21">
        <f t="shared" si="0"/>
        <v>44274.374756944439</v>
      </c>
      <c r="D25" t="s">
        <v>64</v>
      </c>
      <c r="E25" s="3">
        <v>1</v>
      </c>
      <c r="F25" s="3" t="s">
        <v>33</v>
      </c>
      <c r="G25" t="s">
        <v>65</v>
      </c>
      <c r="L25" t="s">
        <v>318</v>
      </c>
      <c r="AB25" t="s">
        <v>115</v>
      </c>
      <c r="AC25" s="1">
        <v>44274.666423611103</v>
      </c>
      <c r="AD25" t="s">
        <v>38</v>
      </c>
      <c r="AE25" s="1">
        <v>44274.666423611103</v>
      </c>
      <c r="AF25" t="s">
        <v>38</v>
      </c>
      <c r="AG25">
        <v>-119.877760701241</v>
      </c>
      <c r="AH25">
        <v>34.419517617404999</v>
      </c>
    </row>
    <row r="26" spans="1:34" x14ac:dyDescent="0.25">
      <c r="A26" s="2">
        <v>52</v>
      </c>
      <c r="B26" s="20">
        <v>44274</v>
      </c>
      <c r="C26" s="21">
        <f t="shared" si="0"/>
        <v>44274.384421296338</v>
      </c>
      <c r="D26" t="s">
        <v>64</v>
      </c>
      <c r="E26" s="3">
        <v>1</v>
      </c>
      <c r="F26" s="3" t="s">
        <v>33</v>
      </c>
      <c r="G26" t="s">
        <v>52</v>
      </c>
      <c r="L26" t="s">
        <v>318</v>
      </c>
      <c r="AB26" t="s">
        <v>127</v>
      </c>
      <c r="AC26" s="1">
        <v>44274.676087963002</v>
      </c>
      <c r="AD26" t="s">
        <v>38</v>
      </c>
      <c r="AE26" s="1">
        <v>44274.676087963002</v>
      </c>
      <c r="AF26" t="s">
        <v>38</v>
      </c>
      <c r="AG26">
        <v>-119.87895402506101</v>
      </c>
      <c r="AH26">
        <v>34.420718636107701</v>
      </c>
    </row>
    <row r="27" spans="1:34" x14ac:dyDescent="0.25">
      <c r="A27" s="2">
        <v>172</v>
      </c>
      <c r="B27" s="20">
        <v>44274</v>
      </c>
      <c r="C27" s="21">
        <f t="shared" si="0"/>
        <v>44274.395335648136</v>
      </c>
      <c r="D27" t="s">
        <v>64</v>
      </c>
      <c r="E27" s="3">
        <v>1</v>
      </c>
      <c r="F27" s="3" t="s">
        <v>33</v>
      </c>
      <c r="G27" t="s">
        <v>42</v>
      </c>
      <c r="L27" t="s">
        <v>319</v>
      </c>
      <c r="AB27" t="s">
        <v>284</v>
      </c>
      <c r="AC27" s="1">
        <v>44274.6870023148</v>
      </c>
      <c r="AD27" t="s">
        <v>38</v>
      </c>
      <c r="AE27" s="1">
        <v>44274.6870023148</v>
      </c>
      <c r="AF27" t="s">
        <v>38</v>
      </c>
      <c r="AG27">
        <v>-119.879275531202</v>
      </c>
      <c r="AH27">
        <v>34.421138987911199</v>
      </c>
    </row>
    <row r="28" spans="1:34" x14ac:dyDescent="0.25">
      <c r="A28" s="2">
        <v>70</v>
      </c>
      <c r="B28" s="20">
        <v>44274</v>
      </c>
      <c r="C28" s="21">
        <f t="shared" si="0"/>
        <v>44274.398449074033</v>
      </c>
      <c r="D28" t="s">
        <v>64</v>
      </c>
      <c r="E28" s="3">
        <v>1</v>
      </c>
      <c r="F28" s="3" t="s">
        <v>33</v>
      </c>
      <c r="G28" t="s">
        <v>65</v>
      </c>
      <c r="L28" t="s">
        <v>318</v>
      </c>
      <c r="AB28" t="s">
        <v>151</v>
      </c>
      <c r="AC28" s="1">
        <v>44274.690115740697</v>
      </c>
      <c r="AD28" t="s">
        <v>38</v>
      </c>
      <c r="AE28" s="1">
        <v>44274.690115740697</v>
      </c>
      <c r="AF28" t="s">
        <v>38</v>
      </c>
      <c r="AG28">
        <v>-119.881709200258</v>
      </c>
      <c r="AH28">
        <v>34.420835572545599</v>
      </c>
    </row>
    <row r="29" spans="1:34" x14ac:dyDescent="0.25">
      <c r="A29" s="2">
        <v>179</v>
      </c>
      <c r="B29" s="20">
        <v>44274</v>
      </c>
      <c r="C29" s="21">
        <f t="shared" si="0"/>
        <v>44274.400138888937</v>
      </c>
      <c r="D29" t="s">
        <v>64</v>
      </c>
      <c r="E29" s="3">
        <v>1</v>
      </c>
      <c r="F29" s="3" t="s">
        <v>33</v>
      </c>
      <c r="G29" t="s">
        <v>65</v>
      </c>
      <c r="L29" t="s">
        <v>319</v>
      </c>
      <c r="AB29" t="s">
        <v>293</v>
      </c>
      <c r="AC29" s="1">
        <v>44274.691805555602</v>
      </c>
      <c r="AD29" t="s">
        <v>38</v>
      </c>
      <c r="AE29" s="1">
        <v>44274.691805555602</v>
      </c>
      <c r="AF29" t="s">
        <v>38</v>
      </c>
      <c r="AG29">
        <v>-119.881332436048</v>
      </c>
      <c r="AH29">
        <v>34.4220468576302</v>
      </c>
    </row>
    <row r="30" spans="1:34" x14ac:dyDescent="0.25">
      <c r="A30" s="2">
        <v>185</v>
      </c>
      <c r="B30" s="20">
        <v>44274</v>
      </c>
      <c r="C30" s="21">
        <f t="shared" si="0"/>
        <v>44274.403750000034</v>
      </c>
      <c r="D30" t="s">
        <v>64</v>
      </c>
      <c r="E30" s="3">
        <v>1</v>
      </c>
      <c r="F30" s="3" t="s">
        <v>33</v>
      </c>
      <c r="G30" t="s">
        <v>65</v>
      </c>
      <c r="L30" t="s">
        <v>319</v>
      </c>
      <c r="AB30" t="s">
        <v>300</v>
      </c>
      <c r="AC30" s="1">
        <v>44274.695416666698</v>
      </c>
      <c r="AD30" t="s">
        <v>38</v>
      </c>
      <c r="AE30" s="1">
        <v>44274.695416666698</v>
      </c>
      <c r="AF30" t="s">
        <v>38</v>
      </c>
      <c r="AG30">
        <v>-119.88283735040601</v>
      </c>
      <c r="AH30">
        <v>34.421728983082097</v>
      </c>
    </row>
    <row r="31" spans="1:34" x14ac:dyDescent="0.25">
      <c r="A31" s="2">
        <v>3</v>
      </c>
      <c r="B31" s="20">
        <v>44274</v>
      </c>
      <c r="C31" s="21">
        <f t="shared" si="0"/>
        <v>44274.334918981433</v>
      </c>
      <c r="D31" t="s">
        <v>41</v>
      </c>
      <c r="E31" s="3">
        <v>1</v>
      </c>
      <c r="F31" s="3" t="s">
        <v>33</v>
      </c>
      <c r="G31" t="s">
        <v>42</v>
      </c>
      <c r="L31" t="s">
        <v>318</v>
      </c>
      <c r="AB31" t="s">
        <v>43</v>
      </c>
      <c r="AC31" s="1">
        <v>44274.626585648097</v>
      </c>
      <c r="AD31" t="s">
        <v>38</v>
      </c>
      <c r="AE31" s="1">
        <v>44274.626585648097</v>
      </c>
      <c r="AF31" t="s">
        <v>38</v>
      </c>
      <c r="AG31">
        <v>-119.87462513982599</v>
      </c>
      <c r="AH31">
        <v>34.418165174469102</v>
      </c>
    </row>
    <row r="32" spans="1:34" x14ac:dyDescent="0.25">
      <c r="A32" s="2">
        <v>5</v>
      </c>
      <c r="B32" s="20">
        <v>44274</v>
      </c>
      <c r="C32" s="21">
        <f t="shared" si="0"/>
        <v>44274.336817129639</v>
      </c>
      <c r="D32" t="s">
        <v>41</v>
      </c>
      <c r="E32" s="3">
        <v>1</v>
      </c>
      <c r="F32" s="3" t="s">
        <v>33</v>
      </c>
      <c r="G32" t="s">
        <v>45</v>
      </c>
      <c r="L32" t="s">
        <v>318</v>
      </c>
      <c r="AB32" t="s">
        <v>47</v>
      </c>
      <c r="AC32" s="1">
        <v>44274.628483796303</v>
      </c>
      <c r="AD32" t="s">
        <v>38</v>
      </c>
      <c r="AE32" s="1">
        <v>44274.628483796303</v>
      </c>
      <c r="AF32" t="s">
        <v>38</v>
      </c>
      <c r="AG32">
        <v>-119.87619866750499</v>
      </c>
      <c r="AH32">
        <v>34.417913186324</v>
      </c>
    </row>
    <row r="33" spans="1:34" x14ac:dyDescent="0.25">
      <c r="A33" s="2">
        <v>26</v>
      </c>
      <c r="B33" s="20">
        <v>44274</v>
      </c>
      <c r="C33" s="21">
        <f t="shared" si="0"/>
        <v>44274.354849537034</v>
      </c>
      <c r="D33" t="s">
        <v>41</v>
      </c>
      <c r="E33" s="3">
        <v>1</v>
      </c>
      <c r="F33" s="3" t="s">
        <v>33</v>
      </c>
      <c r="G33" t="s">
        <v>62</v>
      </c>
      <c r="L33" t="s">
        <v>318</v>
      </c>
      <c r="AB33" t="s">
        <v>89</v>
      </c>
      <c r="AC33" s="1">
        <v>44274.646516203698</v>
      </c>
      <c r="AD33" t="s">
        <v>38</v>
      </c>
      <c r="AE33" s="1">
        <v>44274.646516203698</v>
      </c>
      <c r="AF33" t="s">
        <v>38</v>
      </c>
      <c r="AG33">
        <v>-119.879593143148</v>
      </c>
      <c r="AH33">
        <v>34.417671364701597</v>
      </c>
    </row>
    <row r="34" spans="1:34" x14ac:dyDescent="0.25">
      <c r="A34" s="2">
        <v>143</v>
      </c>
      <c r="B34" s="20">
        <v>44274</v>
      </c>
      <c r="C34" s="21">
        <f t="shared" ref="C34:C65" si="1">AC34-(7/24)</f>
        <v>44274.365856481432</v>
      </c>
      <c r="D34" t="s">
        <v>41</v>
      </c>
      <c r="E34" s="3">
        <v>1</v>
      </c>
      <c r="F34" s="3" t="s">
        <v>33</v>
      </c>
      <c r="G34" t="s">
        <v>42</v>
      </c>
      <c r="L34" t="s">
        <v>319</v>
      </c>
      <c r="AB34" t="s">
        <v>252</v>
      </c>
      <c r="AC34" s="1">
        <v>44274.657523148097</v>
      </c>
      <c r="AD34" t="s">
        <v>38</v>
      </c>
      <c r="AE34" s="1">
        <v>44274.657523148097</v>
      </c>
      <c r="AF34" t="s">
        <v>38</v>
      </c>
      <c r="AG34">
        <v>-119.873513842073</v>
      </c>
      <c r="AH34">
        <v>34.421798926405202</v>
      </c>
    </row>
    <row r="35" spans="1:34" x14ac:dyDescent="0.25">
      <c r="A35" s="2">
        <v>150</v>
      </c>
      <c r="B35" s="20">
        <v>44274</v>
      </c>
      <c r="C35" s="21">
        <f t="shared" si="1"/>
        <v>44274.371817129635</v>
      </c>
      <c r="D35" t="s">
        <v>41</v>
      </c>
      <c r="E35" s="3">
        <v>1</v>
      </c>
      <c r="F35" s="3" t="s">
        <v>33</v>
      </c>
      <c r="G35" t="s">
        <v>65</v>
      </c>
      <c r="L35" t="s">
        <v>319</v>
      </c>
      <c r="AB35" t="s">
        <v>260</v>
      </c>
      <c r="AC35" s="1">
        <v>44274.663483796299</v>
      </c>
      <c r="AD35" t="s">
        <v>38</v>
      </c>
      <c r="AE35" s="1">
        <v>44274.663483796299</v>
      </c>
      <c r="AF35" t="s">
        <v>38</v>
      </c>
      <c r="AG35">
        <v>-119.875864225623</v>
      </c>
      <c r="AH35">
        <v>34.420905638144497</v>
      </c>
    </row>
    <row r="36" spans="1:34" x14ac:dyDescent="0.25">
      <c r="A36" s="2">
        <v>156</v>
      </c>
      <c r="B36" s="20">
        <v>44274</v>
      </c>
      <c r="C36" s="21">
        <f t="shared" si="1"/>
        <v>44274.375555555533</v>
      </c>
      <c r="D36" t="s">
        <v>41</v>
      </c>
      <c r="E36" s="3">
        <v>1</v>
      </c>
      <c r="F36" s="3" t="s">
        <v>33</v>
      </c>
      <c r="G36" t="s">
        <v>65</v>
      </c>
      <c r="L36" t="s">
        <v>319</v>
      </c>
      <c r="AB36" t="s">
        <v>266</v>
      </c>
      <c r="AC36" s="1">
        <v>44274.667222222197</v>
      </c>
      <c r="AD36" t="s">
        <v>38</v>
      </c>
      <c r="AE36" s="1">
        <v>44274.667222222197</v>
      </c>
      <c r="AF36" t="s">
        <v>38</v>
      </c>
      <c r="AG36">
        <v>-119.877588027077</v>
      </c>
      <c r="AH36">
        <v>34.421405150987503</v>
      </c>
    </row>
    <row r="37" spans="1:34" x14ac:dyDescent="0.25">
      <c r="A37" s="2">
        <v>46</v>
      </c>
      <c r="B37" s="20">
        <v>44274</v>
      </c>
      <c r="C37" s="21">
        <f t="shared" si="1"/>
        <v>44274.376527777735</v>
      </c>
      <c r="D37" t="s">
        <v>41</v>
      </c>
      <c r="E37" s="3">
        <v>1</v>
      </c>
      <c r="F37" s="3" t="s">
        <v>33</v>
      </c>
      <c r="G37" t="s">
        <v>117</v>
      </c>
      <c r="L37" t="s">
        <v>318</v>
      </c>
      <c r="AB37" t="s">
        <v>118</v>
      </c>
      <c r="AC37" s="1">
        <v>44274.668194444399</v>
      </c>
      <c r="AD37" t="s">
        <v>38</v>
      </c>
      <c r="AE37" s="1">
        <v>44274.668194444399</v>
      </c>
      <c r="AF37" t="s">
        <v>38</v>
      </c>
      <c r="AG37">
        <v>-119.8772000474</v>
      </c>
      <c r="AH37">
        <v>34.4200554011177</v>
      </c>
    </row>
    <row r="38" spans="1:34" x14ac:dyDescent="0.25">
      <c r="A38" s="2">
        <v>171</v>
      </c>
      <c r="B38" s="20">
        <v>44274</v>
      </c>
      <c r="C38" s="21">
        <f t="shared" si="1"/>
        <v>44274.395138888933</v>
      </c>
      <c r="D38" t="s">
        <v>41</v>
      </c>
      <c r="E38" s="3">
        <v>1</v>
      </c>
      <c r="F38" s="3" t="s">
        <v>33</v>
      </c>
      <c r="G38" t="s">
        <v>42</v>
      </c>
      <c r="L38" t="s">
        <v>319</v>
      </c>
      <c r="AB38" t="s">
        <v>283</v>
      </c>
      <c r="AC38" s="1">
        <v>44274.686805555597</v>
      </c>
      <c r="AD38" t="s">
        <v>38</v>
      </c>
      <c r="AE38" s="1">
        <v>44274.686805555597</v>
      </c>
      <c r="AF38" t="s">
        <v>38</v>
      </c>
      <c r="AG38">
        <v>-119.879409333467</v>
      </c>
      <c r="AH38">
        <v>34.4216333500095</v>
      </c>
    </row>
    <row r="39" spans="1:34" x14ac:dyDescent="0.25">
      <c r="A39" s="2">
        <v>74</v>
      </c>
      <c r="B39" s="20">
        <v>44274</v>
      </c>
      <c r="C39" s="21">
        <f t="shared" si="1"/>
        <v>44274.401215277736</v>
      </c>
      <c r="D39" t="s">
        <v>41</v>
      </c>
      <c r="E39" s="3">
        <v>1</v>
      </c>
      <c r="F39" s="3" t="s">
        <v>33</v>
      </c>
      <c r="G39" t="s">
        <v>65</v>
      </c>
      <c r="L39" t="s">
        <v>318</v>
      </c>
      <c r="AB39" t="s">
        <v>157</v>
      </c>
      <c r="AC39" s="1">
        <v>44274.6928819444</v>
      </c>
      <c r="AD39" t="s">
        <v>38</v>
      </c>
      <c r="AE39" s="1">
        <v>44274.6928819444</v>
      </c>
      <c r="AF39" t="s">
        <v>38</v>
      </c>
      <c r="AG39">
        <v>-119.881811877695</v>
      </c>
      <c r="AH39">
        <v>34.4208821572239</v>
      </c>
    </row>
    <row r="40" spans="1:34" x14ac:dyDescent="0.25">
      <c r="A40" s="2">
        <v>140</v>
      </c>
      <c r="B40" s="20">
        <v>44274</v>
      </c>
      <c r="C40" s="21">
        <f t="shared" si="1"/>
        <v>44274.361307870335</v>
      </c>
      <c r="D40" t="s">
        <v>109</v>
      </c>
      <c r="E40" s="3">
        <v>3</v>
      </c>
      <c r="F40" s="3" t="s">
        <v>33</v>
      </c>
      <c r="G40" t="s">
        <v>196</v>
      </c>
      <c r="L40" t="s">
        <v>319</v>
      </c>
      <c r="AB40" t="s">
        <v>248</v>
      </c>
      <c r="AC40" s="1">
        <v>44274.652974536999</v>
      </c>
      <c r="AD40" t="s">
        <v>38</v>
      </c>
      <c r="AE40" s="1">
        <v>44274.657233796301</v>
      </c>
      <c r="AF40" t="s">
        <v>38</v>
      </c>
      <c r="AG40">
        <v>-119.87341218152901</v>
      </c>
      <c r="AH40">
        <v>34.421806218031101</v>
      </c>
    </row>
    <row r="41" spans="1:34" x14ac:dyDescent="0.25">
      <c r="A41" s="2">
        <v>38</v>
      </c>
      <c r="B41" s="20">
        <v>44274</v>
      </c>
      <c r="C41" s="21">
        <f t="shared" si="1"/>
        <v>44274.370810185239</v>
      </c>
      <c r="D41" t="s">
        <v>109</v>
      </c>
      <c r="F41" s="3" t="s">
        <v>33</v>
      </c>
      <c r="G41" t="s">
        <v>52</v>
      </c>
      <c r="J41" t="s">
        <v>330</v>
      </c>
      <c r="L41" t="s">
        <v>318</v>
      </c>
      <c r="AB41" t="s">
        <v>110</v>
      </c>
      <c r="AC41" s="1">
        <v>44274.662476851903</v>
      </c>
      <c r="AD41" t="s">
        <v>38</v>
      </c>
      <c r="AE41" s="1">
        <v>44274.662476851903</v>
      </c>
      <c r="AF41" t="s">
        <v>38</v>
      </c>
      <c r="AG41">
        <v>-119.876911351326</v>
      </c>
      <c r="AH41">
        <v>34.419996414760703</v>
      </c>
    </row>
    <row r="42" spans="1:34" x14ac:dyDescent="0.25">
      <c r="A42" s="2">
        <v>11</v>
      </c>
      <c r="B42" s="20">
        <v>44274</v>
      </c>
      <c r="C42" s="21">
        <f t="shared" si="1"/>
        <v>44274.340127314834</v>
      </c>
      <c r="D42" t="s">
        <v>61</v>
      </c>
      <c r="E42" s="3">
        <v>1</v>
      </c>
      <c r="F42" s="3" t="s">
        <v>33</v>
      </c>
      <c r="G42" t="s">
        <v>62</v>
      </c>
      <c r="L42" t="s">
        <v>318</v>
      </c>
      <c r="AB42" t="s">
        <v>63</v>
      </c>
      <c r="AC42" s="1">
        <v>44274.631793981498</v>
      </c>
      <c r="AD42" t="s">
        <v>38</v>
      </c>
      <c r="AE42" s="1">
        <v>44274.631793981498</v>
      </c>
      <c r="AF42" t="s">
        <v>38</v>
      </c>
      <c r="AG42">
        <v>-119.87521553419</v>
      </c>
      <c r="AH42">
        <v>34.417305846428597</v>
      </c>
    </row>
    <row r="43" spans="1:34" x14ac:dyDescent="0.25">
      <c r="A43" s="2">
        <v>39</v>
      </c>
      <c r="B43" s="20">
        <v>44274</v>
      </c>
      <c r="C43" s="21">
        <f t="shared" si="1"/>
        <v>44274.371307870337</v>
      </c>
      <c r="D43" t="s">
        <v>61</v>
      </c>
      <c r="E43" s="3">
        <v>1</v>
      </c>
      <c r="F43" s="3" t="s">
        <v>33</v>
      </c>
      <c r="G43" t="s">
        <v>65</v>
      </c>
      <c r="L43" t="s">
        <v>318</v>
      </c>
      <c r="AB43" t="s">
        <v>111</v>
      </c>
      <c r="AC43" s="1">
        <v>44274.662974537001</v>
      </c>
      <c r="AD43" t="s">
        <v>38</v>
      </c>
      <c r="AE43" s="1">
        <v>44274.662974537001</v>
      </c>
      <c r="AF43" t="s">
        <v>38</v>
      </c>
      <c r="AG43">
        <v>-119.877743036769</v>
      </c>
      <c r="AH43">
        <v>34.419435283470001</v>
      </c>
    </row>
    <row r="44" spans="1:34" x14ac:dyDescent="0.25">
      <c r="A44" s="2">
        <v>24</v>
      </c>
      <c r="B44" s="20">
        <v>44274</v>
      </c>
      <c r="C44" s="21">
        <f t="shared" si="1"/>
        <v>44274.354375000039</v>
      </c>
      <c r="D44" t="s">
        <v>86</v>
      </c>
      <c r="E44" s="3">
        <v>1</v>
      </c>
      <c r="F44" s="3" t="s">
        <v>33</v>
      </c>
      <c r="G44" t="s">
        <v>45</v>
      </c>
      <c r="L44" t="s">
        <v>318</v>
      </c>
      <c r="AB44" t="s">
        <v>87</v>
      </c>
      <c r="AC44" s="1">
        <v>44274.646041666703</v>
      </c>
      <c r="AD44" t="s">
        <v>38</v>
      </c>
      <c r="AE44" s="1">
        <v>44274.646041666703</v>
      </c>
      <c r="AF44" t="s">
        <v>38</v>
      </c>
      <c r="AG44">
        <v>-119.879700954456</v>
      </c>
      <c r="AH44">
        <v>34.419001182670101</v>
      </c>
    </row>
    <row r="45" spans="1:34" x14ac:dyDescent="0.25">
      <c r="A45" s="2">
        <v>35</v>
      </c>
      <c r="B45" s="20">
        <v>44274</v>
      </c>
      <c r="C45" s="21">
        <f t="shared" si="1"/>
        <v>44274.367951388936</v>
      </c>
      <c r="D45" t="s">
        <v>86</v>
      </c>
      <c r="E45" s="3">
        <v>1</v>
      </c>
      <c r="F45" s="3" t="s">
        <v>33</v>
      </c>
      <c r="G45" t="s">
        <v>103</v>
      </c>
      <c r="J45" t="s">
        <v>341</v>
      </c>
      <c r="L45" t="s">
        <v>318</v>
      </c>
      <c r="AB45" t="s">
        <v>104</v>
      </c>
      <c r="AC45" s="1">
        <v>44274.659618055601</v>
      </c>
      <c r="AD45" t="s">
        <v>38</v>
      </c>
      <c r="AE45" s="1">
        <v>44274.659618055601</v>
      </c>
      <c r="AF45" t="s">
        <v>38</v>
      </c>
      <c r="AG45">
        <v>-119.880112312788</v>
      </c>
      <c r="AH45">
        <v>34.419151526966097</v>
      </c>
    </row>
    <row r="46" spans="1:34" x14ac:dyDescent="0.25">
      <c r="A46" s="2">
        <v>131</v>
      </c>
      <c r="B46" s="20">
        <v>44274</v>
      </c>
      <c r="C46" s="21">
        <f t="shared" si="1"/>
        <v>44274.357604166638</v>
      </c>
      <c r="D46" t="s">
        <v>237</v>
      </c>
      <c r="E46" s="3">
        <v>4</v>
      </c>
      <c r="F46" s="3" t="s">
        <v>33</v>
      </c>
      <c r="G46" t="s">
        <v>65</v>
      </c>
      <c r="L46" t="s">
        <v>319</v>
      </c>
      <c r="AB46" t="s">
        <v>238</v>
      </c>
      <c r="AC46" s="1">
        <v>44274.649270833303</v>
      </c>
      <c r="AD46" t="s">
        <v>38</v>
      </c>
      <c r="AE46" s="1">
        <v>44274.649270833303</v>
      </c>
      <c r="AF46" t="s">
        <v>38</v>
      </c>
      <c r="AG46">
        <v>-119.872068500392</v>
      </c>
      <c r="AH46">
        <v>34.422642983451802</v>
      </c>
    </row>
    <row r="47" spans="1:34" x14ac:dyDescent="0.25">
      <c r="A47" s="2">
        <v>192</v>
      </c>
      <c r="B47" s="20">
        <v>44274</v>
      </c>
      <c r="C47" s="21">
        <f t="shared" si="1"/>
        <v>44274.408229166635</v>
      </c>
      <c r="D47" t="s">
        <v>237</v>
      </c>
      <c r="E47" s="3">
        <v>2</v>
      </c>
      <c r="F47" s="3" t="s">
        <v>33</v>
      </c>
      <c r="G47" t="s">
        <v>65</v>
      </c>
      <c r="L47" t="s">
        <v>319</v>
      </c>
      <c r="AB47" t="s">
        <v>307</v>
      </c>
      <c r="AC47" s="1">
        <v>44274.699895833299</v>
      </c>
      <c r="AD47" t="s">
        <v>38</v>
      </c>
      <c r="AE47" s="1">
        <v>44274.699895833299</v>
      </c>
      <c r="AF47" t="s">
        <v>38</v>
      </c>
      <c r="AG47">
        <v>-119.88365475982199</v>
      </c>
      <c r="AH47">
        <v>34.421683209551503</v>
      </c>
    </row>
    <row r="48" spans="1:34" x14ac:dyDescent="0.25">
      <c r="A48" s="2">
        <v>37</v>
      </c>
      <c r="B48" s="20">
        <v>44274</v>
      </c>
      <c r="C48" s="21">
        <f t="shared" si="1"/>
        <v>44274.369895833333</v>
      </c>
      <c r="D48" t="s">
        <v>107</v>
      </c>
      <c r="E48" s="3">
        <v>1</v>
      </c>
      <c r="F48" s="3" t="s">
        <v>33</v>
      </c>
      <c r="G48" t="s">
        <v>62</v>
      </c>
      <c r="L48" t="s">
        <v>318</v>
      </c>
      <c r="AB48" t="s">
        <v>108</v>
      </c>
      <c r="AC48" s="1">
        <v>44274.661562499998</v>
      </c>
      <c r="AD48" t="s">
        <v>38</v>
      </c>
      <c r="AE48" s="1">
        <v>44274.661562499998</v>
      </c>
      <c r="AF48" t="s">
        <v>38</v>
      </c>
      <c r="AG48">
        <v>-119.880263761558</v>
      </c>
      <c r="AH48">
        <v>34.417218214704597</v>
      </c>
    </row>
    <row r="49" spans="1:34" x14ac:dyDescent="0.25">
      <c r="A49" s="2">
        <v>190</v>
      </c>
      <c r="B49" s="20">
        <v>44274</v>
      </c>
      <c r="C49" s="21">
        <f t="shared" si="1"/>
        <v>44274.406620370333</v>
      </c>
      <c r="D49" t="s">
        <v>170</v>
      </c>
      <c r="E49" s="3">
        <v>2</v>
      </c>
      <c r="F49" s="3" t="s">
        <v>33</v>
      </c>
      <c r="G49" t="s">
        <v>62</v>
      </c>
      <c r="L49" t="s">
        <v>319</v>
      </c>
      <c r="AB49" t="s">
        <v>305</v>
      </c>
      <c r="AC49" s="1">
        <v>44274.698287036997</v>
      </c>
      <c r="AD49" t="s">
        <v>38</v>
      </c>
      <c r="AE49" s="1">
        <v>44274.698287036997</v>
      </c>
      <c r="AF49" t="s">
        <v>38</v>
      </c>
      <c r="AG49">
        <v>-119.88383957831</v>
      </c>
      <c r="AH49">
        <v>34.421549809552303</v>
      </c>
    </row>
    <row r="50" spans="1:34" x14ac:dyDescent="0.25">
      <c r="A50" s="2">
        <v>83</v>
      </c>
      <c r="B50" s="20">
        <v>44274</v>
      </c>
      <c r="C50" s="21">
        <f t="shared" si="1"/>
        <v>44274.410775462937</v>
      </c>
      <c r="D50" t="s">
        <v>170</v>
      </c>
      <c r="E50" s="3">
        <v>1</v>
      </c>
      <c r="F50" s="3" t="s">
        <v>33</v>
      </c>
      <c r="G50" t="s">
        <v>45</v>
      </c>
      <c r="L50" t="s">
        <v>318</v>
      </c>
      <c r="AB50" t="s">
        <v>171</v>
      </c>
      <c r="AC50" s="1">
        <v>44274.702442129601</v>
      </c>
      <c r="AD50" t="s">
        <v>38</v>
      </c>
      <c r="AE50" s="1">
        <v>44274.702442129601</v>
      </c>
      <c r="AF50" t="s">
        <v>38</v>
      </c>
      <c r="AG50">
        <v>-119.88420504979899</v>
      </c>
      <c r="AH50">
        <v>34.421122847649201</v>
      </c>
    </row>
    <row r="51" spans="1:34" x14ac:dyDescent="0.25">
      <c r="A51" s="2">
        <v>108</v>
      </c>
      <c r="B51" s="20">
        <v>44274</v>
      </c>
      <c r="C51" s="21">
        <f t="shared" si="1"/>
        <v>44274.342418981432</v>
      </c>
      <c r="D51" t="s">
        <v>77</v>
      </c>
      <c r="E51" s="3">
        <v>2</v>
      </c>
      <c r="F51" s="3" t="s">
        <v>33</v>
      </c>
      <c r="G51" t="s">
        <v>98</v>
      </c>
      <c r="L51" t="s">
        <v>319</v>
      </c>
      <c r="AB51" t="s">
        <v>209</v>
      </c>
      <c r="AC51" s="1">
        <v>44274.634085648097</v>
      </c>
      <c r="AD51" t="s">
        <v>38</v>
      </c>
      <c r="AE51" s="1">
        <v>44274.634085648097</v>
      </c>
      <c r="AF51" t="s">
        <v>38</v>
      </c>
      <c r="AG51">
        <v>-119.875665936898</v>
      </c>
      <c r="AH51">
        <v>34.4195252478847</v>
      </c>
    </row>
    <row r="52" spans="1:34" x14ac:dyDescent="0.25">
      <c r="A52" s="2">
        <v>19</v>
      </c>
      <c r="B52" s="20">
        <v>44274</v>
      </c>
      <c r="C52" s="21">
        <f t="shared" si="1"/>
        <v>44274.346793981538</v>
      </c>
      <c r="D52" t="s">
        <v>77</v>
      </c>
      <c r="E52" s="3">
        <v>2</v>
      </c>
      <c r="F52" s="3" t="s">
        <v>33</v>
      </c>
      <c r="G52" t="s">
        <v>42</v>
      </c>
      <c r="L52" t="s">
        <v>318</v>
      </c>
      <c r="AB52" t="s">
        <v>78</v>
      </c>
      <c r="AC52" s="1">
        <v>44274.638460648202</v>
      </c>
      <c r="AD52" t="s">
        <v>38</v>
      </c>
      <c r="AE52" s="1">
        <v>44274.638460648202</v>
      </c>
      <c r="AF52" t="s">
        <v>38</v>
      </c>
      <c r="AG52">
        <v>-119.87720747107799</v>
      </c>
      <c r="AH52">
        <v>34.4195885563107</v>
      </c>
    </row>
    <row r="53" spans="1:34" x14ac:dyDescent="0.25">
      <c r="A53" s="2">
        <v>40</v>
      </c>
      <c r="B53" s="20">
        <v>44274</v>
      </c>
      <c r="C53" s="21">
        <f t="shared" si="1"/>
        <v>44274.371689814834</v>
      </c>
      <c r="D53" t="s">
        <v>77</v>
      </c>
      <c r="E53" s="3">
        <v>2</v>
      </c>
      <c r="F53" s="3" t="s">
        <v>33</v>
      </c>
      <c r="G53" t="s">
        <v>52</v>
      </c>
      <c r="L53" t="s">
        <v>318</v>
      </c>
      <c r="AB53" t="s">
        <v>112</v>
      </c>
      <c r="AC53" s="1">
        <v>44274.663356481498</v>
      </c>
      <c r="AD53" t="s">
        <v>38</v>
      </c>
      <c r="AE53" s="1">
        <v>44274.663356481498</v>
      </c>
      <c r="AF53" t="s">
        <v>38</v>
      </c>
      <c r="AG53">
        <v>-119.87603602842201</v>
      </c>
      <c r="AH53">
        <v>34.419634329506003</v>
      </c>
    </row>
    <row r="54" spans="1:34" x14ac:dyDescent="0.25">
      <c r="A54" s="2">
        <v>57</v>
      </c>
      <c r="B54" s="20">
        <v>44274</v>
      </c>
      <c r="C54" s="21">
        <f t="shared" si="1"/>
        <v>44274.390358796336</v>
      </c>
      <c r="D54" t="s">
        <v>135</v>
      </c>
      <c r="E54" s="3">
        <v>1</v>
      </c>
      <c r="F54" s="3" t="s">
        <v>33</v>
      </c>
      <c r="G54" t="s">
        <v>59</v>
      </c>
      <c r="L54" t="s">
        <v>318</v>
      </c>
      <c r="AB54" t="s">
        <v>136</v>
      </c>
      <c r="AC54" s="1">
        <v>44274.682025463</v>
      </c>
      <c r="AD54" t="s">
        <v>38</v>
      </c>
      <c r="AE54" s="1">
        <v>44274.682025463</v>
      </c>
      <c r="AF54" t="s">
        <v>38</v>
      </c>
      <c r="AG54">
        <v>-119.880476214021</v>
      </c>
      <c r="AH54">
        <v>34.420680521298401</v>
      </c>
    </row>
    <row r="55" spans="1:34" x14ac:dyDescent="0.25">
      <c r="A55" s="2">
        <v>117</v>
      </c>
      <c r="B55" s="20">
        <v>44274</v>
      </c>
      <c r="C55" s="21">
        <f t="shared" si="1"/>
        <v>44274.349224537036</v>
      </c>
      <c r="D55" t="s">
        <v>97</v>
      </c>
      <c r="E55" s="3">
        <v>3</v>
      </c>
      <c r="F55" s="3" t="s">
        <v>33</v>
      </c>
      <c r="G55" t="s">
        <v>98</v>
      </c>
      <c r="L55" t="s">
        <v>319</v>
      </c>
      <c r="AB55" t="s">
        <v>222</v>
      </c>
      <c r="AC55" s="1">
        <v>44274.6408912037</v>
      </c>
      <c r="AD55" t="s">
        <v>38</v>
      </c>
      <c r="AE55" s="1">
        <v>44274.6408912037</v>
      </c>
      <c r="AF55" t="s">
        <v>38</v>
      </c>
      <c r="AG55">
        <v>-119.87200202595901</v>
      </c>
      <c r="AH55">
        <v>34.421186652092899</v>
      </c>
    </row>
    <row r="56" spans="1:34" x14ac:dyDescent="0.25">
      <c r="A56" s="2">
        <v>31</v>
      </c>
      <c r="B56" s="20">
        <v>44274</v>
      </c>
      <c r="C56" s="21">
        <f t="shared" si="1"/>
        <v>44274.363831018534</v>
      </c>
      <c r="D56" t="s">
        <v>97</v>
      </c>
      <c r="E56" s="3">
        <v>5</v>
      </c>
      <c r="F56" s="3" t="s">
        <v>33</v>
      </c>
      <c r="G56" t="s">
        <v>98</v>
      </c>
      <c r="L56" t="s">
        <v>318</v>
      </c>
      <c r="AB56" t="s">
        <v>99</v>
      </c>
      <c r="AC56" s="1">
        <v>44274.655497685198</v>
      </c>
      <c r="AD56" t="s">
        <v>38</v>
      </c>
      <c r="AE56" s="1">
        <v>44274.655497685198</v>
      </c>
      <c r="AF56" t="s">
        <v>38</v>
      </c>
      <c r="AG56">
        <v>-119.879804281375</v>
      </c>
      <c r="AH56">
        <v>34.419411981468002</v>
      </c>
    </row>
    <row r="57" spans="1:34" x14ac:dyDescent="0.25">
      <c r="A57" s="2">
        <v>176</v>
      </c>
      <c r="B57" s="20">
        <v>44274</v>
      </c>
      <c r="C57" s="21">
        <f t="shared" si="1"/>
        <v>44274.396643518536</v>
      </c>
      <c r="D57" t="s">
        <v>97</v>
      </c>
      <c r="E57" s="3">
        <v>2</v>
      </c>
      <c r="F57" s="3" t="s">
        <v>33</v>
      </c>
      <c r="G57" t="s">
        <v>98</v>
      </c>
      <c r="L57" t="s">
        <v>319</v>
      </c>
      <c r="AB57" t="s">
        <v>289</v>
      </c>
      <c r="AC57" s="1">
        <v>44274.6883101852</v>
      </c>
      <c r="AD57" t="s">
        <v>38</v>
      </c>
      <c r="AE57" s="1">
        <v>44274.6883101852</v>
      </c>
      <c r="AF57" t="s">
        <v>38</v>
      </c>
      <c r="AG57">
        <v>-119.88128823624101</v>
      </c>
      <c r="AH57">
        <v>34.421733297297799</v>
      </c>
    </row>
    <row r="58" spans="1:34" x14ac:dyDescent="0.25">
      <c r="A58" s="2">
        <v>22</v>
      </c>
      <c r="B58" s="20">
        <v>44274</v>
      </c>
      <c r="C58" s="21">
        <f t="shared" si="1"/>
        <v>44274.349722222236</v>
      </c>
      <c r="D58" t="s">
        <v>82</v>
      </c>
      <c r="E58" s="3">
        <v>1</v>
      </c>
      <c r="F58" s="3" t="s">
        <v>33</v>
      </c>
      <c r="G58" t="s">
        <v>59</v>
      </c>
      <c r="L58" t="s">
        <v>318</v>
      </c>
      <c r="AB58" t="s">
        <v>83</v>
      </c>
      <c r="AC58" s="1">
        <v>44274.6413888889</v>
      </c>
      <c r="AD58" t="s">
        <v>38</v>
      </c>
      <c r="AE58" s="1">
        <v>44274.6413888889</v>
      </c>
      <c r="AF58" t="s">
        <v>38</v>
      </c>
      <c r="AG58">
        <v>-119.878514038319</v>
      </c>
      <c r="AH58">
        <v>34.417655245260796</v>
      </c>
    </row>
    <row r="59" spans="1:34" x14ac:dyDescent="0.25">
      <c r="A59" s="2">
        <v>118</v>
      </c>
      <c r="B59" s="20">
        <v>44274</v>
      </c>
      <c r="C59" s="21">
        <f t="shared" si="1"/>
        <v>44274.350925925937</v>
      </c>
      <c r="D59" t="s">
        <v>82</v>
      </c>
      <c r="E59" s="3">
        <v>1</v>
      </c>
      <c r="F59" s="3" t="s">
        <v>33</v>
      </c>
      <c r="G59" t="s">
        <v>42</v>
      </c>
      <c r="L59" t="s">
        <v>319</v>
      </c>
      <c r="AB59" t="s">
        <v>223</v>
      </c>
      <c r="AC59" s="1">
        <v>44274.642592592601</v>
      </c>
      <c r="AD59" t="s">
        <v>38</v>
      </c>
      <c r="AE59" s="1">
        <v>44274.642592592601</v>
      </c>
      <c r="AF59" t="s">
        <v>38</v>
      </c>
      <c r="AG59">
        <v>-119.871692625514</v>
      </c>
      <c r="AH59">
        <v>34.4210809160029</v>
      </c>
    </row>
    <row r="60" spans="1:34" x14ac:dyDescent="0.25">
      <c r="A60" s="2">
        <v>139</v>
      </c>
      <c r="B60" s="20">
        <v>44274</v>
      </c>
      <c r="C60" s="21">
        <f t="shared" si="1"/>
        <v>44274.361006944433</v>
      </c>
      <c r="D60" t="s">
        <v>82</v>
      </c>
      <c r="E60" s="3">
        <v>1</v>
      </c>
      <c r="F60" s="3" t="s">
        <v>33</v>
      </c>
      <c r="G60" t="s">
        <v>42</v>
      </c>
      <c r="L60" t="s">
        <v>319</v>
      </c>
      <c r="AB60" t="s">
        <v>247</v>
      </c>
      <c r="AC60" s="1">
        <v>44274.652673611097</v>
      </c>
      <c r="AD60" t="s">
        <v>38</v>
      </c>
      <c r="AE60" s="1">
        <v>44274.652673611097</v>
      </c>
      <c r="AF60" t="s">
        <v>38</v>
      </c>
      <c r="AG60">
        <v>-119.873253061146</v>
      </c>
      <c r="AH60">
        <v>34.421849970737</v>
      </c>
    </row>
    <row r="61" spans="1:34" x14ac:dyDescent="0.25">
      <c r="A61" s="2">
        <v>153</v>
      </c>
      <c r="B61" s="20">
        <v>44274</v>
      </c>
      <c r="C61" s="21">
        <f t="shared" si="1"/>
        <v>44274.373854166639</v>
      </c>
      <c r="D61" t="s">
        <v>82</v>
      </c>
      <c r="E61" s="3">
        <v>1</v>
      </c>
      <c r="F61" s="3" t="s">
        <v>33</v>
      </c>
      <c r="G61" t="s">
        <v>62</v>
      </c>
      <c r="L61" t="s">
        <v>319</v>
      </c>
      <c r="AB61" t="s">
        <v>263</v>
      </c>
      <c r="AC61" s="1">
        <v>44274.665520833303</v>
      </c>
      <c r="AD61" t="s">
        <v>38</v>
      </c>
      <c r="AE61" s="1">
        <v>44274.665520833303</v>
      </c>
      <c r="AF61" t="s">
        <v>38</v>
      </c>
      <c r="AG61">
        <v>-119.87691410017101</v>
      </c>
      <c r="AH61">
        <v>34.420638199648998</v>
      </c>
    </row>
    <row r="62" spans="1:34" x14ac:dyDescent="0.25">
      <c r="A62" s="2">
        <v>65</v>
      </c>
      <c r="B62" s="20">
        <v>44274</v>
      </c>
      <c r="C62" s="21">
        <f t="shared" si="1"/>
        <v>44274.395439814834</v>
      </c>
      <c r="D62" t="s">
        <v>82</v>
      </c>
      <c r="E62" s="3">
        <v>1</v>
      </c>
      <c r="F62" s="3" t="s">
        <v>33</v>
      </c>
      <c r="G62" t="s">
        <v>42</v>
      </c>
      <c r="L62" t="s">
        <v>318</v>
      </c>
      <c r="AB62" t="s">
        <v>145</v>
      </c>
      <c r="AC62" s="1">
        <v>44274.687106481499</v>
      </c>
      <c r="AD62" t="s">
        <v>38</v>
      </c>
      <c r="AE62" s="1">
        <v>44274.687106481499</v>
      </c>
      <c r="AF62" t="s">
        <v>38</v>
      </c>
      <c r="AG62">
        <v>-119.88069012894201</v>
      </c>
      <c r="AH62">
        <v>34.421405106526102</v>
      </c>
    </row>
    <row r="63" spans="1:34" x14ac:dyDescent="0.25">
      <c r="A63" s="2">
        <v>75</v>
      </c>
      <c r="B63" s="20">
        <v>44274</v>
      </c>
      <c r="C63" s="21">
        <f t="shared" si="1"/>
        <v>44274.403738425935</v>
      </c>
      <c r="D63" t="s">
        <v>82</v>
      </c>
      <c r="E63" s="3">
        <v>1</v>
      </c>
      <c r="F63" s="3" t="s">
        <v>33</v>
      </c>
      <c r="G63" t="s">
        <v>42</v>
      </c>
      <c r="H63" t="s">
        <v>158</v>
      </c>
      <c r="L63" t="s">
        <v>318</v>
      </c>
      <c r="AB63" t="s">
        <v>159</v>
      </c>
      <c r="AC63" s="1">
        <v>44274.6954050926</v>
      </c>
      <c r="AD63" t="s">
        <v>38</v>
      </c>
      <c r="AE63" s="1">
        <v>44274.6954050926</v>
      </c>
      <c r="AF63" t="s">
        <v>38</v>
      </c>
      <c r="AG63">
        <v>-119.88166179616</v>
      </c>
      <c r="AH63">
        <v>34.420768453956597</v>
      </c>
    </row>
    <row r="64" spans="1:34" x14ac:dyDescent="0.25">
      <c r="A64" s="2">
        <v>186</v>
      </c>
      <c r="B64" s="20">
        <v>44274</v>
      </c>
      <c r="C64" s="21">
        <f t="shared" si="1"/>
        <v>44274.404895833337</v>
      </c>
      <c r="D64" t="s">
        <v>82</v>
      </c>
      <c r="E64" s="3">
        <v>1</v>
      </c>
      <c r="F64" s="3" t="s">
        <v>33</v>
      </c>
      <c r="G64" t="s">
        <v>42</v>
      </c>
      <c r="L64" t="s">
        <v>319</v>
      </c>
      <c r="AB64" t="s">
        <v>301</v>
      </c>
      <c r="AC64" s="1">
        <v>44274.696562500001</v>
      </c>
      <c r="AD64" t="s">
        <v>38</v>
      </c>
      <c r="AE64" s="1">
        <v>44274.696562500001</v>
      </c>
      <c r="AF64" t="s">
        <v>38</v>
      </c>
      <c r="AG64">
        <v>-119.883480200094</v>
      </c>
      <c r="AH64">
        <v>34.421580833137099</v>
      </c>
    </row>
    <row r="65" spans="1:34" x14ac:dyDescent="0.25">
      <c r="A65" s="2">
        <v>84</v>
      </c>
      <c r="B65" s="20">
        <v>44274</v>
      </c>
      <c r="C65" s="21">
        <f t="shared" si="1"/>
        <v>44274.412141203735</v>
      </c>
      <c r="D65" t="s">
        <v>82</v>
      </c>
      <c r="E65" s="3">
        <v>1</v>
      </c>
      <c r="F65" s="3" t="s">
        <v>33</v>
      </c>
      <c r="G65" t="s">
        <v>42</v>
      </c>
      <c r="L65" t="s">
        <v>318</v>
      </c>
      <c r="AB65" t="s">
        <v>172</v>
      </c>
      <c r="AC65" s="1">
        <v>44274.703807870399</v>
      </c>
      <c r="AD65" t="s">
        <v>38</v>
      </c>
      <c r="AE65" s="1">
        <v>44274.703807870399</v>
      </c>
      <c r="AF65" t="s">
        <v>38</v>
      </c>
      <c r="AG65">
        <v>-119.883819796509</v>
      </c>
      <c r="AH65">
        <v>34.421205667516503</v>
      </c>
    </row>
    <row r="66" spans="1:34" x14ac:dyDescent="0.25">
      <c r="A66" s="2">
        <v>87</v>
      </c>
      <c r="B66" s="20">
        <v>44274</v>
      </c>
      <c r="C66" s="21">
        <f t="shared" ref="C66:C97" si="2">AC66-(7/24)</f>
        <v>44274.413993055539</v>
      </c>
      <c r="D66" t="s">
        <v>82</v>
      </c>
      <c r="E66" s="3">
        <v>1</v>
      </c>
      <c r="F66" s="3" t="s">
        <v>33</v>
      </c>
      <c r="G66" t="s">
        <v>65</v>
      </c>
      <c r="L66" t="s">
        <v>318</v>
      </c>
      <c r="AB66" t="s">
        <v>176</v>
      </c>
      <c r="AC66" s="1">
        <v>44274.705659722204</v>
      </c>
      <c r="AD66" t="s">
        <v>38</v>
      </c>
      <c r="AE66" s="1">
        <v>44274.705659722204</v>
      </c>
      <c r="AF66" t="s">
        <v>38</v>
      </c>
      <c r="AG66">
        <v>-119.88459263781</v>
      </c>
      <c r="AH66">
        <v>34.421488795332301</v>
      </c>
    </row>
    <row r="67" spans="1:34" x14ac:dyDescent="0.25">
      <c r="A67" s="2">
        <v>112</v>
      </c>
      <c r="B67" s="20">
        <v>44274</v>
      </c>
      <c r="C67" s="21">
        <f t="shared" si="2"/>
        <v>44274.347500000033</v>
      </c>
      <c r="D67" t="s">
        <v>215</v>
      </c>
      <c r="E67" s="3">
        <v>1</v>
      </c>
      <c r="F67" s="3" t="s">
        <v>33</v>
      </c>
      <c r="G67" t="s">
        <v>200</v>
      </c>
      <c r="L67" t="s">
        <v>319</v>
      </c>
      <c r="AB67" t="s">
        <v>216</v>
      </c>
      <c r="AC67" s="1">
        <v>44274.639166666697</v>
      </c>
      <c r="AD67" t="s">
        <v>38</v>
      </c>
      <c r="AE67" s="1">
        <v>44274.639166666697</v>
      </c>
      <c r="AF67" t="s">
        <v>38</v>
      </c>
      <c r="AG67">
        <v>-119.87312885468501</v>
      </c>
      <c r="AH67">
        <v>34.420393027552997</v>
      </c>
    </row>
    <row r="68" spans="1:34" x14ac:dyDescent="0.25">
      <c r="A68" s="2">
        <v>110</v>
      </c>
      <c r="B68" s="20">
        <v>44274</v>
      </c>
      <c r="C68" s="21">
        <f t="shared" si="2"/>
        <v>44274.345266203738</v>
      </c>
      <c r="D68" t="s">
        <v>211</v>
      </c>
      <c r="E68" s="3">
        <v>1</v>
      </c>
      <c r="F68" s="3" t="s">
        <v>33</v>
      </c>
      <c r="G68" t="s">
        <v>65</v>
      </c>
      <c r="L68" t="s">
        <v>319</v>
      </c>
      <c r="AB68" t="s">
        <v>212</v>
      </c>
      <c r="AC68" s="1">
        <v>44274.636932870402</v>
      </c>
      <c r="AD68" t="s">
        <v>38</v>
      </c>
      <c r="AE68" s="1">
        <v>44274.636932870402</v>
      </c>
      <c r="AF68" t="s">
        <v>38</v>
      </c>
      <c r="AG68">
        <v>-119.873747655575</v>
      </c>
      <c r="AH68">
        <v>34.419900800455501</v>
      </c>
    </row>
    <row r="69" spans="1:34" x14ac:dyDescent="0.25">
      <c r="A69" s="2">
        <v>155</v>
      </c>
      <c r="B69" s="20">
        <v>44274</v>
      </c>
      <c r="C69" s="21">
        <f t="shared" si="2"/>
        <v>44274.375208333338</v>
      </c>
      <c r="D69" t="s">
        <v>211</v>
      </c>
      <c r="E69" s="3">
        <v>1</v>
      </c>
      <c r="F69" s="3" t="s">
        <v>33</v>
      </c>
      <c r="G69" t="s">
        <v>65</v>
      </c>
      <c r="L69" t="s">
        <v>319</v>
      </c>
      <c r="AB69" t="s">
        <v>265</v>
      </c>
      <c r="AC69" s="1">
        <v>44274.666875000003</v>
      </c>
      <c r="AD69" t="s">
        <v>38</v>
      </c>
      <c r="AE69" s="1">
        <v>44274.666875000003</v>
      </c>
      <c r="AF69" t="s">
        <v>38</v>
      </c>
      <c r="AG69">
        <v>-119.877627807172</v>
      </c>
      <c r="AH69">
        <v>34.421288476927501</v>
      </c>
    </row>
    <row r="70" spans="1:34" x14ac:dyDescent="0.25">
      <c r="A70" s="2">
        <v>195</v>
      </c>
      <c r="B70" s="20">
        <v>44274</v>
      </c>
      <c r="C70" s="21">
        <f t="shared" si="2"/>
        <v>44274.410069444435</v>
      </c>
      <c r="D70" t="s">
        <v>310</v>
      </c>
      <c r="E70" s="3">
        <v>2</v>
      </c>
      <c r="F70" s="3" t="s">
        <v>33</v>
      </c>
      <c r="G70" t="s">
        <v>200</v>
      </c>
      <c r="L70" t="s">
        <v>319</v>
      </c>
      <c r="AB70" t="s">
        <v>311</v>
      </c>
      <c r="AC70" s="1">
        <v>44274.701736111099</v>
      </c>
      <c r="AD70" t="s">
        <v>38</v>
      </c>
      <c r="AE70" s="1">
        <v>44274.701736111099</v>
      </c>
      <c r="AF70" t="s">
        <v>38</v>
      </c>
      <c r="AG70">
        <v>-119.88389091702901</v>
      </c>
      <c r="AH70">
        <v>34.421469345734302</v>
      </c>
    </row>
    <row r="71" spans="1:34" x14ac:dyDescent="0.25">
      <c r="A71" s="2">
        <v>175</v>
      </c>
      <c r="B71" s="20">
        <v>44274</v>
      </c>
      <c r="C71" s="21">
        <f t="shared" si="2"/>
        <v>44274.396365740737</v>
      </c>
      <c r="D71" t="s">
        <v>287</v>
      </c>
      <c r="E71" s="3">
        <v>2</v>
      </c>
      <c r="F71" s="3" t="s">
        <v>33</v>
      </c>
      <c r="G71" t="s">
        <v>98</v>
      </c>
      <c r="L71" t="s">
        <v>319</v>
      </c>
      <c r="AB71" t="s">
        <v>288</v>
      </c>
      <c r="AC71" s="1">
        <v>44274.688032407401</v>
      </c>
      <c r="AD71" t="s">
        <v>38</v>
      </c>
      <c r="AE71" s="1">
        <v>44274.688032407401</v>
      </c>
      <c r="AF71" t="s">
        <v>38</v>
      </c>
      <c r="AG71">
        <v>-119.880983256405</v>
      </c>
      <c r="AH71">
        <v>34.421532763841498</v>
      </c>
    </row>
    <row r="72" spans="1:34" x14ac:dyDescent="0.25">
      <c r="A72" s="2">
        <v>9</v>
      </c>
      <c r="B72" s="20">
        <v>44274</v>
      </c>
      <c r="C72" s="21">
        <f t="shared" si="2"/>
        <v>44274.338599537034</v>
      </c>
      <c r="D72" t="s">
        <v>56</v>
      </c>
      <c r="E72" s="3">
        <v>1</v>
      </c>
      <c r="F72" s="3" t="s">
        <v>33</v>
      </c>
      <c r="G72" t="s">
        <v>52</v>
      </c>
      <c r="L72" t="s">
        <v>318</v>
      </c>
      <c r="AB72" t="s">
        <v>57</v>
      </c>
      <c r="AC72" s="1">
        <v>44274.630266203698</v>
      </c>
      <c r="AD72" t="s">
        <v>38</v>
      </c>
      <c r="AE72" s="1">
        <v>44274.630266203698</v>
      </c>
      <c r="AF72" t="s">
        <v>38</v>
      </c>
      <c r="AG72">
        <v>-119.875662179245</v>
      </c>
      <c r="AH72">
        <v>34.417955938422303</v>
      </c>
    </row>
    <row r="73" spans="1:34" x14ac:dyDescent="0.25">
      <c r="A73" s="2">
        <v>91</v>
      </c>
      <c r="B73" s="20">
        <v>44274</v>
      </c>
      <c r="C73" s="21">
        <f t="shared" si="2"/>
        <v>44274.416724537034</v>
      </c>
      <c r="D73" t="s">
        <v>56</v>
      </c>
      <c r="E73" s="3">
        <v>1</v>
      </c>
      <c r="F73" s="3" t="s">
        <v>33</v>
      </c>
      <c r="G73" t="s">
        <v>52</v>
      </c>
      <c r="L73" t="s">
        <v>318</v>
      </c>
      <c r="AB73" t="s">
        <v>182</v>
      </c>
      <c r="AC73" s="1">
        <v>44274.708391203698</v>
      </c>
      <c r="AD73" t="s">
        <v>38</v>
      </c>
      <c r="AE73" s="1">
        <v>44274.708391203698</v>
      </c>
      <c r="AF73" t="s">
        <v>38</v>
      </c>
      <c r="AG73">
        <v>-119.884318290525</v>
      </c>
      <c r="AH73">
        <v>34.421319304238096</v>
      </c>
    </row>
    <row r="74" spans="1:34" x14ac:dyDescent="0.25">
      <c r="A74" s="2">
        <v>160</v>
      </c>
      <c r="B74" s="20">
        <v>44274</v>
      </c>
      <c r="C74" s="21">
        <f t="shared" si="2"/>
        <v>44274.378842592632</v>
      </c>
      <c r="D74" t="s">
        <v>105</v>
      </c>
      <c r="E74" s="3">
        <v>1</v>
      </c>
      <c r="F74" s="3" t="s">
        <v>33</v>
      </c>
      <c r="G74" t="s">
        <v>196</v>
      </c>
      <c r="L74" t="s">
        <v>319</v>
      </c>
      <c r="AB74" t="s">
        <v>271</v>
      </c>
      <c r="AC74" s="1">
        <v>44274.670509259297</v>
      </c>
      <c r="AD74" t="s">
        <v>38</v>
      </c>
      <c r="AE74" s="1">
        <v>44274.670509259297</v>
      </c>
      <c r="AF74" t="s">
        <v>38</v>
      </c>
      <c r="AG74">
        <v>-119.878890763003</v>
      </c>
      <c r="AH74">
        <v>34.421277538679703</v>
      </c>
    </row>
    <row r="75" spans="1:34" x14ac:dyDescent="0.25">
      <c r="A75" s="2">
        <v>97</v>
      </c>
      <c r="B75" s="20">
        <v>44274</v>
      </c>
      <c r="C75" s="21">
        <f t="shared" si="2"/>
        <v>44274.335706018537</v>
      </c>
      <c r="D75" t="s">
        <v>193</v>
      </c>
      <c r="E75" s="3">
        <v>1</v>
      </c>
      <c r="F75" s="3" t="s">
        <v>33</v>
      </c>
      <c r="G75" t="s">
        <v>98</v>
      </c>
      <c r="L75" t="s">
        <v>319</v>
      </c>
      <c r="AB75" t="s">
        <v>194</v>
      </c>
      <c r="AC75" s="1">
        <v>44274.627372685201</v>
      </c>
      <c r="AD75" t="s">
        <v>38</v>
      </c>
      <c r="AE75" s="1">
        <v>44274.627372685201</v>
      </c>
      <c r="AF75" t="s">
        <v>38</v>
      </c>
      <c r="AG75">
        <v>-119.875982533746</v>
      </c>
      <c r="AH75">
        <v>34.419378290815203</v>
      </c>
    </row>
    <row r="76" spans="1:34" x14ac:dyDescent="0.25">
      <c r="A76" s="2">
        <v>157</v>
      </c>
      <c r="B76" s="20">
        <v>44274</v>
      </c>
      <c r="C76" s="21">
        <f t="shared" si="2"/>
        <v>44274.375798611138</v>
      </c>
      <c r="D76" t="s">
        <v>120</v>
      </c>
      <c r="E76" s="3">
        <v>1</v>
      </c>
      <c r="F76" s="3" t="s">
        <v>33</v>
      </c>
      <c r="G76" t="s">
        <v>98</v>
      </c>
      <c r="L76" t="s">
        <v>319</v>
      </c>
      <c r="AB76" t="s">
        <v>267</v>
      </c>
      <c r="AC76" s="1">
        <v>44274.667465277802</v>
      </c>
      <c r="AD76" t="s">
        <v>38</v>
      </c>
      <c r="AE76" s="1">
        <v>44274.667465277802</v>
      </c>
      <c r="AF76" t="s">
        <v>38</v>
      </c>
      <c r="AG76">
        <v>-119.878002342662</v>
      </c>
      <c r="AH76">
        <v>34.420778024333401</v>
      </c>
    </row>
    <row r="77" spans="1:34" x14ac:dyDescent="0.25">
      <c r="A77" s="2">
        <v>48</v>
      </c>
      <c r="B77" s="20">
        <v>44274</v>
      </c>
      <c r="C77" s="21">
        <f t="shared" si="2"/>
        <v>44274.378078703732</v>
      </c>
      <c r="D77" t="s">
        <v>120</v>
      </c>
      <c r="E77" s="3">
        <v>1</v>
      </c>
      <c r="F77" s="3" t="s">
        <v>72</v>
      </c>
      <c r="G77" t="s">
        <v>34</v>
      </c>
      <c r="L77" t="s">
        <v>318</v>
      </c>
      <c r="AB77" t="s">
        <v>121</v>
      </c>
      <c r="AC77" s="1">
        <v>44274.669745370396</v>
      </c>
      <c r="AD77" t="s">
        <v>38</v>
      </c>
      <c r="AE77" s="1">
        <v>44274.669745370396</v>
      </c>
      <c r="AF77" t="s">
        <v>38</v>
      </c>
      <c r="AG77">
        <v>-119.87771071987601</v>
      </c>
      <c r="AH77">
        <v>34.420516099436199</v>
      </c>
    </row>
    <row r="78" spans="1:34" x14ac:dyDescent="0.25">
      <c r="A78" s="2">
        <v>6</v>
      </c>
      <c r="B78" s="20">
        <v>44274</v>
      </c>
      <c r="C78" s="21">
        <f t="shared" si="2"/>
        <v>44274.338055555534</v>
      </c>
      <c r="D78" t="s">
        <v>48</v>
      </c>
      <c r="E78" s="3">
        <v>2</v>
      </c>
      <c r="F78" s="3" t="s">
        <v>33</v>
      </c>
      <c r="G78" t="s">
        <v>49</v>
      </c>
      <c r="L78" t="s">
        <v>318</v>
      </c>
      <c r="AB78" t="s">
        <v>50</v>
      </c>
      <c r="AC78" s="1">
        <v>44274.629722222198</v>
      </c>
      <c r="AD78" t="s">
        <v>38</v>
      </c>
      <c r="AE78" s="1">
        <v>44274.629722222198</v>
      </c>
      <c r="AF78" t="s">
        <v>38</v>
      </c>
      <c r="AG78">
        <v>-119.875264305524</v>
      </c>
      <c r="AH78">
        <v>34.417443488342499</v>
      </c>
    </row>
    <row r="79" spans="1:34" x14ac:dyDescent="0.25">
      <c r="A79" s="2">
        <v>109</v>
      </c>
      <c r="B79" s="20">
        <v>44274</v>
      </c>
      <c r="C79" s="21">
        <f t="shared" si="2"/>
        <v>44274.343900462933</v>
      </c>
      <c r="D79" t="s">
        <v>48</v>
      </c>
      <c r="E79" s="3">
        <v>2</v>
      </c>
      <c r="F79" s="3" t="s">
        <v>33</v>
      </c>
      <c r="G79" t="s">
        <v>62</v>
      </c>
      <c r="L79" t="s">
        <v>319</v>
      </c>
      <c r="AB79" t="s">
        <v>210</v>
      </c>
      <c r="AC79" s="1">
        <v>44274.635567129597</v>
      </c>
      <c r="AD79" t="s">
        <v>38</v>
      </c>
      <c r="AE79" s="1">
        <v>44274.635567129597</v>
      </c>
      <c r="AF79" t="s">
        <v>38</v>
      </c>
      <c r="AG79">
        <v>-119.874198495762</v>
      </c>
      <c r="AH79">
        <v>34.419780478395303</v>
      </c>
    </row>
    <row r="80" spans="1:34" x14ac:dyDescent="0.25">
      <c r="A80" s="2">
        <v>128</v>
      </c>
      <c r="B80" s="20">
        <v>44274</v>
      </c>
      <c r="C80" s="21">
        <f t="shared" si="2"/>
        <v>44274.354733796339</v>
      </c>
      <c r="D80" t="s">
        <v>48</v>
      </c>
      <c r="E80" s="3">
        <v>1</v>
      </c>
      <c r="F80" s="3" t="s">
        <v>33</v>
      </c>
      <c r="G80" t="s">
        <v>65</v>
      </c>
      <c r="L80" t="s">
        <v>319</v>
      </c>
      <c r="AB80" t="s">
        <v>234</v>
      </c>
      <c r="AC80" s="1">
        <v>44274.646400463003</v>
      </c>
      <c r="AD80" t="s">
        <v>38</v>
      </c>
      <c r="AE80" s="1">
        <v>44274.646400463003</v>
      </c>
      <c r="AF80" t="s">
        <v>38</v>
      </c>
      <c r="AG80">
        <v>-119.871458849741</v>
      </c>
      <c r="AH80">
        <v>34.421477618501697</v>
      </c>
    </row>
    <row r="81" spans="1:34" x14ac:dyDescent="0.25">
      <c r="A81" s="2">
        <v>129</v>
      </c>
      <c r="B81" s="20">
        <v>44274</v>
      </c>
      <c r="C81" s="21">
        <f t="shared" si="2"/>
        <v>44274.355208333334</v>
      </c>
      <c r="D81" t="s">
        <v>48</v>
      </c>
      <c r="E81" s="3">
        <v>1</v>
      </c>
      <c r="F81" s="3" t="s">
        <v>33</v>
      </c>
      <c r="G81" t="s">
        <v>62</v>
      </c>
      <c r="L81" t="s">
        <v>319</v>
      </c>
      <c r="AB81" t="s">
        <v>235</v>
      </c>
      <c r="AC81" s="1">
        <v>44274.646874999999</v>
      </c>
      <c r="AD81" t="s">
        <v>38</v>
      </c>
      <c r="AE81" s="1">
        <v>44274.646874999999</v>
      </c>
      <c r="AF81" t="s">
        <v>38</v>
      </c>
      <c r="AG81">
        <v>-119.87164266840399</v>
      </c>
      <c r="AH81">
        <v>34.421393758508103</v>
      </c>
    </row>
    <row r="82" spans="1:34" x14ac:dyDescent="0.25">
      <c r="A82" s="2">
        <v>133</v>
      </c>
      <c r="B82" s="20">
        <v>44274</v>
      </c>
      <c r="C82" s="21">
        <f t="shared" si="2"/>
        <v>44274.357951388934</v>
      </c>
      <c r="D82" t="s">
        <v>48</v>
      </c>
      <c r="E82" s="3">
        <v>1</v>
      </c>
      <c r="F82" s="3" t="s">
        <v>33</v>
      </c>
      <c r="G82" t="s">
        <v>65</v>
      </c>
      <c r="L82" t="s">
        <v>319</v>
      </c>
      <c r="AB82" t="s">
        <v>240</v>
      </c>
      <c r="AC82" s="1">
        <v>44274.649618055599</v>
      </c>
      <c r="AD82" t="s">
        <v>38</v>
      </c>
      <c r="AE82" s="1">
        <v>44274.649618055599</v>
      </c>
      <c r="AF82" t="s">
        <v>38</v>
      </c>
      <c r="AG82">
        <v>-119.87217741662801</v>
      </c>
      <c r="AH82">
        <v>34.422686666805703</v>
      </c>
    </row>
    <row r="83" spans="1:34" x14ac:dyDescent="0.25">
      <c r="A83" s="2">
        <v>138</v>
      </c>
      <c r="B83" s="20">
        <v>44274</v>
      </c>
      <c r="C83" s="21">
        <f t="shared" si="2"/>
        <v>44274.360706018539</v>
      </c>
      <c r="D83" t="s">
        <v>48</v>
      </c>
      <c r="E83" s="3">
        <v>2</v>
      </c>
      <c r="F83" s="3" t="s">
        <v>33</v>
      </c>
      <c r="G83" t="s">
        <v>42</v>
      </c>
      <c r="L83" t="s">
        <v>319</v>
      </c>
      <c r="AB83" t="s">
        <v>246</v>
      </c>
      <c r="AC83" s="1">
        <v>44274.652372685203</v>
      </c>
      <c r="AD83" t="s">
        <v>38</v>
      </c>
      <c r="AE83" s="1">
        <v>44274.652372685203</v>
      </c>
      <c r="AF83" t="s">
        <v>38</v>
      </c>
      <c r="AG83">
        <v>-119.873129301148</v>
      </c>
      <c r="AH83">
        <v>34.421828094386903</v>
      </c>
    </row>
    <row r="84" spans="1:34" x14ac:dyDescent="0.25">
      <c r="A84" s="2">
        <v>147</v>
      </c>
      <c r="B84" s="20">
        <v>44274</v>
      </c>
      <c r="C84" s="21">
        <f t="shared" si="2"/>
        <v>44274.370023148134</v>
      </c>
      <c r="D84" t="s">
        <v>48</v>
      </c>
      <c r="E84" s="3">
        <v>1</v>
      </c>
      <c r="F84" s="3" t="s">
        <v>33</v>
      </c>
      <c r="G84" t="s">
        <v>65</v>
      </c>
      <c r="L84" t="s">
        <v>319</v>
      </c>
      <c r="AB84" t="s">
        <v>256</v>
      </c>
      <c r="AC84" s="1">
        <v>44274.661689814799</v>
      </c>
      <c r="AD84" t="s">
        <v>38</v>
      </c>
      <c r="AE84" s="1">
        <v>44274.661689814799</v>
      </c>
      <c r="AF84" t="s">
        <v>38</v>
      </c>
      <c r="AG84">
        <v>-119.87557692463299</v>
      </c>
      <c r="AH84">
        <v>34.421208263324097</v>
      </c>
    </row>
    <row r="85" spans="1:34" x14ac:dyDescent="0.25">
      <c r="A85" s="2">
        <v>154</v>
      </c>
      <c r="B85" s="20">
        <v>44274</v>
      </c>
      <c r="C85" s="21">
        <f t="shared" si="2"/>
        <v>44274.374803240738</v>
      </c>
      <c r="D85" t="s">
        <v>48</v>
      </c>
      <c r="E85" s="3">
        <v>2</v>
      </c>
      <c r="F85" s="3" t="s">
        <v>33</v>
      </c>
      <c r="G85" t="s">
        <v>65</v>
      </c>
      <c r="L85" t="s">
        <v>319</v>
      </c>
      <c r="AB85" t="s">
        <v>264</v>
      </c>
      <c r="AC85" s="1">
        <v>44274.666469907403</v>
      </c>
      <c r="AD85" t="s">
        <v>38</v>
      </c>
      <c r="AE85" s="1">
        <v>44274.666643518503</v>
      </c>
      <c r="AF85" t="s">
        <v>38</v>
      </c>
      <c r="AG85">
        <v>-119.87742006637301</v>
      </c>
      <c r="AH85">
        <v>34.421324937496102</v>
      </c>
    </row>
    <row r="86" spans="1:34" x14ac:dyDescent="0.25">
      <c r="A86" s="2">
        <v>164</v>
      </c>
      <c r="B86" s="20">
        <v>44274</v>
      </c>
      <c r="C86" s="21">
        <f t="shared" si="2"/>
        <v>44274.385196759235</v>
      </c>
      <c r="D86" t="s">
        <v>48</v>
      </c>
      <c r="E86" s="3">
        <v>2</v>
      </c>
      <c r="F86" s="3" t="s">
        <v>33</v>
      </c>
      <c r="G86" t="s">
        <v>42</v>
      </c>
      <c r="L86" t="s">
        <v>319</v>
      </c>
      <c r="AB86" t="s">
        <v>276</v>
      </c>
      <c r="AC86" s="1">
        <v>44274.676863425899</v>
      </c>
      <c r="AD86" t="s">
        <v>38</v>
      </c>
      <c r="AE86" s="1">
        <v>44274.676863425899</v>
      </c>
      <c r="AF86" t="s">
        <v>38</v>
      </c>
      <c r="AG86">
        <v>-119.878908443645</v>
      </c>
      <c r="AH86">
        <v>34.421711420917099</v>
      </c>
    </row>
    <row r="87" spans="1:34" x14ac:dyDescent="0.25">
      <c r="A87" s="2">
        <v>59</v>
      </c>
      <c r="B87" s="20">
        <v>44274</v>
      </c>
      <c r="C87" s="21">
        <f t="shared" si="2"/>
        <v>44274.391192129639</v>
      </c>
      <c r="D87" t="s">
        <v>48</v>
      </c>
      <c r="E87" s="3">
        <v>4</v>
      </c>
      <c r="F87" s="3" t="s">
        <v>33</v>
      </c>
      <c r="G87" t="s">
        <v>62</v>
      </c>
      <c r="L87" t="s">
        <v>318</v>
      </c>
      <c r="AB87" t="s">
        <v>139</v>
      </c>
      <c r="AC87" s="1">
        <v>44274.682858796303</v>
      </c>
      <c r="AD87" t="s">
        <v>38</v>
      </c>
      <c r="AE87" s="1">
        <v>44274.682858796303</v>
      </c>
      <c r="AF87" t="s">
        <v>38</v>
      </c>
      <c r="AG87">
        <v>-119.879706773743</v>
      </c>
      <c r="AH87">
        <v>34.4211929507996</v>
      </c>
    </row>
    <row r="88" spans="1:34" x14ac:dyDescent="0.25">
      <c r="A88" s="2">
        <v>77</v>
      </c>
      <c r="B88" s="20">
        <v>44274</v>
      </c>
      <c r="C88" s="21">
        <f t="shared" si="2"/>
        <v>44274.407581018539</v>
      </c>
      <c r="D88" t="s">
        <v>48</v>
      </c>
      <c r="E88" s="3">
        <v>15</v>
      </c>
      <c r="F88" s="3" t="s">
        <v>33</v>
      </c>
      <c r="G88" t="s">
        <v>62</v>
      </c>
      <c r="L88" t="s">
        <v>318</v>
      </c>
      <c r="AB88" t="s">
        <v>161</v>
      </c>
      <c r="AC88" s="1">
        <v>44274.699247685203</v>
      </c>
      <c r="AD88" t="s">
        <v>38</v>
      </c>
      <c r="AE88" s="1">
        <v>44274.699710648201</v>
      </c>
      <c r="AF88" t="s">
        <v>38</v>
      </c>
      <c r="AG88">
        <v>-119.883235498113</v>
      </c>
      <c r="AH88">
        <v>34.420649038682498</v>
      </c>
    </row>
    <row r="89" spans="1:34" x14ac:dyDescent="0.25">
      <c r="A89" s="2">
        <v>197</v>
      </c>
      <c r="B89" s="20">
        <v>44274</v>
      </c>
      <c r="C89" s="21">
        <f t="shared" si="2"/>
        <v>44274.413356481433</v>
      </c>
      <c r="D89" t="s">
        <v>48</v>
      </c>
      <c r="E89" s="3">
        <v>1</v>
      </c>
      <c r="F89" s="3" t="s">
        <v>33</v>
      </c>
      <c r="G89" t="s">
        <v>59</v>
      </c>
      <c r="L89" t="s">
        <v>319</v>
      </c>
      <c r="AB89" t="s">
        <v>313</v>
      </c>
      <c r="AC89" s="1">
        <v>44274.705023148097</v>
      </c>
      <c r="AD89" t="s">
        <v>38</v>
      </c>
      <c r="AE89" s="1">
        <v>44274.705023148097</v>
      </c>
      <c r="AF89" t="s">
        <v>38</v>
      </c>
      <c r="AG89">
        <v>-119.88369968097599</v>
      </c>
      <c r="AH89">
        <v>34.421405821612701</v>
      </c>
    </row>
    <row r="90" spans="1:34" x14ac:dyDescent="0.25">
      <c r="A90" s="2">
        <v>93</v>
      </c>
      <c r="B90" s="20">
        <v>44274</v>
      </c>
      <c r="C90" s="21">
        <f t="shared" si="2"/>
        <v>44274.417627314833</v>
      </c>
      <c r="D90" t="s">
        <v>48</v>
      </c>
      <c r="E90" s="3">
        <v>1</v>
      </c>
      <c r="F90" s="3" t="s">
        <v>33</v>
      </c>
      <c r="G90" t="s">
        <v>65</v>
      </c>
      <c r="L90" t="s">
        <v>318</v>
      </c>
      <c r="AB90" t="s">
        <v>185</v>
      </c>
      <c r="AC90" s="1">
        <v>44274.709293981497</v>
      </c>
      <c r="AD90" t="s">
        <v>38</v>
      </c>
      <c r="AE90" s="1">
        <v>44274.709293981497</v>
      </c>
      <c r="AF90" t="s">
        <v>38</v>
      </c>
      <c r="AG90">
        <v>-119.88445838279399</v>
      </c>
      <c r="AH90">
        <v>34.421321230157297</v>
      </c>
    </row>
    <row r="91" spans="1:34" x14ac:dyDescent="0.25">
      <c r="A91" s="2">
        <v>184</v>
      </c>
      <c r="B91" s="20">
        <v>44274</v>
      </c>
      <c r="C91" s="21">
        <f t="shared" si="2"/>
        <v>44274.402858796333</v>
      </c>
      <c r="D91" t="s">
        <v>179</v>
      </c>
      <c r="E91" s="3">
        <v>2</v>
      </c>
      <c r="F91" s="3" t="s">
        <v>33</v>
      </c>
      <c r="G91" t="s">
        <v>42</v>
      </c>
      <c r="L91" t="s">
        <v>319</v>
      </c>
      <c r="AB91" t="s">
        <v>299</v>
      </c>
      <c r="AC91" s="1">
        <v>44274.694525462997</v>
      </c>
      <c r="AD91" t="s">
        <v>38</v>
      </c>
      <c r="AE91" s="1">
        <v>44274.694525462997</v>
      </c>
      <c r="AF91" t="s">
        <v>38</v>
      </c>
      <c r="AG91">
        <v>-119.88245953696401</v>
      </c>
      <c r="AH91">
        <v>34.421875492891203</v>
      </c>
    </row>
    <row r="92" spans="1:34" x14ac:dyDescent="0.25">
      <c r="A92" s="2">
        <v>89</v>
      </c>
      <c r="B92" s="20">
        <v>44274</v>
      </c>
      <c r="C92" s="21">
        <f t="shared" si="2"/>
        <v>44274.415821759234</v>
      </c>
      <c r="D92" t="s">
        <v>179</v>
      </c>
      <c r="E92" s="3">
        <v>1</v>
      </c>
      <c r="F92" s="3" t="s">
        <v>33</v>
      </c>
      <c r="G92" t="s">
        <v>42</v>
      </c>
      <c r="L92" t="s">
        <v>318</v>
      </c>
      <c r="AB92" t="s">
        <v>180</v>
      </c>
      <c r="AC92" s="1">
        <v>44274.707488425898</v>
      </c>
      <c r="AD92" t="s">
        <v>38</v>
      </c>
      <c r="AE92" s="1">
        <v>44274.707488425898</v>
      </c>
      <c r="AF92" t="s">
        <v>38</v>
      </c>
      <c r="AG92">
        <v>-119.884339304815</v>
      </c>
      <c r="AH92">
        <v>34.421560058614801</v>
      </c>
    </row>
    <row r="93" spans="1:34" x14ac:dyDescent="0.25">
      <c r="A93" s="2">
        <v>1</v>
      </c>
      <c r="B93" s="20">
        <v>44274</v>
      </c>
      <c r="C93" s="21">
        <f t="shared" si="2"/>
        <v>44274.331620370336</v>
      </c>
      <c r="D93" t="s">
        <v>32</v>
      </c>
      <c r="E93" s="3">
        <v>2</v>
      </c>
      <c r="F93" s="3" t="s">
        <v>33</v>
      </c>
      <c r="G93" t="s">
        <v>34</v>
      </c>
      <c r="K93">
        <v>5.95</v>
      </c>
      <c r="L93" t="s">
        <v>318</v>
      </c>
      <c r="M93" t="s">
        <v>35</v>
      </c>
      <c r="O93">
        <v>57</v>
      </c>
      <c r="P93">
        <v>80</v>
      </c>
      <c r="Q93" t="s">
        <v>36</v>
      </c>
      <c r="AB93" t="s">
        <v>37</v>
      </c>
      <c r="AC93" s="1">
        <v>44274.623287037</v>
      </c>
      <c r="AD93" t="s">
        <v>38</v>
      </c>
      <c r="AE93" s="1">
        <v>44274.623287037</v>
      </c>
      <c r="AF93" t="s">
        <v>38</v>
      </c>
      <c r="AG93">
        <v>-119.874016778258</v>
      </c>
      <c r="AH93">
        <v>34.417832719006398</v>
      </c>
    </row>
    <row r="94" spans="1:34" x14ac:dyDescent="0.25">
      <c r="A94" s="2">
        <v>98</v>
      </c>
      <c r="B94" s="20">
        <v>44274</v>
      </c>
      <c r="C94" s="21">
        <f t="shared" si="2"/>
        <v>44274.336018518537</v>
      </c>
      <c r="D94" t="s">
        <v>32</v>
      </c>
      <c r="E94" s="3">
        <v>1</v>
      </c>
      <c r="F94" s="3" t="s">
        <v>33</v>
      </c>
      <c r="G94" t="s">
        <v>34</v>
      </c>
      <c r="L94" t="s">
        <v>319</v>
      </c>
      <c r="AB94" t="s">
        <v>195</v>
      </c>
      <c r="AC94" s="1">
        <v>44274.627685185202</v>
      </c>
      <c r="AD94" t="s">
        <v>38</v>
      </c>
      <c r="AE94" s="1">
        <v>44274.627685185202</v>
      </c>
      <c r="AF94" t="s">
        <v>38</v>
      </c>
      <c r="AG94">
        <v>-119.87414677166601</v>
      </c>
      <c r="AH94">
        <v>34.417990203222999</v>
      </c>
    </row>
    <row r="95" spans="1:34" x14ac:dyDescent="0.25">
      <c r="A95" s="2">
        <v>103</v>
      </c>
      <c r="B95" s="20">
        <v>44274</v>
      </c>
      <c r="C95" s="21">
        <f t="shared" si="2"/>
        <v>44274.338229166635</v>
      </c>
      <c r="D95" t="s">
        <v>32</v>
      </c>
      <c r="E95" s="3">
        <v>1</v>
      </c>
      <c r="F95" s="3" t="s">
        <v>33</v>
      </c>
      <c r="G95" t="s">
        <v>196</v>
      </c>
      <c r="L95" t="s">
        <v>319</v>
      </c>
      <c r="AB95" t="s">
        <v>203</v>
      </c>
      <c r="AC95" s="1">
        <v>44274.629895833299</v>
      </c>
      <c r="AD95" t="s">
        <v>38</v>
      </c>
      <c r="AE95" s="1">
        <v>44274.629895833299</v>
      </c>
      <c r="AF95" t="s">
        <v>38</v>
      </c>
      <c r="AG95">
        <v>-119.87424401160099</v>
      </c>
      <c r="AH95">
        <v>34.418285546280899</v>
      </c>
    </row>
    <row r="96" spans="1:34" x14ac:dyDescent="0.25">
      <c r="A96" s="2">
        <v>121</v>
      </c>
      <c r="B96" s="20">
        <v>44274</v>
      </c>
      <c r="C96" s="21">
        <f t="shared" si="2"/>
        <v>44274.352465277734</v>
      </c>
      <c r="D96" t="s">
        <v>32</v>
      </c>
      <c r="E96" s="3">
        <v>2</v>
      </c>
      <c r="F96" s="3" t="s">
        <v>33</v>
      </c>
      <c r="G96" t="s">
        <v>45</v>
      </c>
      <c r="L96" t="s">
        <v>319</v>
      </c>
      <c r="AB96" t="s">
        <v>227</v>
      </c>
      <c r="AC96" s="1">
        <v>44274.644131944398</v>
      </c>
      <c r="AD96" t="s">
        <v>38</v>
      </c>
      <c r="AE96" s="1">
        <v>44274.644131944398</v>
      </c>
      <c r="AF96" t="s">
        <v>38</v>
      </c>
      <c r="AG96">
        <v>-119.87098542501001</v>
      </c>
      <c r="AH96">
        <v>34.421117376662004</v>
      </c>
    </row>
    <row r="97" spans="1:34" x14ac:dyDescent="0.25">
      <c r="A97" s="2">
        <v>25</v>
      </c>
      <c r="B97" s="20">
        <v>44274</v>
      </c>
      <c r="C97" s="21">
        <f t="shared" si="2"/>
        <v>44274.354675925933</v>
      </c>
      <c r="D97" t="s">
        <v>32</v>
      </c>
      <c r="E97" s="3">
        <v>6</v>
      </c>
      <c r="F97" s="3" t="s">
        <v>33</v>
      </c>
      <c r="G97" t="s">
        <v>45</v>
      </c>
      <c r="L97" t="s">
        <v>318</v>
      </c>
      <c r="AB97" t="s">
        <v>88</v>
      </c>
      <c r="AC97" s="1">
        <v>44274.646342592598</v>
      </c>
      <c r="AD97" t="s">
        <v>38</v>
      </c>
      <c r="AE97" s="1">
        <v>44274.646342592598</v>
      </c>
      <c r="AF97" t="s">
        <v>38</v>
      </c>
      <c r="AG97">
        <v>-119.880909978133</v>
      </c>
      <c r="AH97">
        <v>34.418444270901098</v>
      </c>
    </row>
    <row r="98" spans="1:34" x14ac:dyDescent="0.25">
      <c r="A98" s="2">
        <v>136</v>
      </c>
      <c r="B98" s="20">
        <v>44274</v>
      </c>
      <c r="C98" s="21">
        <f t="shared" ref="C98:C129" si="3">AC98-(7/24)</f>
        <v>44274.359479166633</v>
      </c>
      <c r="D98" t="s">
        <v>32</v>
      </c>
      <c r="E98" s="3">
        <v>1</v>
      </c>
      <c r="F98" s="3" t="s">
        <v>33</v>
      </c>
      <c r="G98" t="s">
        <v>45</v>
      </c>
      <c r="L98" t="s">
        <v>319</v>
      </c>
      <c r="AB98" t="s">
        <v>243</v>
      </c>
      <c r="AC98" s="1">
        <v>44274.651145833297</v>
      </c>
      <c r="AD98" t="s">
        <v>38</v>
      </c>
      <c r="AE98" s="1">
        <v>44274.651145833297</v>
      </c>
      <c r="AF98" t="s">
        <v>38</v>
      </c>
      <c r="AG98">
        <v>-119.872682880672</v>
      </c>
      <c r="AH98">
        <v>34.421851793642404</v>
      </c>
    </row>
    <row r="99" spans="1:34" x14ac:dyDescent="0.25">
      <c r="A99" s="2">
        <v>34</v>
      </c>
      <c r="B99" s="20">
        <v>44274</v>
      </c>
      <c r="C99" s="21">
        <f t="shared" si="3"/>
        <v>44274.365451388934</v>
      </c>
      <c r="D99" t="s">
        <v>32</v>
      </c>
      <c r="E99" s="3">
        <v>1</v>
      </c>
      <c r="F99" s="3" t="s">
        <v>33</v>
      </c>
      <c r="G99" t="s">
        <v>45</v>
      </c>
      <c r="L99" t="s">
        <v>318</v>
      </c>
      <c r="AB99" t="s">
        <v>102</v>
      </c>
      <c r="AC99" s="1">
        <v>44274.657118055598</v>
      </c>
      <c r="AD99" t="s">
        <v>38</v>
      </c>
      <c r="AE99" s="1">
        <v>44274.657118055598</v>
      </c>
      <c r="AF99" t="s">
        <v>38</v>
      </c>
      <c r="AG99">
        <v>-119.878985431061</v>
      </c>
      <c r="AH99">
        <v>34.419460684089699</v>
      </c>
    </row>
    <row r="100" spans="1:34" x14ac:dyDescent="0.25">
      <c r="A100" s="2">
        <v>181</v>
      </c>
      <c r="B100" s="20">
        <v>44274</v>
      </c>
      <c r="C100" s="21">
        <f t="shared" si="3"/>
        <v>44274.400636574035</v>
      </c>
      <c r="D100" t="s">
        <v>32</v>
      </c>
      <c r="E100" s="3">
        <v>4</v>
      </c>
      <c r="F100" s="3" t="s">
        <v>33</v>
      </c>
      <c r="G100" t="s">
        <v>196</v>
      </c>
      <c r="L100" t="s">
        <v>319</v>
      </c>
      <c r="AB100" t="s">
        <v>296</v>
      </c>
      <c r="AC100" s="1">
        <v>44274.692303240699</v>
      </c>
      <c r="AD100" t="s">
        <v>38</v>
      </c>
      <c r="AE100" s="1">
        <v>44274.720347222203</v>
      </c>
      <c r="AF100" t="s">
        <v>38</v>
      </c>
      <c r="AG100">
        <v>-119.88189377709899</v>
      </c>
      <c r="AH100">
        <v>34.421252016342898</v>
      </c>
    </row>
    <row r="101" spans="1:34" x14ac:dyDescent="0.25">
      <c r="A101" s="2">
        <v>73</v>
      </c>
      <c r="B101" s="20">
        <v>44274</v>
      </c>
      <c r="C101" s="21">
        <f t="shared" si="3"/>
        <v>44274.400972222233</v>
      </c>
      <c r="D101" t="s">
        <v>32</v>
      </c>
      <c r="E101" s="3">
        <v>1</v>
      </c>
      <c r="F101" s="3" t="s">
        <v>33</v>
      </c>
      <c r="G101" t="s">
        <v>45</v>
      </c>
      <c r="L101" t="s">
        <v>318</v>
      </c>
      <c r="AB101" t="s">
        <v>156</v>
      </c>
      <c r="AC101" s="1">
        <v>44274.692638888897</v>
      </c>
      <c r="AD101" t="s">
        <v>38</v>
      </c>
      <c r="AE101" s="1">
        <v>44274.692638888897</v>
      </c>
      <c r="AF101" t="s">
        <v>38</v>
      </c>
      <c r="AG101">
        <v>-119.882635861881</v>
      </c>
      <c r="AH101">
        <v>34.4202490279879</v>
      </c>
    </row>
    <row r="102" spans="1:34" x14ac:dyDescent="0.25">
      <c r="A102" s="2">
        <v>29</v>
      </c>
      <c r="B102" s="20">
        <v>44274</v>
      </c>
      <c r="C102" s="21">
        <f t="shared" si="3"/>
        <v>44274.360914351833</v>
      </c>
      <c r="D102" t="s">
        <v>92</v>
      </c>
      <c r="E102" s="3">
        <v>1</v>
      </c>
      <c r="F102" s="3" t="s">
        <v>33</v>
      </c>
      <c r="G102" t="s">
        <v>93</v>
      </c>
      <c r="L102" t="s">
        <v>318</v>
      </c>
      <c r="AB102" t="s">
        <v>94</v>
      </c>
      <c r="AC102" s="1">
        <v>44274.652581018498</v>
      </c>
      <c r="AD102" t="s">
        <v>38</v>
      </c>
      <c r="AE102" s="1">
        <v>44274.652581018498</v>
      </c>
      <c r="AF102" t="s">
        <v>38</v>
      </c>
      <c r="AG102">
        <v>-119.880702706254</v>
      </c>
      <c r="AH102">
        <v>34.419873599252099</v>
      </c>
    </row>
    <row r="103" spans="1:34" x14ac:dyDescent="0.25">
      <c r="A103" s="2">
        <v>33</v>
      </c>
      <c r="B103" s="20">
        <v>44274</v>
      </c>
      <c r="C103" s="21">
        <f t="shared" si="3"/>
        <v>44274.364398148136</v>
      </c>
      <c r="D103" t="s">
        <v>92</v>
      </c>
      <c r="E103" s="3">
        <v>2</v>
      </c>
      <c r="F103" s="3" t="s">
        <v>33</v>
      </c>
      <c r="G103" t="s">
        <v>333</v>
      </c>
      <c r="J103" t="s">
        <v>334</v>
      </c>
      <c r="L103" t="s">
        <v>318</v>
      </c>
      <c r="AB103" t="s">
        <v>101</v>
      </c>
      <c r="AC103" s="1">
        <v>44274.656064814801</v>
      </c>
      <c r="AD103" t="s">
        <v>38</v>
      </c>
      <c r="AE103" s="1">
        <v>44274.656064814801</v>
      </c>
      <c r="AF103" t="s">
        <v>38</v>
      </c>
      <c r="AG103">
        <v>-119.879673368092</v>
      </c>
      <c r="AH103">
        <v>34.4199307716408</v>
      </c>
    </row>
    <row r="104" spans="1:34" x14ac:dyDescent="0.25">
      <c r="A104" s="2">
        <v>56</v>
      </c>
      <c r="B104" s="20">
        <v>44274</v>
      </c>
      <c r="C104" s="21">
        <f t="shared" si="3"/>
        <v>44274.390196759239</v>
      </c>
      <c r="D104" t="s">
        <v>92</v>
      </c>
      <c r="E104" s="3">
        <v>2</v>
      </c>
      <c r="F104" s="3" t="s">
        <v>72</v>
      </c>
      <c r="G104" t="s">
        <v>333</v>
      </c>
      <c r="J104" t="s">
        <v>335</v>
      </c>
      <c r="L104" t="s">
        <v>318</v>
      </c>
      <c r="AB104" t="s">
        <v>134</v>
      </c>
      <c r="AC104" s="1">
        <v>44274.681863425903</v>
      </c>
      <c r="AD104" t="s">
        <v>38</v>
      </c>
      <c r="AE104" s="1">
        <v>44274.681863425903</v>
      </c>
      <c r="AF104" t="s">
        <v>38</v>
      </c>
      <c r="AG104">
        <v>-119.88017331648101</v>
      </c>
      <c r="AH104">
        <v>34.420678404179</v>
      </c>
    </row>
    <row r="105" spans="1:34" x14ac:dyDescent="0.25">
      <c r="A105" s="2">
        <v>2</v>
      </c>
      <c r="B105" s="20">
        <v>44274</v>
      </c>
      <c r="C105" s="21">
        <f t="shared" si="3"/>
        <v>44274.333032407434</v>
      </c>
      <c r="D105" t="s">
        <v>39</v>
      </c>
      <c r="E105" s="3">
        <v>1</v>
      </c>
      <c r="F105" s="3" t="s">
        <v>33</v>
      </c>
      <c r="G105" t="s">
        <v>34</v>
      </c>
      <c r="L105" t="s">
        <v>318</v>
      </c>
      <c r="AB105" t="s">
        <v>40</v>
      </c>
      <c r="AC105" s="1">
        <v>44274.624699074098</v>
      </c>
      <c r="AD105" t="s">
        <v>38</v>
      </c>
      <c r="AE105" s="1">
        <v>44274.624699074098</v>
      </c>
      <c r="AF105" t="s">
        <v>38</v>
      </c>
      <c r="AG105">
        <v>-119.874032178975</v>
      </c>
      <c r="AH105">
        <v>34.417796720074001</v>
      </c>
    </row>
    <row r="106" spans="1:34" x14ac:dyDescent="0.25">
      <c r="A106" s="2">
        <v>99</v>
      </c>
      <c r="B106" s="20">
        <v>44274</v>
      </c>
      <c r="C106" s="21">
        <f t="shared" si="3"/>
        <v>44274.336250000037</v>
      </c>
      <c r="D106" t="s">
        <v>39</v>
      </c>
      <c r="E106" s="3">
        <v>1</v>
      </c>
      <c r="F106" s="3" t="s">
        <v>33</v>
      </c>
      <c r="G106" t="s">
        <v>196</v>
      </c>
      <c r="L106" t="s">
        <v>319</v>
      </c>
      <c r="AB106" t="s">
        <v>197</v>
      </c>
      <c r="AC106" s="1">
        <v>44274.627916666701</v>
      </c>
      <c r="AD106" t="s">
        <v>38</v>
      </c>
      <c r="AE106" s="1">
        <v>44274.627916666701</v>
      </c>
      <c r="AF106" t="s">
        <v>38</v>
      </c>
      <c r="AG106">
        <v>-119.874195391184</v>
      </c>
      <c r="AH106">
        <v>34.418044896597699</v>
      </c>
    </row>
    <row r="107" spans="1:34" x14ac:dyDescent="0.25">
      <c r="A107" s="2">
        <v>20</v>
      </c>
      <c r="B107" s="20">
        <v>44274</v>
      </c>
      <c r="C107" s="21">
        <f t="shared" si="3"/>
        <v>44274.347418981437</v>
      </c>
      <c r="D107" t="s">
        <v>39</v>
      </c>
      <c r="E107" s="3">
        <v>4</v>
      </c>
      <c r="F107" s="3" t="s">
        <v>33</v>
      </c>
      <c r="G107" t="s">
        <v>52</v>
      </c>
      <c r="L107" t="s">
        <v>318</v>
      </c>
      <c r="AB107" t="s">
        <v>79</v>
      </c>
      <c r="AC107" s="1">
        <v>44274.639085648101</v>
      </c>
      <c r="AD107" t="s">
        <v>38</v>
      </c>
      <c r="AE107" s="1">
        <v>44274.639085648101</v>
      </c>
      <c r="AF107" t="s">
        <v>38</v>
      </c>
      <c r="AG107">
        <v>-119.875433723295</v>
      </c>
      <c r="AH107">
        <v>34.418288393395201</v>
      </c>
    </row>
    <row r="108" spans="1:34" x14ac:dyDescent="0.25">
      <c r="A108" s="2">
        <v>21</v>
      </c>
      <c r="B108" s="20">
        <v>44274</v>
      </c>
      <c r="C108" s="21">
        <f t="shared" si="3"/>
        <v>44274.348206018534</v>
      </c>
      <c r="D108" t="s">
        <v>80</v>
      </c>
      <c r="E108" s="3">
        <v>1</v>
      </c>
      <c r="F108" s="3" t="s">
        <v>33</v>
      </c>
      <c r="G108" t="s">
        <v>65</v>
      </c>
      <c r="L108" t="s">
        <v>318</v>
      </c>
      <c r="AB108" t="s">
        <v>81</v>
      </c>
      <c r="AC108" s="1">
        <v>44274.639872685198</v>
      </c>
      <c r="AD108" t="s">
        <v>38</v>
      </c>
      <c r="AE108" s="1">
        <v>44274.639872685198</v>
      </c>
      <c r="AF108" t="s">
        <v>38</v>
      </c>
      <c r="AG108">
        <v>-119.87666841633001</v>
      </c>
      <c r="AH108">
        <v>34.417858530656801</v>
      </c>
    </row>
    <row r="109" spans="1:34" x14ac:dyDescent="0.25">
      <c r="A109" s="2">
        <v>124</v>
      </c>
      <c r="B109" s="20">
        <v>44274</v>
      </c>
      <c r="C109" s="21">
        <f t="shared" si="3"/>
        <v>44274.353217592638</v>
      </c>
      <c r="D109" t="s">
        <v>80</v>
      </c>
      <c r="E109" s="3">
        <v>3</v>
      </c>
      <c r="F109" s="3" t="s">
        <v>33</v>
      </c>
      <c r="G109" t="s">
        <v>65</v>
      </c>
      <c r="L109" t="s">
        <v>319</v>
      </c>
      <c r="AB109" t="s">
        <v>230</v>
      </c>
      <c r="AC109" s="1">
        <v>44274.644884259302</v>
      </c>
      <c r="AD109" t="s">
        <v>38</v>
      </c>
      <c r="AE109" s="1">
        <v>44274.644884259302</v>
      </c>
      <c r="AF109" t="s">
        <v>38</v>
      </c>
      <c r="AG109">
        <v>-119.870614145015</v>
      </c>
      <c r="AH109">
        <v>34.421197590352499</v>
      </c>
    </row>
    <row r="110" spans="1:34" x14ac:dyDescent="0.25">
      <c r="A110" s="2">
        <v>28</v>
      </c>
      <c r="B110" s="20">
        <v>44274</v>
      </c>
      <c r="C110" s="21">
        <f t="shared" si="3"/>
        <v>44274.358449074032</v>
      </c>
      <c r="D110" t="s">
        <v>80</v>
      </c>
      <c r="E110" s="3">
        <v>2</v>
      </c>
      <c r="F110" s="3" t="s">
        <v>33</v>
      </c>
      <c r="G110" t="s">
        <v>62</v>
      </c>
      <c r="L110" t="s">
        <v>318</v>
      </c>
      <c r="AB110" t="s">
        <v>91</v>
      </c>
      <c r="AC110" s="1">
        <v>44274.650115740696</v>
      </c>
      <c r="AD110" t="s">
        <v>38</v>
      </c>
      <c r="AE110" s="1">
        <v>44274.650115740696</v>
      </c>
      <c r="AF110" t="s">
        <v>38</v>
      </c>
      <c r="AG110">
        <v>-119.88139321067</v>
      </c>
      <c r="AH110">
        <v>34.418634849129802</v>
      </c>
    </row>
    <row r="111" spans="1:34" x14ac:dyDescent="0.25">
      <c r="A111" s="2">
        <v>60</v>
      </c>
      <c r="B111" s="20">
        <v>44274</v>
      </c>
      <c r="C111" s="21">
        <f t="shared" si="3"/>
        <v>44274.391342592637</v>
      </c>
      <c r="D111" t="s">
        <v>80</v>
      </c>
      <c r="E111" s="3">
        <v>3</v>
      </c>
      <c r="F111" s="3" t="s">
        <v>33</v>
      </c>
      <c r="G111" t="s">
        <v>59</v>
      </c>
      <c r="L111" t="s">
        <v>318</v>
      </c>
      <c r="AB111" t="s">
        <v>140</v>
      </c>
      <c r="AC111" s="1">
        <v>44274.683009259301</v>
      </c>
      <c r="AD111" t="s">
        <v>38</v>
      </c>
      <c r="AE111" s="1">
        <v>44274.683009259301</v>
      </c>
      <c r="AF111" t="s">
        <v>38</v>
      </c>
      <c r="AG111">
        <v>-119.879842821796</v>
      </c>
      <c r="AH111">
        <v>34.421305177371202</v>
      </c>
    </row>
    <row r="112" spans="1:34" x14ac:dyDescent="0.25">
      <c r="A112" s="2">
        <v>177</v>
      </c>
      <c r="B112" s="20">
        <v>44274</v>
      </c>
      <c r="C112" s="21">
        <f t="shared" si="3"/>
        <v>44274.396840277739</v>
      </c>
      <c r="D112" t="s">
        <v>80</v>
      </c>
      <c r="E112" s="3">
        <v>2</v>
      </c>
      <c r="F112" s="3" t="s">
        <v>33</v>
      </c>
      <c r="G112" t="s">
        <v>62</v>
      </c>
      <c r="L112" t="s">
        <v>319</v>
      </c>
      <c r="AB112" t="s">
        <v>290</v>
      </c>
      <c r="AC112" s="1">
        <v>44274.688506944403</v>
      </c>
      <c r="AD112" t="s">
        <v>38</v>
      </c>
      <c r="AE112" s="1">
        <v>44274.688506944403</v>
      </c>
      <c r="AF112" t="s">
        <v>38</v>
      </c>
      <c r="AG112">
        <v>-119.880625235544</v>
      </c>
      <c r="AH112">
        <v>34.421835386751198</v>
      </c>
    </row>
    <row r="113" spans="1:34" x14ac:dyDescent="0.25">
      <c r="A113" s="2">
        <v>188</v>
      </c>
      <c r="B113" s="20">
        <v>44274</v>
      </c>
      <c r="C113" s="21">
        <f t="shared" si="3"/>
        <v>44274.406157407437</v>
      </c>
      <c r="D113" t="s">
        <v>80</v>
      </c>
      <c r="E113" s="3">
        <v>3</v>
      </c>
      <c r="F113" s="3" t="s">
        <v>33</v>
      </c>
      <c r="G113" t="s">
        <v>65</v>
      </c>
      <c r="L113" t="s">
        <v>319</v>
      </c>
      <c r="AB113" t="s">
        <v>303</v>
      </c>
      <c r="AC113" s="1">
        <v>44274.697824074101</v>
      </c>
      <c r="AD113" t="s">
        <v>38</v>
      </c>
      <c r="AE113" s="1">
        <v>44274.697824074101</v>
      </c>
      <c r="AF113" t="s">
        <v>38</v>
      </c>
      <c r="AG113">
        <v>-119.88367272792399</v>
      </c>
      <c r="AH113">
        <v>34.421628155456403</v>
      </c>
    </row>
    <row r="114" spans="1:34" x14ac:dyDescent="0.25">
      <c r="A114" s="2">
        <v>135</v>
      </c>
      <c r="B114" s="20">
        <v>44274</v>
      </c>
      <c r="C114" s="21">
        <f t="shared" si="3"/>
        <v>44274.359178240738</v>
      </c>
      <c r="D114" t="s">
        <v>167</v>
      </c>
      <c r="E114" s="3">
        <v>2</v>
      </c>
      <c r="F114" s="3" t="s">
        <v>33</v>
      </c>
      <c r="G114" t="s">
        <v>200</v>
      </c>
      <c r="L114" t="s">
        <v>319</v>
      </c>
      <c r="AB114" t="s">
        <v>242</v>
      </c>
      <c r="AC114" s="1">
        <v>44274.650844907403</v>
      </c>
      <c r="AD114" t="s">
        <v>38</v>
      </c>
      <c r="AE114" s="1">
        <v>44274.650844907403</v>
      </c>
      <c r="AF114" t="s">
        <v>38</v>
      </c>
      <c r="AG114">
        <v>-119.872825483732</v>
      </c>
      <c r="AH114">
        <v>34.4221863998551</v>
      </c>
    </row>
    <row r="115" spans="1:34" x14ac:dyDescent="0.25">
      <c r="A115" s="2">
        <v>144</v>
      </c>
      <c r="B115" s="20">
        <v>44274</v>
      </c>
      <c r="C115" s="21">
        <f t="shared" si="3"/>
        <v>44274.366238425937</v>
      </c>
      <c r="D115" t="s">
        <v>167</v>
      </c>
      <c r="E115" s="3">
        <v>2</v>
      </c>
      <c r="F115" s="3" t="s">
        <v>72</v>
      </c>
      <c r="G115" t="s">
        <v>98</v>
      </c>
      <c r="L115" t="s">
        <v>319</v>
      </c>
      <c r="AB115" t="s">
        <v>253</v>
      </c>
      <c r="AC115" s="1">
        <v>44274.657905092601</v>
      </c>
      <c r="AD115" t="s">
        <v>38</v>
      </c>
      <c r="AE115" s="1">
        <v>44274.657905092601</v>
      </c>
      <c r="AF115" t="s">
        <v>38</v>
      </c>
      <c r="AG115">
        <v>-119.87347742347301</v>
      </c>
      <c r="AH115">
        <v>34.4216895445308</v>
      </c>
    </row>
    <row r="116" spans="1:34" x14ac:dyDescent="0.25">
      <c r="A116" s="2">
        <v>81</v>
      </c>
      <c r="B116" s="20">
        <v>44274</v>
      </c>
      <c r="C116" s="21">
        <f t="shared" si="3"/>
        <v>44274.409166666635</v>
      </c>
      <c r="D116" t="s">
        <v>167</v>
      </c>
      <c r="E116" s="3">
        <v>1</v>
      </c>
      <c r="F116" s="3" t="s">
        <v>33</v>
      </c>
      <c r="G116" t="s">
        <v>98</v>
      </c>
      <c r="L116" t="s">
        <v>318</v>
      </c>
      <c r="AB116" t="s">
        <v>168</v>
      </c>
      <c r="AC116" s="1">
        <v>44274.7008333333</v>
      </c>
      <c r="AD116" t="s">
        <v>38</v>
      </c>
      <c r="AE116" s="1">
        <v>44274.7008333333</v>
      </c>
      <c r="AF116" t="s">
        <v>38</v>
      </c>
      <c r="AG116">
        <v>-119.882712487276</v>
      </c>
      <c r="AH116">
        <v>34.4208801653431</v>
      </c>
    </row>
    <row r="117" spans="1:34" x14ac:dyDescent="0.25">
      <c r="A117" s="2">
        <v>163</v>
      </c>
      <c r="B117" s="20">
        <v>44274</v>
      </c>
      <c r="C117" s="21">
        <f t="shared" si="3"/>
        <v>44274.384861111139</v>
      </c>
      <c r="D117" t="s">
        <v>137</v>
      </c>
      <c r="E117" s="3">
        <v>1</v>
      </c>
      <c r="F117" s="3" t="s">
        <v>33</v>
      </c>
      <c r="G117" t="s">
        <v>42</v>
      </c>
      <c r="L117" t="s">
        <v>319</v>
      </c>
      <c r="AB117" t="s">
        <v>275</v>
      </c>
      <c r="AC117" s="1">
        <v>44274.676527777803</v>
      </c>
      <c r="AD117" t="s">
        <v>38</v>
      </c>
      <c r="AE117" s="1">
        <v>44274.676527777803</v>
      </c>
      <c r="AF117" t="s">
        <v>38</v>
      </c>
      <c r="AG117">
        <v>-119.878930543099</v>
      </c>
      <c r="AH117">
        <v>34.4213285840708</v>
      </c>
    </row>
    <row r="118" spans="1:34" x14ac:dyDescent="0.25">
      <c r="A118" s="2">
        <v>58</v>
      </c>
      <c r="B118" s="20">
        <v>44274</v>
      </c>
      <c r="C118" s="21">
        <f t="shared" si="3"/>
        <v>44274.391041666633</v>
      </c>
      <c r="D118" t="s">
        <v>137</v>
      </c>
      <c r="E118" s="3">
        <v>1</v>
      </c>
      <c r="F118" s="3" t="s">
        <v>33</v>
      </c>
      <c r="G118" t="s">
        <v>62</v>
      </c>
      <c r="L118" t="s">
        <v>318</v>
      </c>
      <c r="AB118" t="s">
        <v>138</v>
      </c>
      <c r="AC118" s="1">
        <v>44274.682708333297</v>
      </c>
      <c r="AD118" t="s">
        <v>38</v>
      </c>
      <c r="AE118" s="1">
        <v>44274.682708333297</v>
      </c>
      <c r="AF118" t="s">
        <v>38</v>
      </c>
      <c r="AG118">
        <v>-119.880091174531</v>
      </c>
      <c r="AH118">
        <v>34.421319999317802</v>
      </c>
    </row>
    <row r="119" spans="1:34" x14ac:dyDescent="0.25">
      <c r="A119" s="2">
        <v>63</v>
      </c>
      <c r="B119" s="20">
        <v>44274</v>
      </c>
      <c r="C119" s="21">
        <f t="shared" si="3"/>
        <v>44274.394293981437</v>
      </c>
      <c r="D119" t="s">
        <v>137</v>
      </c>
      <c r="E119" s="3">
        <v>1</v>
      </c>
      <c r="F119" s="3" t="s">
        <v>33</v>
      </c>
      <c r="G119" t="s">
        <v>42</v>
      </c>
      <c r="L119" t="s">
        <v>318</v>
      </c>
      <c r="AB119" t="s">
        <v>143</v>
      </c>
      <c r="AC119" s="1">
        <v>44274.685960648101</v>
      </c>
      <c r="AD119" t="s">
        <v>38</v>
      </c>
      <c r="AE119" s="1">
        <v>44274.685960648101</v>
      </c>
      <c r="AF119" t="s">
        <v>38</v>
      </c>
      <c r="AG119">
        <v>-119.88085034167599</v>
      </c>
      <c r="AH119">
        <v>34.421381813965397</v>
      </c>
    </row>
    <row r="120" spans="1:34" x14ac:dyDescent="0.25">
      <c r="A120" s="2">
        <v>82</v>
      </c>
      <c r="B120" s="20">
        <v>44274</v>
      </c>
      <c r="C120" s="21">
        <f t="shared" si="3"/>
        <v>44274.410509259236</v>
      </c>
      <c r="D120" t="s">
        <v>137</v>
      </c>
      <c r="E120" s="3">
        <v>1</v>
      </c>
      <c r="F120" s="3" t="s">
        <v>33</v>
      </c>
      <c r="G120" t="s">
        <v>42</v>
      </c>
      <c r="L120" t="s">
        <v>318</v>
      </c>
      <c r="AB120" t="s">
        <v>169</v>
      </c>
      <c r="AC120" s="1">
        <v>44274.702175925901</v>
      </c>
      <c r="AD120" t="s">
        <v>38</v>
      </c>
      <c r="AE120" s="1">
        <v>44274.702175925901</v>
      </c>
      <c r="AF120" t="s">
        <v>38</v>
      </c>
      <c r="AG120">
        <v>-119.88327343666199</v>
      </c>
      <c r="AH120">
        <v>34.421194111243601</v>
      </c>
    </row>
    <row r="121" spans="1:34" x14ac:dyDescent="0.25">
      <c r="A121" s="2">
        <v>17</v>
      </c>
      <c r="B121" s="20">
        <v>44274</v>
      </c>
      <c r="C121" s="21">
        <f t="shared" si="3"/>
        <v>44274.345127314838</v>
      </c>
      <c r="D121" t="s">
        <v>74</v>
      </c>
      <c r="E121" s="3">
        <v>1</v>
      </c>
      <c r="F121" s="3" t="s">
        <v>33</v>
      </c>
      <c r="G121" t="s">
        <v>52</v>
      </c>
      <c r="L121" t="s">
        <v>318</v>
      </c>
      <c r="AB121" t="s">
        <v>75</v>
      </c>
      <c r="AC121" s="1">
        <v>44274.636793981503</v>
      </c>
      <c r="AD121" t="s">
        <v>38</v>
      </c>
      <c r="AE121" s="1">
        <v>44274.636793981503</v>
      </c>
      <c r="AF121" t="s">
        <v>38</v>
      </c>
      <c r="AG121">
        <v>-119.876660715073</v>
      </c>
      <c r="AH121">
        <v>34.418104166672002</v>
      </c>
    </row>
    <row r="122" spans="1:34" x14ac:dyDescent="0.25">
      <c r="A122" s="2">
        <v>49</v>
      </c>
      <c r="B122" s="20">
        <v>44274</v>
      </c>
      <c r="C122" s="21">
        <f t="shared" si="3"/>
        <v>44274.379189814834</v>
      </c>
      <c r="D122" t="s">
        <v>122</v>
      </c>
      <c r="E122" s="3">
        <v>1</v>
      </c>
      <c r="F122" s="3" t="s">
        <v>33</v>
      </c>
      <c r="G122" t="s">
        <v>52</v>
      </c>
      <c r="L122" t="s">
        <v>318</v>
      </c>
      <c r="AB122" t="s">
        <v>123</v>
      </c>
      <c r="AC122" s="1">
        <v>44274.670856481498</v>
      </c>
      <c r="AD122" t="s">
        <v>38</v>
      </c>
      <c r="AE122" s="1">
        <v>44274.670856481498</v>
      </c>
      <c r="AF122" t="s">
        <v>38</v>
      </c>
      <c r="AG122">
        <v>-119.878495201546</v>
      </c>
      <c r="AH122">
        <v>34.420058986241898</v>
      </c>
    </row>
    <row r="123" spans="1:34" x14ac:dyDescent="0.25">
      <c r="A123" s="2">
        <v>159</v>
      </c>
      <c r="B123" s="20">
        <v>44274</v>
      </c>
      <c r="C123" s="21">
        <f t="shared" si="3"/>
        <v>44274.377743055535</v>
      </c>
      <c r="D123" t="s">
        <v>269</v>
      </c>
      <c r="E123" s="3">
        <v>1</v>
      </c>
      <c r="F123" s="3" t="s">
        <v>33</v>
      </c>
      <c r="G123" t="s">
        <v>65</v>
      </c>
      <c r="L123" t="s">
        <v>319</v>
      </c>
      <c r="AB123" t="s">
        <v>270</v>
      </c>
      <c r="AC123" s="1">
        <v>44274.669409722199</v>
      </c>
      <c r="AD123" t="s">
        <v>38</v>
      </c>
      <c r="AE123" s="1">
        <v>44274.669409722199</v>
      </c>
      <c r="AF123" t="s">
        <v>38</v>
      </c>
      <c r="AG123">
        <v>-119.877922782471</v>
      </c>
      <c r="AH123">
        <v>34.421441612246198</v>
      </c>
    </row>
    <row r="124" spans="1:34" x14ac:dyDescent="0.25">
      <c r="A124" s="2">
        <v>54</v>
      </c>
      <c r="B124" s="20">
        <v>44274</v>
      </c>
      <c r="C124" s="21">
        <f t="shared" si="3"/>
        <v>44274.387210648136</v>
      </c>
      <c r="D124" t="s">
        <v>130</v>
      </c>
      <c r="E124" s="3">
        <v>4</v>
      </c>
      <c r="F124" s="3" t="s">
        <v>33</v>
      </c>
      <c r="G124" t="s">
        <v>52</v>
      </c>
      <c r="L124" t="s">
        <v>318</v>
      </c>
      <c r="AB124" t="s">
        <v>131</v>
      </c>
      <c r="AC124" s="1">
        <v>44274.6788773148</v>
      </c>
      <c r="AD124" t="s">
        <v>38</v>
      </c>
      <c r="AE124" s="1">
        <v>44274.6788773148</v>
      </c>
      <c r="AF124" t="s">
        <v>38</v>
      </c>
      <c r="AG124">
        <v>-119.879141410934</v>
      </c>
      <c r="AH124">
        <v>34.421036258102198</v>
      </c>
    </row>
    <row r="125" spans="1:34" x14ac:dyDescent="0.25">
      <c r="A125" s="2">
        <v>169</v>
      </c>
      <c r="B125" s="20">
        <v>44274</v>
      </c>
      <c r="C125" s="21">
        <f t="shared" si="3"/>
        <v>44274.391215277734</v>
      </c>
      <c r="D125" t="s">
        <v>130</v>
      </c>
      <c r="E125" s="3">
        <v>1</v>
      </c>
      <c r="F125" s="3" t="s">
        <v>33</v>
      </c>
      <c r="G125" t="s">
        <v>52</v>
      </c>
      <c r="L125" t="s">
        <v>319</v>
      </c>
      <c r="AB125" t="s">
        <v>281</v>
      </c>
      <c r="AC125" s="1">
        <v>44274.682881944398</v>
      </c>
      <c r="AD125" t="s">
        <v>38</v>
      </c>
      <c r="AE125" s="1">
        <v>44274.682881944398</v>
      </c>
      <c r="AF125" t="s">
        <v>38</v>
      </c>
      <c r="AG125">
        <v>-119.87855949127599</v>
      </c>
      <c r="AH125">
        <v>34.420931160587003</v>
      </c>
    </row>
    <row r="126" spans="1:34" x14ac:dyDescent="0.25">
      <c r="A126" s="2">
        <v>116</v>
      </c>
      <c r="B126" s="20">
        <v>44274</v>
      </c>
      <c r="C126" s="21">
        <f t="shared" si="3"/>
        <v>44274.348993055537</v>
      </c>
      <c r="D126" t="s">
        <v>220</v>
      </c>
      <c r="E126" s="3">
        <v>2</v>
      </c>
      <c r="F126" s="3" t="s">
        <v>33</v>
      </c>
      <c r="G126" t="s">
        <v>98</v>
      </c>
      <c r="L126" t="s">
        <v>319</v>
      </c>
      <c r="AB126" t="s">
        <v>221</v>
      </c>
      <c r="AC126" s="1">
        <v>44274.640659722201</v>
      </c>
      <c r="AD126" t="s">
        <v>38</v>
      </c>
      <c r="AE126" s="1">
        <v>44274.640659722201</v>
      </c>
      <c r="AF126" t="s">
        <v>38</v>
      </c>
      <c r="AG126">
        <v>-119.872130205668</v>
      </c>
      <c r="AH126">
        <v>34.4211671335093</v>
      </c>
    </row>
    <row r="127" spans="1:34" x14ac:dyDescent="0.25">
      <c r="A127" s="2">
        <v>199</v>
      </c>
      <c r="B127" s="20">
        <v>44274</v>
      </c>
      <c r="C127" s="21">
        <f t="shared" si="3"/>
        <v>44274.422939814838</v>
      </c>
      <c r="D127" t="s">
        <v>220</v>
      </c>
      <c r="E127" s="3">
        <v>2</v>
      </c>
      <c r="F127" s="3" t="s">
        <v>33</v>
      </c>
      <c r="G127" t="s">
        <v>98</v>
      </c>
      <c r="L127" t="s">
        <v>319</v>
      </c>
      <c r="AB127" t="s">
        <v>316</v>
      </c>
      <c r="AC127" s="1">
        <v>44274.714606481502</v>
      </c>
      <c r="AD127" t="s">
        <v>38</v>
      </c>
      <c r="AE127" s="1">
        <v>44274.714606481502</v>
      </c>
      <c r="AF127" t="s">
        <v>38</v>
      </c>
      <c r="AG127">
        <v>-119.88107038310601</v>
      </c>
      <c r="AH127">
        <v>34.421523341014399</v>
      </c>
    </row>
    <row r="128" spans="1:34" x14ac:dyDescent="0.25">
      <c r="A128" s="2">
        <v>92</v>
      </c>
      <c r="B128" s="20">
        <v>44274</v>
      </c>
      <c r="C128" s="21">
        <f t="shared" si="3"/>
        <v>44274.417465277736</v>
      </c>
      <c r="D128" t="s">
        <v>183</v>
      </c>
      <c r="E128" s="3">
        <v>1</v>
      </c>
      <c r="F128" s="3" t="s">
        <v>33</v>
      </c>
      <c r="G128" t="s">
        <v>65</v>
      </c>
      <c r="L128" t="s">
        <v>318</v>
      </c>
      <c r="AB128" t="s">
        <v>184</v>
      </c>
      <c r="AC128" s="1">
        <v>44274.709131944401</v>
      </c>
      <c r="AD128" t="s">
        <v>38</v>
      </c>
      <c r="AE128" s="1">
        <v>44274.709131944401</v>
      </c>
      <c r="AF128" t="s">
        <v>38</v>
      </c>
      <c r="AG128">
        <v>-119.88441168567</v>
      </c>
      <c r="AH128">
        <v>34.421398272076203</v>
      </c>
    </row>
    <row r="129" spans="1:34" x14ac:dyDescent="0.25">
      <c r="A129" s="2">
        <v>101</v>
      </c>
      <c r="B129" s="20">
        <v>44274</v>
      </c>
      <c r="C129" s="21">
        <f t="shared" si="3"/>
        <v>44274.337245370334</v>
      </c>
      <c r="D129" t="s">
        <v>51</v>
      </c>
      <c r="E129" s="3">
        <v>1</v>
      </c>
      <c r="F129" s="3" t="s">
        <v>33</v>
      </c>
      <c r="G129" t="s">
        <v>200</v>
      </c>
      <c r="L129" t="s">
        <v>319</v>
      </c>
      <c r="AB129" t="s">
        <v>201</v>
      </c>
      <c r="AC129" s="1">
        <v>44274.628912036998</v>
      </c>
      <c r="AD129" t="s">
        <v>38</v>
      </c>
      <c r="AE129" s="1">
        <v>44274.628912036998</v>
      </c>
      <c r="AF129" t="s">
        <v>38</v>
      </c>
      <c r="AG129">
        <v>-119.874301471439</v>
      </c>
      <c r="AH129">
        <v>34.418661105160602</v>
      </c>
    </row>
    <row r="130" spans="1:34" x14ac:dyDescent="0.25">
      <c r="A130" s="2">
        <v>7</v>
      </c>
      <c r="B130" s="20">
        <v>44274</v>
      </c>
      <c r="C130" s="21">
        <f t="shared" ref="C130:C161" si="4">AC130-(7/24)</f>
        <v>44274.338206018532</v>
      </c>
      <c r="D130" t="s">
        <v>51</v>
      </c>
      <c r="E130" s="3">
        <v>1</v>
      </c>
      <c r="F130" s="3" t="s">
        <v>72</v>
      </c>
      <c r="G130" t="s">
        <v>52</v>
      </c>
      <c r="J130" t="s">
        <v>336</v>
      </c>
      <c r="L130" t="s">
        <v>318</v>
      </c>
      <c r="AB130" t="s">
        <v>53</v>
      </c>
      <c r="AC130" s="1">
        <v>44274.629872685196</v>
      </c>
      <c r="AD130" t="s">
        <v>38</v>
      </c>
      <c r="AE130" s="1">
        <v>44274.629872685196</v>
      </c>
      <c r="AF130" t="s">
        <v>38</v>
      </c>
      <c r="AG130">
        <v>-119.87599074704301</v>
      </c>
      <c r="AH130">
        <v>34.417824649668297</v>
      </c>
    </row>
    <row r="131" spans="1:34" x14ac:dyDescent="0.25">
      <c r="A131" s="2">
        <v>142</v>
      </c>
      <c r="B131" s="20">
        <v>44274</v>
      </c>
      <c r="C131" s="21">
        <f t="shared" si="4"/>
        <v>44274.365393518536</v>
      </c>
      <c r="D131" t="s">
        <v>250</v>
      </c>
      <c r="E131" s="3">
        <v>1</v>
      </c>
      <c r="F131" s="3" t="s">
        <v>33</v>
      </c>
      <c r="G131" t="s">
        <v>98</v>
      </c>
      <c r="L131" t="s">
        <v>319</v>
      </c>
      <c r="AB131" t="s">
        <v>251</v>
      </c>
      <c r="AC131" s="1">
        <v>44274.6570601852</v>
      </c>
      <c r="AD131" t="s">
        <v>38</v>
      </c>
      <c r="AE131" s="1">
        <v>44274.6570601852</v>
      </c>
      <c r="AF131" t="s">
        <v>38</v>
      </c>
      <c r="AG131">
        <v>-119.873390081176</v>
      </c>
      <c r="AH131">
        <v>34.4217187125506</v>
      </c>
    </row>
    <row r="132" spans="1:34" x14ac:dyDescent="0.25">
      <c r="A132" s="2">
        <v>149</v>
      </c>
      <c r="B132" s="20">
        <v>44274</v>
      </c>
      <c r="C132" s="21">
        <f t="shared" si="4"/>
        <v>44274.371180555536</v>
      </c>
      <c r="D132" t="s">
        <v>258</v>
      </c>
      <c r="E132" s="3">
        <v>1</v>
      </c>
      <c r="F132" s="3" t="s">
        <v>33</v>
      </c>
      <c r="G132" t="s">
        <v>65</v>
      </c>
      <c r="L132" t="s">
        <v>319</v>
      </c>
      <c r="AB132" t="s">
        <v>259</v>
      </c>
      <c r="AC132" s="1">
        <v>44274.6628472222</v>
      </c>
      <c r="AD132" t="s">
        <v>38</v>
      </c>
      <c r="AE132" s="1">
        <v>44274.6628472222</v>
      </c>
      <c r="AF132" t="s">
        <v>38</v>
      </c>
      <c r="AG132">
        <v>-119.875550404569</v>
      </c>
      <c r="AH132">
        <v>34.421157217859601</v>
      </c>
    </row>
    <row r="133" spans="1:34" x14ac:dyDescent="0.25">
      <c r="A133" s="2">
        <v>100</v>
      </c>
      <c r="B133" s="20">
        <v>44274</v>
      </c>
      <c r="C133" s="21">
        <f t="shared" si="4"/>
        <v>44274.336550925938</v>
      </c>
      <c r="D133" t="s">
        <v>198</v>
      </c>
      <c r="E133" s="3">
        <v>2</v>
      </c>
      <c r="F133" s="3" t="s">
        <v>33</v>
      </c>
      <c r="G133" t="s">
        <v>98</v>
      </c>
      <c r="L133" t="s">
        <v>319</v>
      </c>
      <c r="AB133" t="s">
        <v>199</v>
      </c>
      <c r="AC133" s="1">
        <v>44274.628217592603</v>
      </c>
      <c r="AD133" t="s">
        <v>38</v>
      </c>
      <c r="AE133" s="1">
        <v>44274.628217592603</v>
      </c>
      <c r="AF133" t="s">
        <v>38</v>
      </c>
      <c r="AG133">
        <v>-119.87442081172701</v>
      </c>
      <c r="AH133">
        <v>34.418143343841201</v>
      </c>
    </row>
    <row r="134" spans="1:34" x14ac:dyDescent="0.25">
      <c r="A134" s="2">
        <v>200</v>
      </c>
      <c r="B134" s="20">
        <v>44274</v>
      </c>
      <c r="C134" s="21">
        <f t="shared" si="4"/>
        <v>44274.428530092635</v>
      </c>
      <c r="D134" t="s">
        <v>198</v>
      </c>
      <c r="E134" s="3">
        <v>4</v>
      </c>
      <c r="F134" s="3" t="s">
        <v>33</v>
      </c>
      <c r="G134" t="s">
        <v>98</v>
      </c>
      <c r="L134" t="s">
        <v>319</v>
      </c>
      <c r="AB134" t="s">
        <v>317</v>
      </c>
      <c r="AC134" s="1">
        <v>44274.720196759299</v>
      </c>
      <c r="AD134" t="s">
        <v>38</v>
      </c>
      <c r="AE134" s="1">
        <v>44274.720196759299</v>
      </c>
      <c r="AF134" t="s">
        <v>38</v>
      </c>
      <c r="AG134">
        <v>-119.88211430362</v>
      </c>
      <c r="AH134">
        <v>34.421164951933001</v>
      </c>
    </row>
    <row r="135" spans="1:34" x14ac:dyDescent="0.25">
      <c r="A135" s="2">
        <v>191</v>
      </c>
      <c r="B135" s="20">
        <v>44274</v>
      </c>
      <c r="C135" s="21">
        <f t="shared" si="4"/>
        <v>44274.407118055533</v>
      </c>
      <c r="D135" t="s">
        <v>187</v>
      </c>
      <c r="E135" s="3">
        <v>1</v>
      </c>
      <c r="F135" s="3" t="s">
        <v>33</v>
      </c>
      <c r="G135" t="s">
        <v>65</v>
      </c>
      <c r="J135" t="s">
        <v>337</v>
      </c>
      <c r="L135" t="s">
        <v>319</v>
      </c>
      <c r="AB135" t="s">
        <v>306</v>
      </c>
      <c r="AC135" s="1">
        <v>44274.698784722197</v>
      </c>
      <c r="AD135" t="s">
        <v>38</v>
      </c>
      <c r="AE135" s="1">
        <v>44274.698784722197</v>
      </c>
      <c r="AF135" t="s">
        <v>38</v>
      </c>
      <c r="AG135">
        <v>-119.884933090319</v>
      </c>
      <c r="AH135">
        <v>34.421562514358499</v>
      </c>
    </row>
    <row r="136" spans="1:34" x14ac:dyDescent="0.25">
      <c r="A136" s="2">
        <v>95</v>
      </c>
      <c r="B136" s="20">
        <v>44274</v>
      </c>
      <c r="C136" s="21">
        <f t="shared" si="4"/>
        <v>44274.425081018533</v>
      </c>
      <c r="D136" t="s">
        <v>187</v>
      </c>
      <c r="E136" s="3">
        <v>1</v>
      </c>
      <c r="F136" s="3" t="s">
        <v>72</v>
      </c>
      <c r="G136" t="s">
        <v>52</v>
      </c>
      <c r="L136" t="s">
        <v>318</v>
      </c>
      <c r="N136" t="s">
        <v>188</v>
      </c>
      <c r="U136">
        <v>65</v>
      </c>
      <c r="V136">
        <v>50</v>
      </c>
      <c r="W136" t="s">
        <v>189</v>
      </c>
      <c r="AB136" t="s">
        <v>190</v>
      </c>
      <c r="AC136" s="1">
        <v>44274.716747685197</v>
      </c>
      <c r="AD136" t="s">
        <v>38</v>
      </c>
      <c r="AE136" s="1">
        <v>44274.728159722203</v>
      </c>
      <c r="AF136" t="s">
        <v>38</v>
      </c>
      <c r="AG136">
        <v>-119.88093296242801</v>
      </c>
      <c r="AH136">
        <v>34.422001065007301</v>
      </c>
    </row>
    <row r="137" spans="1:34" x14ac:dyDescent="0.25">
      <c r="A137" s="2">
        <v>113</v>
      </c>
      <c r="B137" s="20">
        <v>44274</v>
      </c>
      <c r="C137" s="21">
        <f t="shared" si="4"/>
        <v>44274.347800925934</v>
      </c>
      <c r="D137" t="s">
        <v>152</v>
      </c>
      <c r="E137" s="3">
        <v>1</v>
      </c>
      <c r="F137" s="3" t="s">
        <v>33</v>
      </c>
      <c r="G137" t="s">
        <v>42</v>
      </c>
      <c r="L137" t="s">
        <v>319</v>
      </c>
      <c r="AB137" t="s">
        <v>217</v>
      </c>
      <c r="AC137" s="1">
        <v>44274.639467592599</v>
      </c>
      <c r="AD137" t="s">
        <v>38</v>
      </c>
      <c r="AE137" s="1">
        <v>44274.639467592599</v>
      </c>
      <c r="AF137" t="s">
        <v>38</v>
      </c>
      <c r="AG137">
        <v>-119.872585466465</v>
      </c>
      <c r="AH137">
        <v>34.420809816650198</v>
      </c>
    </row>
    <row r="138" spans="1:34" x14ac:dyDescent="0.25">
      <c r="A138" s="2">
        <v>123</v>
      </c>
      <c r="B138" s="20">
        <v>44274</v>
      </c>
      <c r="C138" s="21">
        <f t="shared" si="4"/>
        <v>44274.353009259234</v>
      </c>
      <c r="D138" t="s">
        <v>152</v>
      </c>
      <c r="E138" s="3">
        <v>1</v>
      </c>
      <c r="F138" s="3" t="s">
        <v>33</v>
      </c>
      <c r="G138" t="s">
        <v>65</v>
      </c>
      <c r="L138" t="s">
        <v>319</v>
      </c>
      <c r="AB138" t="s">
        <v>229</v>
      </c>
      <c r="AC138" s="1">
        <v>44274.644675925898</v>
      </c>
      <c r="AD138" t="s">
        <v>38</v>
      </c>
      <c r="AE138" s="1">
        <v>44274.644675925898</v>
      </c>
      <c r="AF138" t="s">
        <v>38</v>
      </c>
      <c r="AG138">
        <v>-119.870530164214</v>
      </c>
      <c r="AH138">
        <v>34.421150191463902</v>
      </c>
    </row>
    <row r="139" spans="1:34" x14ac:dyDescent="0.25">
      <c r="A139" s="2">
        <v>71</v>
      </c>
      <c r="B139" s="20">
        <v>44274</v>
      </c>
      <c r="C139" s="21">
        <f t="shared" si="4"/>
        <v>44274.399675925939</v>
      </c>
      <c r="D139" t="s">
        <v>152</v>
      </c>
      <c r="E139" s="3">
        <v>6</v>
      </c>
      <c r="F139" s="3" t="s">
        <v>33</v>
      </c>
      <c r="G139" t="s">
        <v>52</v>
      </c>
      <c r="L139" t="s">
        <v>318</v>
      </c>
      <c r="AB139" t="s">
        <v>153</v>
      </c>
      <c r="AC139" s="1">
        <v>44274.691342592603</v>
      </c>
      <c r="AD139" t="s">
        <v>38</v>
      </c>
      <c r="AE139" s="1">
        <v>44274.691342592603</v>
      </c>
      <c r="AF139" t="s">
        <v>38</v>
      </c>
      <c r="AG139">
        <v>-119.882217451774</v>
      </c>
      <c r="AH139">
        <v>34.420837689661099</v>
      </c>
    </row>
    <row r="140" spans="1:34" x14ac:dyDescent="0.25">
      <c r="A140" s="2">
        <v>107</v>
      </c>
      <c r="B140" s="20">
        <v>44274</v>
      </c>
      <c r="C140" s="21">
        <f t="shared" si="4"/>
        <v>44274.342118055538</v>
      </c>
      <c r="D140" t="s">
        <v>207</v>
      </c>
      <c r="E140" s="3">
        <v>10</v>
      </c>
      <c r="F140" s="3" t="s">
        <v>33</v>
      </c>
      <c r="G140" t="s">
        <v>45</v>
      </c>
      <c r="L140" t="s">
        <v>319</v>
      </c>
      <c r="AB140" t="s">
        <v>208</v>
      </c>
      <c r="AC140" s="1">
        <v>44274.633784722202</v>
      </c>
      <c r="AD140" t="s">
        <v>38</v>
      </c>
      <c r="AE140" s="1">
        <v>44274.633784722202</v>
      </c>
      <c r="AF140" t="s">
        <v>38</v>
      </c>
      <c r="AG140">
        <v>-119.875480297349</v>
      </c>
      <c r="AH140">
        <v>34.419295539536797</v>
      </c>
    </row>
    <row r="141" spans="1:34" x14ac:dyDescent="0.25">
      <c r="A141" s="2">
        <v>162</v>
      </c>
      <c r="B141" s="20">
        <v>44274</v>
      </c>
      <c r="C141" s="21">
        <f t="shared" si="4"/>
        <v>44274.380509259237</v>
      </c>
      <c r="D141" t="s">
        <v>273</v>
      </c>
      <c r="E141" s="3">
        <v>3</v>
      </c>
      <c r="F141" s="3" t="s">
        <v>33</v>
      </c>
      <c r="G141" t="s">
        <v>45</v>
      </c>
      <c r="L141" t="s">
        <v>319</v>
      </c>
      <c r="AB141" t="s">
        <v>274</v>
      </c>
      <c r="AC141" s="1">
        <v>44274.672175925902</v>
      </c>
      <c r="AD141" t="s">
        <v>38</v>
      </c>
      <c r="AE141" s="1">
        <v>44274.672175925902</v>
      </c>
      <c r="AF141" t="s">
        <v>38</v>
      </c>
      <c r="AG141">
        <v>-119.878926123388</v>
      </c>
      <c r="AH141">
        <v>34.421292122762701</v>
      </c>
    </row>
    <row r="142" spans="1:34" x14ac:dyDescent="0.25">
      <c r="A142" s="2">
        <v>126</v>
      </c>
      <c r="B142" s="20">
        <v>44274</v>
      </c>
      <c r="C142" s="21">
        <f t="shared" si="4"/>
        <v>44274.354097222233</v>
      </c>
      <c r="D142" t="s">
        <v>165</v>
      </c>
      <c r="E142" s="3">
        <v>1</v>
      </c>
      <c r="F142" s="3" t="s">
        <v>33</v>
      </c>
      <c r="G142" t="s">
        <v>65</v>
      </c>
      <c r="L142" t="s">
        <v>319</v>
      </c>
      <c r="AB142" t="s">
        <v>232</v>
      </c>
      <c r="AC142" s="1">
        <v>44274.645763888897</v>
      </c>
      <c r="AD142" t="s">
        <v>38</v>
      </c>
      <c r="AE142" s="1">
        <v>44274.645763888897</v>
      </c>
      <c r="AF142" t="s">
        <v>38</v>
      </c>
      <c r="AG142">
        <v>-119.871206910033</v>
      </c>
      <c r="AH142">
        <v>34.421309899171497</v>
      </c>
    </row>
    <row r="143" spans="1:34" x14ac:dyDescent="0.25">
      <c r="A143" s="2">
        <v>132</v>
      </c>
      <c r="B143" s="20">
        <v>44274</v>
      </c>
      <c r="C143" s="21">
        <f t="shared" si="4"/>
        <v>44274.357731481439</v>
      </c>
      <c r="D143" t="s">
        <v>165</v>
      </c>
      <c r="E143" s="3">
        <v>1</v>
      </c>
      <c r="F143" s="3" t="s">
        <v>33</v>
      </c>
      <c r="G143" t="s">
        <v>65</v>
      </c>
      <c r="L143" t="s">
        <v>319</v>
      </c>
      <c r="AB143" t="s">
        <v>239</v>
      </c>
      <c r="AC143" s="1">
        <v>44274.649398148104</v>
      </c>
      <c r="AD143" t="s">
        <v>38</v>
      </c>
      <c r="AE143" s="1">
        <v>44274.649398148104</v>
      </c>
      <c r="AF143" t="s">
        <v>38</v>
      </c>
      <c r="AG143">
        <v>-119.872176966572</v>
      </c>
      <c r="AH143">
        <v>34.422686116975598</v>
      </c>
    </row>
    <row r="144" spans="1:34" x14ac:dyDescent="0.25">
      <c r="A144" s="2">
        <v>168</v>
      </c>
      <c r="B144" s="20">
        <v>44274</v>
      </c>
      <c r="C144" s="21">
        <f t="shared" si="4"/>
        <v>44274.389340277739</v>
      </c>
      <c r="D144" t="s">
        <v>165</v>
      </c>
      <c r="E144" s="3">
        <v>1</v>
      </c>
      <c r="F144" s="3" t="s">
        <v>33</v>
      </c>
      <c r="G144" t="s">
        <v>65</v>
      </c>
      <c r="L144" t="s">
        <v>319</v>
      </c>
      <c r="AB144" t="s">
        <v>280</v>
      </c>
      <c r="AC144" s="1">
        <v>44274.681006944404</v>
      </c>
      <c r="AD144" t="s">
        <v>38</v>
      </c>
      <c r="AE144" s="1">
        <v>44274.681122685201</v>
      </c>
      <c r="AF144" t="s">
        <v>38</v>
      </c>
      <c r="AG144">
        <v>-119.87883353133699</v>
      </c>
      <c r="AH144">
        <v>34.421565578480397</v>
      </c>
    </row>
    <row r="145" spans="1:34" x14ac:dyDescent="0.25">
      <c r="A145" s="2">
        <v>189</v>
      </c>
      <c r="B145" s="20">
        <v>44274</v>
      </c>
      <c r="C145" s="21">
        <f t="shared" si="4"/>
        <v>44274.406400462933</v>
      </c>
      <c r="D145" t="s">
        <v>165</v>
      </c>
      <c r="E145" s="3">
        <v>1</v>
      </c>
      <c r="F145" s="3" t="s">
        <v>33</v>
      </c>
      <c r="G145" t="s">
        <v>65</v>
      </c>
      <c r="L145" t="s">
        <v>319</v>
      </c>
      <c r="AB145" t="s">
        <v>304</v>
      </c>
      <c r="AC145" s="1">
        <v>44274.698067129597</v>
      </c>
      <c r="AD145" t="s">
        <v>38</v>
      </c>
      <c r="AE145" s="1">
        <v>44274.698067129597</v>
      </c>
      <c r="AF145" t="s">
        <v>38</v>
      </c>
      <c r="AG145">
        <v>-119.88362652307799</v>
      </c>
      <c r="AH145">
        <v>34.421640860250797</v>
      </c>
    </row>
    <row r="146" spans="1:34" x14ac:dyDescent="0.25">
      <c r="A146" s="2">
        <v>80</v>
      </c>
      <c r="B146" s="20">
        <v>44274</v>
      </c>
      <c r="C146" s="21">
        <f t="shared" si="4"/>
        <v>44274.408935185238</v>
      </c>
      <c r="D146" t="s">
        <v>165</v>
      </c>
      <c r="E146" s="3">
        <v>1</v>
      </c>
      <c r="F146" s="3" t="s">
        <v>33</v>
      </c>
      <c r="G146" t="s">
        <v>65</v>
      </c>
      <c r="L146" t="s">
        <v>318</v>
      </c>
      <c r="AB146" t="s">
        <v>166</v>
      </c>
      <c r="AC146" s="1">
        <v>44274.700601851902</v>
      </c>
      <c r="AD146" t="s">
        <v>38</v>
      </c>
      <c r="AE146" s="1">
        <v>44274.700601851902</v>
      </c>
      <c r="AF146" t="s">
        <v>38</v>
      </c>
      <c r="AG146">
        <v>-119.88182290182</v>
      </c>
      <c r="AH146">
        <v>34.420795418481099</v>
      </c>
    </row>
    <row r="147" spans="1:34" x14ac:dyDescent="0.25">
      <c r="A147" s="2">
        <v>50</v>
      </c>
      <c r="B147" s="20">
        <v>44274</v>
      </c>
      <c r="C147" s="21">
        <f t="shared" si="4"/>
        <v>44274.381284722236</v>
      </c>
      <c r="D147" t="s">
        <v>124</v>
      </c>
      <c r="E147" s="3">
        <v>1</v>
      </c>
      <c r="F147" s="3" t="s">
        <v>33</v>
      </c>
      <c r="G147" t="s">
        <v>42</v>
      </c>
      <c r="L147" t="s">
        <v>318</v>
      </c>
      <c r="AB147" t="s">
        <v>125</v>
      </c>
      <c r="AC147" s="1">
        <v>44274.6729513889</v>
      </c>
      <c r="AD147" t="s">
        <v>38</v>
      </c>
      <c r="AE147" s="1">
        <v>44274.6729513889</v>
      </c>
      <c r="AF147" t="s">
        <v>38</v>
      </c>
      <c r="AG147">
        <v>-119.879213284241</v>
      </c>
      <c r="AH147">
        <v>34.420572529614802</v>
      </c>
    </row>
    <row r="148" spans="1:34" x14ac:dyDescent="0.25">
      <c r="A148" s="2">
        <v>55</v>
      </c>
      <c r="B148" s="20">
        <v>44274</v>
      </c>
      <c r="C148" s="21">
        <f t="shared" si="4"/>
        <v>44274.388171296334</v>
      </c>
      <c r="D148" t="s">
        <v>132</v>
      </c>
      <c r="E148" s="3">
        <v>1</v>
      </c>
      <c r="F148" s="3" t="s">
        <v>33</v>
      </c>
      <c r="G148" t="s">
        <v>62</v>
      </c>
      <c r="L148" t="s">
        <v>318</v>
      </c>
      <c r="AB148" t="s">
        <v>133</v>
      </c>
      <c r="AC148" s="1">
        <v>44274.679837962998</v>
      </c>
      <c r="AD148" t="s">
        <v>38</v>
      </c>
      <c r="AE148" s="1">
        <v>44274.679837962998</v>
      </c>
      <c r="AF148" t="s">
        <v>38</v>
      </c>
      <c r="AG148">
        <v>-119.87995512737599</v>
      </c>
      <c r="AH148">
        <v>34.420947323857902</v>
      </c>
    </row>
    <row r="149" spans="1:34" x14ac:dyDescent="0.25">
      <c r="A149" s="2">
        <v>4</v>
      </c>
      <c r="B149" s="20">
        <v>44274</v>
      </c>
      <c r="C149" s="21">
        <f t="shared" si="4"/>
        <v>44274.336493055533</v>
      </c>
      <c r="D149" t="s">
        <v>44</v>
      </c>
      <c r="E149" s="3">
        <v>1</v>
      </c>
      <c r="F149" s="3" t="s">
        <v>33</v>
      </c>
      <c r="G149" t="s">
        <v>45</v>
      </c>
      <c r="L149" t="s">
        <v>318</v>
      </c>
      <c r="AB149" t="s">
        <v>46</v>
      </c>
      <c r="AC149" s="1">
        <v>44274.628159722197</v>
      </c>
      <c r="AD149" t="s">
        <v>38</v>
      </c>
      <c r="AE149" s="1">
        <v>44274.628159722197</v>
      </c>
      <c r="AF149" t="s">
        <v>38</v>
      </c>
      <c r="AG149">
        <v>-119.875151360343</v>
      </c>
      <c r="AH149">
        <v>34.417663313874201</v>
      </c>
    </row>
    <row r="150" spans="1:34" x14ac:dyDescent="0.25">
      <c r="A150" s="2">
        <v>51</v>
      </c>
      <c r="B150" s="20">
        <v>44274</v>
      </c>
      <c r="C150" s="21">
        <f t="shared" si="4"/>
        <v>44274.384270833332</v>
      </c>
      <c r="D150" t="s">
        <v>44</v>
      </c>
      <c r="E150" s="3">
        <v>1</v>
      </c>
      <c r="F150" s="3" t="s">
        <v>33</v>
      </c>
      <c r="G150" t="s">
        <v>59</v>
      </c>
      <c r="L150" t="s">
        <v>318</v>
      </c>
      <c r="AB150" t="s">
        <v>126</v>
      </c>
      <c r="AC150" s="1">
        <v>44274.675937499997</v>
      </c>
      <c r="AD150" t="s">
        <v>38</v>
      </c>
      <c r="AE150" s="1">
        <v>44274.675937499997</v>
      </c>
      <c r="AF150" t="s">
        <v>38</v>
      </c>
      <c r="AG150">
        <v>-119.878864181854</v>
      </c>
      <c r="AH150">
        <v>34.420551354685799</v>
      </c>
    </row>
    <row r="151" spans="1:34" x14ac:dyDescent="0.25">
      <c r="A151" s="2">
        <v>174</v>
      </c>
      <c r="B151" s="20">
        <v>44274</v>
      </c>
      <c r="C151" s="21">
        <f t="shared" si="4"/>
        <v>44274.396076388934</v>
      </c>
      <c r="D151" t="s">
        <v>44</v>
      </c>
      <c r="E151" s="3">
        <v>2</v>
      </c>
      <c r="F151" s="3" t="s">
        <v>33</v>
      </c>
      <c r="G151" t="s">
        <v>42</v>
      </c>
      <c r="L151" t="s">
        <v>319</v>
      </c>
      <c r="AB151" t="s">
        <v>286</v>
      </c>
      <c r="AC151" s="1">
        <v>44274.687743055598</v>
      </c>
      <c r="AD151" t="s">
        <v>38</v>
      </c>
      <c r="AE151" s="1">
        <v>44274.719791666699</v>
      </c>
      <c r="AF151" t="s">
        <v>38</v>
      </c>
      <c r="AG151">
        <v>-119.880585455448</v>
      </c>
      <c r="AH151">
        <v>34.421481718575102</v>
      </c>
    </row>
    <row r="152" spans="1:34" x14ac:dyDescent="0.25">
      <c r="A152" s="2">
        <v>68</v>
      </c>
      <c r="B152" s="20">
        <v>44274</v>
      </c>
      <c r="C152" s="21">
        <f t="shared" si="4"/>
        <v>44274.396944444437</v>
      </c>
      <c r="D152" t="s">
        <v>44</v>
      </c>
      <c r="E152" s="3">
        <v>1</v>
      </c>
      <c r="F152" s="3" t="s">
        <v>72</v>
      </c>
      <c r="G152" t="s">
        <v>59</v>
      </c>
      <c r="J152" t="s">
        <v>338</v>
      </c>
      <c r="L152" t="s">
        <v>318</v>
      </c>
      <c r="AB152" t="s">
        <v>149</v>
      </c>
      <c r="AC152" s="1">
        <v>44274.688611111102</v>
      </c>
      <c r="AD152" t="s">
        <v>38</v>
      </c>
      <c r="AE152" s="1">
        <v>44274.688611111102</v>
      </c>
      <c r="AF152" t="s">
        <v>38</v>
      </c>
      <c r="AG152">
        <v>-119.88155261761599</v>
      </c>
      <c r="AH152">
        <v>34.421256883386903</v>
      </c>
    </row>
    <row r="153" spans="1:34" x14ac:dyDescent="0.25">
      <c r="A153" s="2">
        <v>198</v>
      </c>
      <c r="B153" s="20">
        <v>44274</v>
      </c>
      <c r="C153" s="21">
        <f t="shared" si="4"/>
        <v>44274.413541666632</v>
      </c>
      <c r="D153" t="s">
        <v>314</v>
      </c>
      <c r="E153" s="3">
        <v>1</v>
      </c>
      <c r="F153" s="3" t="s">
        <v>33</v>
      </c>
      <c r="G153" t="s">
        <v>59</v>
      </c>
      <c r="L153" t="s">
        <v>319</v>
      </c>
      <c r="AB153" t="s">
        <v>315</v>
      </c>
      <c r="AC153" s="1">
        <v>44274.705208333296</v>
      </c>
      <c r="AD153" t="s">
        <v>38</v>
      </c>
      <c r="AE153" s="1">
        <v>44274.705208333296</v>
      </c>
      <c r="AF153" t="s">
        <v>38</v>
      </c>
      <c r="AG153">
        <v>-119.883622672898</v>
      </c>
      <c r="AH153">
        <v>34.4213571201241</v>
      </c>
    </row>
    <row r="154" spans="1:34" x14ac:dyDescent="0.25">
      <c r="A154" s="2">
        <v>88</v>
      </c>
      <c r="B154" s="20">
        <v>44274</v>
      </c>
      <c r="C154" s="21">
        <f t="shared" si="4"/>
        <v>44274.415289351833</v>
      </c>
      <c r="D154" t="s">
        <v>177</v>
      </c>
      <c r="E154" s="3">
        <v>1</v>
      </c>
      <c r="F154" s="3" t="s">
        <v>33</v>
      </c>
      <c r="G154" t="s">
        <v>65</v>
      </c>
      <c r="L154" t="s">
        <v>318</v>
      </c>
      <c r="AB154" t="s">
        <v>178</v>
      </c>
      <c r="AC154" s="1">
        <v>44274.706956018497</v>
      </c>
      <c r="AD154" t="s">
        <v>38</v>
      </c>
      <c r="AE154" s="1">
        <v>44274.706956018497</v>
      </c>
      <c r="AF154" t="s">
        <v>38</v>
      </c>
      <c r="AG154">
        <v>-119.885560441374</v>
      </c>
      <c r="AH154">
        <v>34.421887484047602</v>
      </c>
    </row>
    <row r="155" spans="1:34" x14ac:dyDescent="0.25">
      <c r="A155" s="2">
        <v>96</v>
      </c>
      <c r="B155" s="20">
        <v>44274</v>
      </c>
      <c r="C155" s="21">
        <f t="shared" si="4"/>
        <v>44274.335428240738</v>
      </c>
      <c r="D155" t="s">
        <v>191</v>
      </c>
      <c r="E155" s="3">
        <v>5</v>
      </c>
      <c r="F155" s="3" t="s">
        <v>33</v>
      </c>
      <c r="G155" t="s">
        <v>98</v>
      </c>
      <c r="L155" t="s">
        <v>319</v>
      </c>
      <c r="AB155" t="s">
        <v>192</v>
      </c>
      <c r="AC155" s="1">
        <v>44274.627094907402</v>
      </c>
      <c r="AD155" t="s">
        <v>38</v>
      </c>
      <c r="AE155" s="1">
        <v>44274.627094907402</v>
      </c>
      <c r="AF155" t="s">
        <v>38</v>
      </c>
      <c r="AG155">
        <v>-119.875631766781</v>
      </c>
      <c r="AH155">
        <v>34.419265064956797</v>
      </c>
    </row>
    <row r="156" spans="1:34" x14ac:dyDescent="0.25">
      <c r="A156" s="2">
        <v>36</v>
      </c>
      <c r="B156" s="20">
        <v>44274</v>
      </c>
      <c r="C156" s="21">
        <f t="shared" si="4"/>
        <v>44274.369421296338</v>
      </c>
      <c r="D156" t="s">
        <v>331</v>
      </c>
      <c r="E156" s="3">
        <v>1</v>
      </c>
      <c r="F156" s="3" t="s">
        <v>33</v>
      </c>
      <c r="G156" t="s">
        <v>34</v>
      </c>
      <c r="J156" t="s">
        <v>332</v>
      </c>
      <c r="L156" t="s">
        <v>318</v>
      </c>
      <c r="AB156" t="s">
        <v>106</v>
      </c>
      <c r="AC156" s="1">
        <v>44274.661087963003</v>
      </c>
      <c r="AD156" t="s">
        <v>38</v>
      </c>
      <c r="AE156" s="1">
        <v>44274.661087963003</v>
      </c>
      <c r="AF156" t="s">
        <v>38</v>
      </c>
      <c r="AG156">
        <v>-119.88085158853799</v>
      </c>
      <c r="AH156">
        <v>34.419009652799303</v>
      </c>
    </row>
    <row r="157" spans="1:34" x14ac:dyDescent="0.25">
      <c r="A157" s="2">
        <v>10</v>
      </c>
      <c r="B157" s="20">
        <v>44274</v>
      </c>
      <c r="C157" s="21">
        <f t="shared" si="4"/>
        <v>44274.339201388939</v>
      </c>
      <c r="D157" t="s">
        <v>58</v>
      </c>
      <c r="E157" s="3">
        <v>2</v>
      </c>
      <c r="F157" s="3" t="s">
        <v>33</v>
      </c>
      <c r="G157" t="s">
        <v>59</v>
      </c>
      <c r="L157" t="s">
        <v>318</v>
      </c>
      <c r="AB157" t="s">
        <v>60</v>
      </c>
      <c r="AC157" s="1">
        <v>44274.630868055603</v>
      </c>
      <c r="AD157" t="s">
        <v>38</v>
      </c>
      <c r="AE157" s="1">
        <v>44274.630868055603</v>
      </c>
      <c r="AF157" t="s">
        <v>38</v>
      </c>
      <c r="AG157">
        <v>-119.8754876285</v>
      </c>
      <c r="AH157">
        <v>34.417246555038901</v>
      </c>
    </row>
    <row r="158" spans="1:34" x14ac:dyDescent="0.25">
      <c r="A158" s="2">
        <v>104</v>
      </c>
      <c r="B158" s="20">
        <v>44274</v>
      </c>
      <c r="C158" s="21">
        <f t="shared" si="4"/>
        <v>44274.339236111133</v>
      </c>
      <c r="D158" t="s">
        <v>58</v>
      </c>
      <c r="E158" s="3">
        <v>1</v>
      </c>
      <c r="F158" s="3" t="s">
        <v>33</v>
      </c>
      <c r="G158" t="s">
        <v>62</v>
      </c>
      <c r="L158" t="s">
        <v>319</v>
      </c>
      <c r="AB158" t="s">
        <v>204</v>
      </c>
      <c r="AC158" s="1">
        <v>44274.630902777797</v>
      </c>
      <c r="AD158" t="s">
        <v>38</v>
      </c>
      <c r="AE158" s="1">
        <v>44274.630902777797</v>
      </c>
      <c r="AF158" t="s">
        <v>38</v>
      </c>
      <c r="AG158">
        <v>-119.873884675605</v>
      </c>
      <c r="AH158">
        <v>34.418985615563301</v>
      </c>
    </row>
    <row r="159" spans="1:34" x14ac:dyDescent="0.25">
      <c r="A159" s="2">
        <v>106</v>
      </c>
      <c r="B159" s="20">
        <v>44274</v>
      </c>
      <c r="C159" s="21">
        <f t="shared" si="4"/>
        <v>44274.340798611134</v>
      </c>
      <c r="D159" t="s">
        <v>58</v>
      </c>
      <c r="E159" s="3">
        <v>1</v>
      </c>
      <c r="F159" s="3" t="s">
        <v>33</v>
      </c>
      <c r="G159" t="s">
        <v>62</v>
      </c>
      <c r="L159" t="s">
        <v>319</v>
      </c>
      <c r="AB159" t="s">
        <v>206</v>
      </c>
      <c r="AC159" s="1">
        <v>44274.632465277798</v>
      </c>
      <c r="AD159" t="s">
        <v>38</v>
      </c>
      <c r="AE159" s="1">
        <v>44274.632465277798</v>
      </c>
      <c r="AF159" t="s">
        <v>38</v>
      </c>
      <c r="AG159">
        <v>-119.874079155475</v>
      </c>
      <c r="AH159">
        <v>34.419539832273401</v>
      </c>
    </row>
    <row r="160" spans="1:34" x14ac:dyDescent="0.25">
      <c r="A160" s="2">
        <v>114</v>
      </c>
      <c r="B160" s="20">
        <v>44274</v>
      </c>
      <c r="C160" s="21">
        <f t="shared" si="4"/>
        <v>44274.348159722234</v>
      </c>
      <c r="D160" t="s">
        <v>58</v>
      </c>
      <c r="E160" s="3">
        <v>1</v>
      </c>
      <c r="F160" s="3" t="s">
        <v>33</v>
      </c>
      <c r="G160" t="s">
        <v>62</v>
      </c>
      <c r="L160" t="s">
        <v>319</v>
      </c>
      <c r="AB160" t="s">
        <v>218</v>
      </c>
      <c r="AC160" s="1">
        <v>44274.639826388899</v>
      </c>
      <c r="AD160" t="s">
        <v>38</v>
      </c>
      <c r="AE160" s="1">
        <v>44274.639826388899</v>
      </c>
      <c r="AF160" t="s">
        <v>38</v>
      </c>
      <c r="AG160">
        <v>-119.87255626672599</v>
      </c>
      <c r="AH160">
        <v>34.420810716998901</v>
      </c>
    </row>
    <row r="161" spans="1:34" x14ac:dyDescent="0.25">
      <c r="A161" s="2">
        <v>134</v>
      </c>
      <c r="B161" s="20">
        <v>44274</v>
      </c>
      <c r="C161" s="21">
        <f t="shared" si="4"/>
        <v>44274.359016203736</v>
      </c>
      <c r="D161" t="s">
        <v>58</v>
      </c>
      <c r="E161" s="3">
        <v>1</v>
      </c>
      <c r="F161" s="3" t="s">
        <v>33</v>
      </c>
      <c r="G161" t="s">
        <v>65</v>
      </c>
      <c r="L161" t="s">
        <v>319</v>
      </c>
      <c r="AB161" t="s">
        <v>241</v>
      </c>
      <c r="AC161" s="1">
        <v>44274.6506828704</v>
      </c>
      <c r="AD161" t="s">
        <v>38</v>
      </c>
      <c r="AE161" s="1">
        <v>44274.6506828704</v>
      </c>
      <c r="AF161" t="s">
        <v>38</v>
      </c>
      <c r="AG161">
        <v>-119.872331490276</v>
      </c>
      <c r="AH161">
        <v>34.422282027107997</v>
      </c>
    </row>
    <row r="162" spans="1:34" x14ac:dyDescent="0.25">
      <c r="A162" s="2">
        <v>141</v>
      </c>
      <c r="B162" s="20">
        <v>44274</v>
      </c>
      <c r="C162" s="21">
        <f t="shared" ref="C162:C193" si="5">AC162-(7/24)</f>
        <v>44274.364641203734</v>
      </c>
      <c r="D162" t="s">
        <v>58</v>
      </c>
      <c r="E162" s="3">
        <v>1</v>
      </c>
      <c r="F162" s="3" t="s">
        <v>33</v>
      </c>
      <c r="G162" t="s">
        <v>42</v>
      </c>
      <c r="L162" t="s">
        <v>319</v>
      </c>
      <c r="AB162" t="s">
        <v>249</v>
      </c>
      <c r="AC162" s="1">
        <v>44274.656307870398</v>
      </c>
      <c r="AD162" t="s">
        <v>38</v>
      </c>
      <c r="AE162" s="1">
        <v>44274.656307870398</v>
      </c>
      <c r="AF162" t="s">
        <v>38</v>
      </c>
      <c r="AG162">
        <v>-119.872890621472</v>
      </c>
      <c r="AH162">
        <v>34.421733297297799</v>
      </c>
    </row>
    <row r="163" spans="1:34" x14ac:dyDescent="0.25">
      <c r="A163" s="2">
        <v>145</v>
      </c>
      <c r="B163" s="20">
        <v>44274</v>
      </c>
      <c r="C163" s="21">
        <f t="shared" si="5"/>
        <v>44274.367094907437</v>
      </c>
      <c r="D163" t="s">
        <v>58</v>
      </c>
      <c r="E163" s="3">
        <v>2</v>
      </c>
      <c r="F163" s="3" t="s">
        <v>33</v>
      </c>
      <c r="G163" t="s">
        <v>42</v>
      </c>
      <c r="L163" t="s">
        <v>319</v>
      </c>
      <c r="AB163" t="s">
        <v>254</v>
      </c>
      <c r="AC163" s="1">
        <v>44274.658761574101</v>
      </c>
      <c r="AD163" t="s">
        <v>38</v>
      </c>
      <c r="AE163" s="1">
        <v>44274.658761574101</v>
      </c>
      <c r="AF163" t="s">
        <v>38</v>
      </c>
      <c r="AG163">
        <v>-119.87390174359599</v>
      </c>
      <c r="AH163">
        <v>34.421649437560603</v>
      </c>
    </row>
    <row r="164" spans="1:34" x14ac:dyDescent="0.25">
      <c r="A164" s="2">
        <v>148</v>
      </c>
      <c r="B164" s="20">
        <v>44274</v>
      </c>
      <c r="C164" s="21">
        <f t="shared" si="5"/>
        <v>44274.370254629634</v>
      </c>
      <c r="D164" t="s">
        <v>58</v>
      </c>
      <c r="E164" s="3">
        <v>1</v>
      </c>
      <c r="F164" s="3" t="s">
        <v>33</v>
      </c>
      <c r="G164" t="s">
        <v>65</v>
      </c>
      <c r="L164" t="s">
        <v>319</v>
      </c>
      <c r="AB164" t="s">
        <v>257</v>
      </c>
      <c r="AC164" s="1">
        <v>44274.661921296298</v>
      </c>
      <c r="AD164" t="s">
        <v>38</v>
      </c>
      <c r="AE164" s="1">
        <v>44274.661921296298</v>
      </c>
      <c r="AF164" t="s">
        <v>38</v>
      </c>
      <c r="AG164">
        <v>-119.875674164567</v>
      </c>
      <c r="AH164">
        <v>34.420971267901699</v>
      </c>
    </row>
    <row r="165" spans="1:34" x14ac:dyDescent="0.25">
      <c r="A165" s="2">
        <v>42</v>
      </c>
      <c r="B165" s="20">
        <v>44274</v>
      </c>
      <c r="C165" s="21">
        <f t="shared" si="5"/>
        <v>44274.372430555537</v>
      </c>
      <c r="D165" t="s">
        <v>58</v>
      </c>
      <c r="E165" s="3">
        <v>1</v>
      </c>
      <c r="F165" s="3" t="s">
        <v>33</v>
      </c>
      <c r="G165" t="s">
        <v>65</v>
      </c>
      <c r="L165" t="s">
        <v>318</v>
      </c>
      <c r="AB165" t="s">
        <v>114</v>
      </c>
      <c r="AC165" s="1">
        <v>44274.664097222201</v>
      </c>
      <c r="AD165" t="s">
        <v>38</v>
      </c>
      <c r="AE165" s="1">
        <v>44274.664097222201</v>
      </c>
      <c r="AF165" t="s">
        <v>38</v>
      </c>
      <c r="AG165">
        <v>-119.877839240946</v>
      </c>
      <c r="AH165">
        <v>34.4194723858459</v>
      </c>
    </row>
    <row r="166" spans="1:34" x14ac:dyDescent="0.25">
      <c r="A166" s="2">
        <v>44</v>
      </c>
      <c r="B166" s="20">
        <v>44274</v>
      </c>
      <c r="C166" s="21">
        <f t="shared" si="5"/>
        <v>44274.375798611138</v>
      </c>
      <c r="D166" t="s">
        <v>58</v>
      </c>
      <c r="E166" s="3">
        <v>1</v>
      </c>
      <c r="F166" s="3" t="s">
        <v>33</v>
      </c>
      <c r="G166" t="s">
        <v>62</v>
      </c>
      <c r="L166" t="s">
        <v>318</v>
      </c>
      <c r="AB166" t="s">
        <v>116</v>
      </c>
      <c r="AC166" s="1">
        <v>44274.667465277802</v>
      </c>
      <c r="AD166" t="s">
        <v>38</v>
      </c>
      <c r="AE166" s="1">
        <v>44274.667465277802</v>
      </c>
      <c r="AF166" t="s">
        <v>38</v>
      </c>
      <c r="AG166">
        <v>-119.877421701307</v>
      </c>
      <c r="AH166">
        <v>34.420021341688901</v>
      </c>
    </row>
    <row r="167" spans="1:34" x14ac:dyDescent="0.25">
      <c r="A167" s="2">
        <v>158</v>
      </c>
      <c r="B167" s="20">
        <v>44274</v>
      </c>
      <c r="C167" s="21">
        <f t="shared" si="5"/>
        <v>44274.377488425933</v>
      </c>
      <c r="D167" t="s">
        <v>58</v>
      </c>
      <c r="E167" s="3">
        <v>1</v>
      </c>
      <c r="F167" s="3" t="s">
        <v>33</v>
      </c>
      <c r="G167" t="s">
        <v>62</v>
      </c>
      <c r="L167" t="s">
        <v>319</v>
      </c>
      <c r="AB167" t="s">
        <v>268</v>
      </c>
      <c r="AC167" s="1">
        <v>44274.669155092597</v>
      </c>
      <c r="AD167" t="s">
        <v>38</v>
      </c>
      <c r="AE167" s="1">
        <v>44274.669155092597</v>
      </c>
      <c r="AF167" t="s">
        <v>38</v>
      </c>
      <c r="AG167">
        <v>-119.87823218291599</v>
      </c>
      <c r="AH167">
        <v>34.421368690453797</v>
      </c>
    </row>
    <row r="168" spans="1:34" x14ac:dyDescent="0.25">
      <c r="A168" s="2">
        <v>161</v>
      </c>
      <c r="B168" s="20">
        <v>44274</v>
      </c>
      <c r="C168" s="21">
        <f t="shared" si="5"/>
        <v>44274.379594907434</v>
      </c>
      <c r="D168" t="s">
        <v>58</v>
      </c>
      <c r="E168" s="3">
        <v>1</v>
      </c>
      <c r="F168" s="3" t="s">
        <v>33</v>
      </c>
      <c r="G168" t="s">
        <v>62</v>
      </c>
      <c r="L168" t="s">
        <v>319</v>
      </c>
      <c r="AB168" t="s">
        <v>272</v>
      </c>
      <c r="AC168" s="1">
        <v>44274.671261574098</v>
      </c>
      <c r="AD168" t="s">
        <v>38</v>
      </c>
      <c r="AE168" s="1">
        <v>44274.671261574098</v>
      </c>
      <c r="AF168" t="s">
        <v>38</v>
      </c>
      <c r="AG168">
        <v>-119.878704383243</v>
      </c>
      <c r="AH168">
        <v>34.421361567002002</v>
      </c>
    </row>
    <row r="169" spans="1:34" x14ac:dyDescent="0.25">
      <c r="A169" s="2">
        <v>165</v>
      </c>
      <c r="B169" s="20">
        <v>44274</v>
      </c>
      <c r="C169" s="21">
        <f t="shared" si="5"/>
        <v>44274.385740740734</v>
      </c>
      <c r="D169" t="s">
        <v>58</v>
      </c>
      <c r="E169" s="3">
        <v>2</v>
      </c>
      <c r="F169" s="3" t="s">
        <v>33</v>
      </c>
      <c r="G169" t="s">
        <v>42</v>
      </c>
      <c r="L169" t="s">
        <v>319</v>
      </c>
      <c r="AB169" t="s">
        <v>277</v>
      </c>
      <c r="AC169" s="1">
        <v>44274.677407407398</v>
      </c>
      <c r="AD169" t="s">
        <v>38</v>
      </c>
      <c r="AE169" s="1">
        <v>44274.677407407398</v>
      </c>
      <c r="AF169" t="s">
        <v>38</v>
      </c>
      <c r="AG169">
        <v>-119.878992650821</v>
      </c>
      <c r="AH169">
        <v>34.421211909162899</v>
      </c>
    </row>
    <row r="170" spans="1:34" x14ac:dyDescent="0.25">
      <c r="A170" s="2">
        <v>64</v>
      </c>
      <c r="B170" s="20">
        <v>44274</v>
      </c>
      <c r="C170" s="21">
        <f t="shared" si="5"/>
        <v>44274.395081018534</v>
      </c>
      <c r="D170" t="s">
        <v>58</v>
      </c>
      <c r="E170" s="3">
        <v>1</v>
      </c>
      <c r="F170" s="3" t="s">
        <v>33</v>
      </c>
      <c r="G170" t="s">
        <v>42</v>
      </c>
      <c r="L170" t="s">
        <v>318</v>
      </c>
      <c r="AB170" t="s">
        <v>144</v>
      </c>
      <c r="AC170" s="1">
        <v>44274.686747685198</v>
      </c>
      <c r="AD170" t="s">
        <v>38</v>
      </c>
      <c r="AE170" s="1">
        <v>44274.686747685198</v>
      </c>
      <c r="AF170" t="s">
        <v>38</v>
      </c>
      <c r="AG170">
        <v>-119.881008428098</v>
      </c>
      <c r="AH170">
        <v>34.421341582355801</v>
      </c>
    </row>
    <row r="171" spans="1:34" x14ac:dyDescent="0.25">
      <c r="A171" s="2">
        <v>66</v>
      </c>
      <c r="B171" s="20">
        <v>44274</v>
      </c>
      <c r="C171" s="21">
        <f t="shared" si="5"/>
        <v>44274.396053240736</v>
      </c>
      <c r="D171" t="s">
        <v>58</v>
      </c>
      <c r="E171" s="3">
        <v>1</v>
      </c>
      <c r="F171" s="3" t="s">
        <v>33</v>
      </c>
      <c r="G171" t="s">
        <v>42</v>
      </c>
      <c r="L171" t="s">
        <v>318</v>
      </c>
      <c r="AB171" t="s">
        <v>146</v>
      </c>
      <c r="AC171" s="1">
        <v>44274.687719907401</v>
      </c>
      <c r="AD171" t="s">
        <v>38</v>
      </c>
      <c r="AE171" s="1">
        <v>44274.687719907401</v>
      </c>
      <c r="AF171" t="s">
        <v>38</v>
      </c>
      <c r="AG171">
        <v>-119.881375499486</v>
      </c>
      <c r="AH171">
        <v>34.421246296380303</v>
      </c>
    </row>
    <row r="172" spans="1:34" x14ac:dyDescent="0.25">
      <c r="A172" s="2">
        <v>69</v>
      </c>
      <c r="B172" s="20">
        <v>44274</v>
      </c>
      <c r="C172" s="21">
        <f t="shared" si="5"/>
        <v>44274.397233796335</v>
      </c>
      <c r="D172" t="s">
        <v>58</v>
      </c>
      <c r="E172" s="3">
        <v>1</v>
      </c>
      <c r="F172" s="3" t="s">
        <v>33</v>
      </c>
      <c r="G172" t="s">
        <v>62</v>
      </c>
      <c r="L172" t="s">
        <v>318</v>
      </c>
      <c r="AB172" t="s">
        <v>150</v>
      </c>
      <c r="AC172" s="1">
        <v>44274.688900462999</v>
      </c>
      <c r="AD172" t="s">
        <v>38</v>
      </c>
      <c r="AE172" s="1">
        <v>44274.688900462999</v>
      </c>
      <c r="AF172" t="s">
        <v>38</v>
      </c>
      <c r="AG172">
        <v>-119.881496145025</v>
      </c>
      <c r="AH172">
        <v>34.421002786706502</v>
      </c>
    </row>
    <row r="173" spans="1:34" x14ac:dyDescent="0.25">
      <c r="A173" s="2">
        <v>183</v>
      </c>
      <c r="B173" s="20">
        <v>44274</v>
      </c>
      <c r="C173" s="21">
        <f t="shared" si="5"/>
        <v>44274.402407407433</v>
      </c>
      <c r="D173" t="s">
        <v>58</v>
      </c>
      <c r="E173" s="3">
        <v>1</v>
      </c>
      <c r="F173" s="3" t="s">
        <v>33</v>
      </c>
      <c r="G173" t="s">
        <v>65</v>
      </c>
      <c r="L173" t="s">
        <v>319</v>
      </c>
      <c r="AB173" t="s">
        <v>298</v>
      </c>
      <c r="AC173" s="1">
        <v>44274.694074074097</v>
      </c>
      <c r="AD173" t="s">
        <v>38</v>
      </c>
      <c r="AE173" s="1">
        <v>44274.694074074097</v>
      </c>
      <c r="AF173" t="s">
        <v>38</v>
      </c>
      <c r="AG173">
        <v>-119.882349036997</v>
      </c>
      <c r="AH173">
        <v>34.421813510397399</v>
      </c>
    </row>
    <row r="174" spans="1:34" x14ac:dyDescent="0.25">
      <c r="A174" s="2">
        <v>187</v>
      </c>
      <c r="B174" s="20">
        <v>44274</v>
      </c>
      <c r="C174" s="21">
        <f t="shared" si="5"/>
        <v>44274.405115740738</v>
      </c>
      <c r="D174" t="s">
        <v>58</v>
      </c>
      <c r="E174" s="3">
        <v>2</v>
      </c>
      <c r="F174" s="3" t="s">
        <v>33</v>
      </c>
      <c r="G174" t="s">
        <v>62</v>
      </c>
      <c r="L174" t="s">
        <v>319</v>
      </c>
      <c r="AB174" t="s">
        <v>302</v>
      </c>
      <c r="AC174" s="1">
        <v>44274.696782407402</v>
      </c>
      <c r="AD174" t="s">
        <v>38</v>
      </c>
      <c r="AE174" s="1">
        <v>44274.696782407402</v>
      </c>
      <c r="AF174" t="s">
        <v>38</v>
      </c>
      <c r="AG174">
        <v>-119.88344519813801</v>
      </c>
      <c r="AH174">
        <v>34.421489010969601</v>
      </c>
    </row>
    <row r="175" spans="1:34" x14ac:dyDescent="0.25">
      <c r="A175" s="2">
        <v>76</v>
      </c>
      <c r="B175" s="20">
        <v>44274</v>
      </c>
      <c r="C175" s="21">
        <f t="shared" si="5"/>
        <v>44274.405613425937</v>
      </c>
      <c r="D175" t="s">
        <v>58</v>
      </c>
      <c r="E175" s="3">
        <v>2</v>
      </c>
      <c r="F175" s="3" t="s">
        <v>33</v>
      </c>
      <c r="G175" t="s">
        <v>45</v>
      </c>
      <c r="L175" t="s">
        <v>318</v>
      </c>
      <c r="AB175" t="s">
        <v>160</v>
      </c>
      <c r="AC175" s="1">
        <v>44274.697280092601</v>
      </c>
      <c r="AD175" t="s">
        <v>38</v>
      </c>
      <c r="AE175" s="1">
        <v>44274.697280092601</v>
      </c>
      <c r="AF175" t="s">
        <v>38</v>
      </c>
      <c r="AG175">
        <v>-119.883055712885</v>
      </c>
      <c r="AH175">
        <v>34.4208801653431</v>
      </c>
    </row>
    <row r="176" spans="1:34" x14ac:dyDescent="0.25">
      <c r="A176" s="2">
        <v>78</v>
      </c>
      <c r="B176" s="20">
        <v>44274</v>
      </c>
      <c r="C176" s="21">
        <f t="shared" si="5"/>
        <v>44274.407881944433</v>
      </c>
      <c r="D176" t="s">
        <v>58</v>
      </c>
      <c r="E176" s="3">
        <v>1</v>
      </c>
      <c r="F176" s="3" t="s">
        <v>72</v>
      </c>
      <c r="G176" t="s">
        <v>62</v>
      </c>
      <c r="J176" t="s">
        <v>338</v>
      </c>
      <c r="L176" t="s">
        <v>318</v>
      </c>
      <c r="AB176" t="s">
        <v>162</v>
      </c>
      <c r="AC176" s="1">
        <v>44274.699548611097</v>
      </c>
      <c r="AD176" t="s">
        <v>38</v>
      </c>
      <c r="AE176" s="1">
        <v>44274.699548611097</v>
      </c>
      <c r="AF176" t="s">
        <v>38</v>
      </c>
      <c r="AG176">
        <v>-119.883195805154</v>
      </c>
      <c r="AH176">
        <v>34.421475313183002</v>
      </c>
    </row>
    <row r="177" spans="1:34" x14ac:dyDescent="0.25">
      <c r="A177" s="2">
        <v>85</v>
      </c>
      <c r="B177" s="20">
        <v>44274</v>
      </c>
      <c r="C177" s="21">
        <f t="shared" si="5"/>
        <v>44274.412303240737</v>
      </c>
      <c r="D177" t="s">
        <v>58</v>
      </c>
      <c r="E177" s="3">
        <v>2</v>
      </c>
      <c r="F177" s="3" t="s">
        <v>33</v>
      </c>
      <c r="G177" t="s">
        <v>42</v>
      </c>
      <c r="L177" t="s">
        <v>318</v>
      </c>
      <c r="AB177" t="s">
        <v>173</v>
      </c>
      <c r="AC177" s="1">
        <v>44274.703969907401</v>
      </c>
      <c r="AD177" t="s">
        <v>38</v>
      </c>
      <c r="AE177" s="1">
        <v>44274.703969907401</v>
      </c>
      <c r="AF177" t="s">
        <v>38</v>
      </c>
      <c r="AG177">
        <v>-119.883906186592</v>
      </c>
      <c r="AH177">
        <v>34.421215297866098</v>
      </c>
    </row>
    <row r="178" spans="1:34" x14ac:dyDescent="0.25">
      <c r="A178" s="2">
        <v>94</v>
      </c>
      <c r="B178" s="20">
        <v>44274</v>
      </c>
      <c r="C178" s="21">
        <f t="shared" si="5"/>
        <v>44274.417777777737</v>
      </c>
      <c r="D178" t="s">
        <v>58</v>
      </c>
      <c r="E178" s="3">
        <v>1</v>
      </c>
      <c r="F178" s="3" t="s">
        <v>33</v>
      </c>
      <c r="G178" t="s">
        <v>65</v>
      </c>
      <c r="L178" t="s">
        <v>318</v>
      </c>
      <c r="AB178" t="s">
        <v>186</v>
      </c>
      <c r="AC178" s="1">
        <v>44274.709444444401</v>
      </c>
      <c r="AD178" t="s">
        <v>38</v>
      </c>
      <c r="AE178" s="1">
        <v>44274.709444444401</v>
      </c>
      <c r="AF178" t="s">
        <v>38</v>
      </c>
      <c r="AG178">
        <v>-119.884320626145</v>
      </c>
      <c r="AH178">
        <v>34.421373232923102</v>
      </c>
    </row>
    <row r="179" spans="1:34" x14ac:dyDescent="0.25">
      <c r="A179" s="2">
        <v>86</v>
      </c>
      <c r="B179" s="20">
        <v>44274</v>
      </c>
      <c r="C179" s="21">
        <f t="shared" si="5"/>
        <v>44274.412488425936</v>
      </c>
      <c r="D179" t="s">
        <v>174</v>
      </c>
      <c r="E179" s="3">
        <v>1</v>
      </c>
      <c r="F179" s="3" t="s">
        <v>33</v>
      </c>
      <c r="G179" t="s">
        <v>62</v>
      </c>
      <c r="L179" t="s">
        <v>318</v>
      </c>
      <c r="AB179" t="s">
        <v>175</v>
      </c>
      <c r="AC179" s="1">
        <v>44274.704155092601</v>
      </c>
      <c r="AD179" t="s">
        <v>38</v>
      </c>
      <c r="AE179" s="1">
        <v>44274.704155092601</v>
      </c>
      <c r="AF179" t="s">
        <v>38</v>
      </c>
      <c r="AG179">
        <v>-119.88426575614901</v>
      </c>
      <c r="AH179">
        <v>34.4207761584249</v>
      </c>
    </row>
    <row r="180" spans="1:34" x14ac:dyDescent="0.25">
      <c r="A180" s="2">
        <v>53</v>
      </c>
      <c r="B180" s="20">
        <v>44274</v>
      </c>
      <c r="C180" s="21">
        <f t="shared" si="5"/>
        <v>44274.386631944435</v>
      </c>
      <c r="D180" t="s">
        <v>128</v>
      </c>
      <c r="E180" s="3">
        <v>2</v>
      </c>
      <c r="F180" s="3" t="s">
        <v>33</v>
      </c>
      <c r="G180" t="s">
        <v>52</v>
      </c>
      <c r="L180" t="s">
        <v>318</v>
      </c>
      <c r="AB180" t="s">
        <v>129</v>
      </c>
      <c r="AC180" s="1">
        <v>44274.678298611099</v>
      </c>
      <c r="AD180" t="s">
        <v>38</v>
      </c>
      <c r="AE180" s="1">
        <v>44274.678298611099</v>
      </c>
      <c r="AF180" t="s">
        <v>38</v>
      </c>
      <c r="AG180">
        <v>-119.87941607173001</v>
      </c>
      <c r="AH180">
        <v>34.420858389518997</v>
      </c>
    </row>
    <row r="181" spans="1:34" x14ac:dyDescent="0.25">
      <c r="A181" s="2">
        <v>170</v>
      </c>
      <c r="B181" s="20">
        <v>44274</v>
      </c>
      <c r="C181" s="21">
        <f t="shared" si="5"/>
        <v>44274.391446759233</v>
      </c>
      <c r="D181" t="s">
        <v>128</v>
      </c>
      <c r="E181" s="3">
        <v>1</v>
      </c>
      <c r="F181" s="3" t="s">
        <v>33</v>
      </c>
      <c r="G181" t="s">
        <v>52</v>
      </c>
      <c r="L181" t="s">
        <v>319</v>
      </c>
      <c r="AB181" t="s">
        <v>282</v>
      </c>
      <c r="AC181" s="1">
        <v>44274.683113425897</v>
      </c>
      <c r="AD181" t="s">
        <v>38</v>
      </c>
      <c r="AE181" s="1">
        <v>44274.683113425897</v>
      </c>
      <c r="AF181" t="s">
        <v>38</v>
      </c>
      <c r="AG181">
        <v>-119.878692090697</v>
      </c>
      <c r="AH181">
        <v>34.421095234833302</v>
      </c>
    </row>
    <row r="182" spans="1:34" x14ac:dyDescent="0.25">
      <c r="A182" s="2">
        <v>62</v>
      </c>
      <c r="B182" s="20">
        <v>44274</v>
      </c>
      <c r="C182" s="21">
        <f t="shared" si="5"/>
        <v>44274.393425925933</v>
      </c>
      <c r="D182" t="s">
        <v>128</v>
      </c>
      <c r="E182" s="3">
        <v>3</v>
      </c>
      <c r="F182" s="3" t="s">
        <v>33</v>
      </c>
      <c r="G182" t="s">
        <v>52</v>
      </c>
      <c r="L182" t="s">
        <v>318</v>
      </c>
      <c r="AB182" t="s">
        <v>142</v>
      </c>
      <c r="AC182" s="1">
        <v>44274.685092592597</v>
      </c>
      <c r="AD182" t="s">
        <v>38</v>
      </c>
      <c r="AE182" s="1">
        <v>44274.685092592597</v>
      </c>
      <c r="AF182" t="s">
        <v>38</v>
      </c>
      <c r="AG182">
        <v>-119.880909380753</v>
      </c>
      <c r="AH182">
        <v>34.420663989684499</v>
      </c>
    </row>
    <row r="183" spans="1:34" x14ac:dyDescent="0.25">
      <c r="A183" s="2">
        <v>79</v>
      </c>
      <c r="B183" s="20">
        <v>44274</v>
      </c>
      <c r="C183" s="21">
        <f t="shared" si="5"/>
        <v>44274.408541666635</v>
      </c>
      <c r="D183" t="s">
        <v>163</v>
      </c>
      <c r="E183" s="3">
        <v>1</v>
      </c>
      <c r="F183" s="3" t="s">
        <v>33</v>
      </c>
      <c r="G183" t="s">
        <v>52</v>
      </c>
      <c r="L183" t="s">
        <v>318</v>
      </c>
      <c r="AB183" t="s">
        <v>164</v>
      </c>
      <c r="AC183" s="1">
        <v>44274.700208333299</v>
      </c>
      <c r="AD183" t="s">
        <v>38</v>
      </c>
      <c r="AE183" s="1">
        <v>44274.700208333299</v>
      </c>
      <c r="AF183" t="s">
        <v>38</v>
      </c>
      <c r="AG183">
        <v>-119.88347598969099</v>
      </c>
      <c r="AH183">
        <v>34.420242639545101</v>
      </c>
    </row>
    <row r="184" spans="1:34" x14ac:dyDescent="0.25">
      <c r="A184" s="2">
        <v>196</v>
      </c>
      <c r="B184" s="20">
        <v>44274</v>
      </c>
      <c r="C184" s="21">
        <f t="shared" si="5"/>
        <v>44274.410289351836</v>
      </c>
      <c r="D184" t="s">
        <v>163</v>
      </c>
      <c r="E184" s="3">
        <v>1</v>
      </c>
      <c r="F184" s="3" t="s">
        <v>72</v>
      </c>
      <c r="G184" t="s">
        <v>52</v>
      </c>
      <c r="J184" t="s">
        <v>338</v>
      </c>
      <c r="L184" t="s">
        <v>319</v>
      </c>
      <c r="AB184" t="s">
        <v>312</v>
      </c>
      <c r="AC184" s="1">
        <v>44274.7019560185</v>
      </c>
      <c r="AD184" t="s">
        <v>38</v>
      </c>
      <c r="AE184" s="1">
        <v>44274.7206365741</v>
      </c>
      <c r="AF184" t="s">
        <v>38</v>
      </c>
      <c r="AG184">
        <v>-119.883740751951</v>
      </c>
      <c r="AH184">
        <v>34.4213909996813</v>
      </c>
    </row>
    <row r="185" spans="1:34" x14ac:dyDescent="0.25">
      <c r="A185" s="2">
        <v>111</v>
      </c>
      <c r="B185" s="20">
        <v>44274</v>
      </c>
      <c r="C185" s="21">
        <f t="shared" si="5"/>
        <v>44274.345439814839</v>
      </c>
      <c r="D185" t="s">
        <v>213</v>
      </c>
      <c r="E185" s="3">
        <v>1</v>
      </c>
      <c r="F185" s="3" t="s">
        <v>33</v>
      </c>
      <c r="G185" t="s">
        <v>59</v>
      </c>
      <c r="L185" t="s">
        <v>319</v>
      </c>
      <c r="AB185" t="s">
        <v>214</v>
      </c>
      <c r="AC185" s="1">
        <v>44274.637106481503</v>
      </c>
      <c r="AD185" t="s">
        <v>38</v>
      </c>
      <c r="AE185" s="1">
        <v>44274.637106481503</v>
      </c>
      <c r="AF185" t="s">
        <v>38</v>
      </c>
      <c r="AG185">
        <v>-119.87394655605399</v>
      </c>
      <c r="AH185">
        <v>34.419784124296399</v>
      </c>
    </row>
    <row r="186" spans="1:34" x14ac:dyDescent="0.25">
      <c r="A186" s="2">
        <v>120</v>
      </c>
      <c r="B186" s="20">
        <v>44274</v>
      </c>
      <c r="C186" s="21">
        <f t="shared" si="5"/>
        <v>44274.352280092637</v>
      </c>
      <c r="D186" t="s">
        <v>213</v>
      </c>
      <c r="E186" s="3">
        <v>2</v>
      </c>
      <c r="F186" s="3" t="s">
        <v>33</v>
      </c>
      <c r="G186" t="s">
        <v>62</v>
      </c>
      <c r="L186" t="s">
        <v>319</v>
      </c>
      <c r="AB186" t="s">
        <v>226</v>
      </c>
      <c r="AC186" s="1">
        <v>44274.643946759301</v>
      </c>
      <c r="AD186" t="s">
        <v>38</v>
      </c>
      <c r="AE186" s="1">
        <v>44274.643946759301</v>
      </c>
      <c r="AF186" t="s">
        <v>38</v>
      </c>
      <c r="AG186">
        <v>-119.87108426664</v>
      </c>
      <c r="AH186">
        <v>34.4208783335242</v>
      </c>
    </row>
    <row r="187" spans="1:34" x14ac:dyDescent="0.25">
      <c r="A187" s="2">
        <v>125</v>
      </c>
      <c r="B187" s="20">
        <v>44274</v>
      </c>
      <c r="C187" s="21">
        <f t="shared" si="5"/>
        <v>44274.353587962934</v>
      </c>
      <c r="D187" t="s">
        <v>213</v>
      </c>
      <c r="E187" s="3">
        <v>2</v>
      </c>
      <c r="F187" s="3" t="s">
        <v>33</v>
      </c>
      <c r="G187" t="s">
        <v>45</v>
      </c>
      <c r="L187" t="s">
        <v>319</v>
      </c>
      <c r="AB187" t="s">
        <v>231</v>
      </c>
      <c r="AC187" s="1">
        <v>44274.645254629599</v>
      </c>
      <c r="AD187" t="s">
        <v>38</v>
      </c>
      <c r="AE187" s="1">
        <v>44274.645254629599</v>
      </c>
      <c r="AF187" t="s">
        <v>38</v>
      </c>
      <c r="AG187">
        <v>-119.87057878463</v>
      </c>
      <c r="AH187">
        <v>34.420916841728499</v>
      </c>
    </row>
    <row r="188" spans="1:34" x14ac:dyDescent="0.25">
      <c r="A188" s="2">
        <v>193</v>
      </c>
      <c r="B188" s="20">
        <v>44274</v>
      </c>
      <c r="C188" s="21">
        <f t="shared" si="5"/>
        <v>44274.408726851834</v>
      </c>
      <c r="D188" t="s">
        <v>213</v>
      </c>
      <c r="E188" s="3">
        <v>1</v>
      </c>
      <c r="F188" s="3" t="s">
        <v>33</v>
      </c>
      <c r="G188" t="s">
        <v>62</v>
      </c>
      <c r="L188" t="s">
        <v>319</v>
      </c>
      <c r="AB188" t="s">
        <v>308</v>
      </c>
      <c r="AC188" s="1">
        <v>44274.700393518498</v>
      </c>
      <c r="AD188" t="s">
        <v>38</v>
      </c>
      <c r="AE188" s="1">
        <v>44274.700393518498</v>
      </c>
      <c r="AF188" t="s">
        <v>38</v>
      </c>
      <c r="AG188">
        <v>-119.88367272792399</v>
      </c>
      <c r="AH188">
        <v>34.421759438238702</v>
      </c>
    </row>
    <row r="189" spans="1:34" x14ac:dyDescent="0.25">
      <c r="A189" s="2">
        <v>67</v>
      </c>
      <c r="B189" s="20">
        <v>44274</v>
      </c>
      <c r="C189" s="21">
        <f t="shared" si="5"/>
        <v>44274.396400462938</v>
      </c>
      <c r="D189" t="s">
        <v>147</v>
      </c>
      <c r="E189" s="3">
        <v>22</v>
      </c>
      <c r="F189" s="3" t="s">
        <v>33</v>
      </c>
      <c r="G189" t="s">
        <v>52</v>
      </c>
      <c r="L189" t="s">
        <v>318</v>
      </c>
      <c r="AB189" t="s">
        <v>148</v>
      </c>
      <c r="AC189" s="1">
        <v>44274.688067129602</v>
      </c>
      <c r="AD189" t="s">
        <v>38</v>
      </c>
      <c r="AE189" s="1">
        <v>44274.688067129602</v>
      </c>
      <c r="AF189" t="s">
        <v>38</v>
      </c>
      <c r="AG189">
        <v>-119.88126512169001</v>
      </c>
      <c r="AH189">
        <v>34.420877855561699</v>
      </c>
    </row>
    <row r="190" spans="1:34" x14ac:dyDescent="0.25">
      <c r="A190" s="2">
        <v>180</v>
      </c>
      <c r="B190" s="20">
        <v>44274</v>
      </c>
      <c r="C190" s="21">
        <f t="shared" si="5"/>
        <v>44274.400439814839</v>
      </c>
      <c r="D190" t="s">
        <v>294</v>
      </c>
      <c r="E190" s="3">
        <v>3</v>
      </c>
      <c r="F190" s="3" t="s">
        <v>33</v>
      </c>
      <c r="G190" t="s">
        <v>196</v>
      </c>
      <c r="L190" t="s">
        <v>319</v>
      </c>
      <c r="AB190" t="s">
        <v>295</v>
      </c>
      <c r="AC190" s="1">
        <v>44274.692106481503</v>
      </c>
      <c r="AD190" t="s">
        <v>38</v>
      </c>
      <c r="AE190" s="1">
        <v>44274.720486111102</v>
      </c>
      <c r="AF190" t="s">
        <v>38</v>
      </c>
      <c r="AG190">
        <v>-119.882004277066</v>
      </c>
      <c r="AH190">
        <v>34.421241078090397</v>
      </c>
    </row>
    <row r="191" spans="1:34" x14ac:dyDescent="0.25">
      <c r="A191" s="2">
        <v>23</v>
      </c>
      <c r="B191" s="20">
        <v>44274</v>
      </c>
      <c r="C191" s="21">
        <f t="shared" si="5"/>
        <v>44274.351562500036</v>
      </c>
      <c r="D191" t="s">
        <v>84</v>
      </c>
      <c r="E191" s="3">
        <v>2</v>
      </c>
      <c r="F191" s="3" t="s">
        <v>33</v>
      </c>
      <c r="G191" t="s">
        <v>62</v>
      </c>
      <c r="L191" t="s">
        <v>318</v>
      </c>
      <c r="AB191" t="s">
        <v>85</v>
      </c>
      <c r="AC191" s="1">
        <v>44274.643229166701</v>
      </c>
      <c r="AD191" t="s">
        <v>38</v>
      </c>
      <c r="AE191" s="1">
        <v>44274.643229166701</v>
      </c>
      <c r="AF191" t="s">
        <v>38</v>
      </c>
      <c r="AG191">
        <v>-119.879313348479</v>
      </c>
      <c r="AH191">
        <v>34.417681952901901</v>
      </c>
    </row>
    <row r="192" spans="1:34" x14ac:dyDescent="0.25">
      <c r="A192" s="2">
        <v>194</v>
      </c>
      <c r="B192" s="20">
        <v>44274</v>
      </c>
      <c r="C192" s="21">
        <f t="shared" si="5"/>
        <v>44274.409803240735</v>
      </c>
      <c r="D192" t="s">
        <v>84</v>
      </c>
      <c r="E192" s="3">
        <v>1</v>
      </c>
      <c r="F192" s="3" t="s">
        <v>33</v>
      </c>
      <c r="G192" t="s">
        <v>42</v>
      </c>
      <c r="L192" t="s">
        <v>319</v>
      </c>
      <c r="AB192" t="s">
        <v>309</v>
      </c>
      <c r="AC192" s="1">
        <v>44274.701469907399</v>
      </c>
      <c r="AD192" t="s">
        <v>38</v>
      </c>
      <c r="AE192" s="1">
        <v>44274.701469907399</v>
      </c>
      <c r="AF192" t="s">
        <v>38</v>
      </c>
      <c r="AG192">
        <v>-119.883870381541</v>
      </c>
      <c r="AH192">
        <v>34.421276656120597</v>
      </c>
    </row>
    <row r="193" spans="1:34" x14ac:dyDescent="0.25">
      <c r="A193" s="2">
        <v>90</v>
      </c>
      <c r="B193" s="20">
        <v>44274</v>
      </c>
      <c r="C193" s="21">
        <f t="shared" si="5"/>
        <v>44274.416423611139</v>
      </c>
      <c r="D193" t="s">
        <v>84</v>
      </c>
      <c r="E193" s="3">
        <v>2</v>
      </c>
      <c r="F193" s="3" t="s">
        <v>33</v>
      </c>
      <c r="G193" t="s">
        <v>62</v>
      </c>
      <c r="L193" t="s">
        <v>318</v>
      </c>
      <c r="AB193" t="s">
        <v>181</v>
      </c>
      <c r="AC193" s="1">
        <v>44274.708090277803</v>
      </c>
      <c r="AD193" t="s">
        <v>38</v>
      </c>
      <c r="AE193" s="1">
        <v>44274.708090277803</v>
      </c>
      <c r="AF193" t="s">
        <v>38</v>
      </c>
      <c r="AG193">
        <v>-119.884131501133</v>
      </c>
      <c r="AH193">
        <v>34.421587023625101</v>
      </c>
    </row>
    <row r="194" spans="1:34" x14ac:dyDescent="0.25">
      <c r="A194" s="2">
        <v>8</v>
      </c>
      <c r="B194" s="20">
        <v>44274</v>
      </c>
      <c r="C194" s="21">
        <f t="shared" ref="C194:C200" si="6">AC194-(7/24)</f>
        <v>44274.338368055534</v>
      </c>
      <c r="D194" t="s">
        <v>54</v>
      </c>
      <c r="E194" s="3">
        <v>2</v>
      </c>
      <c r="F194" s="3" t="s">
        <v>33</v>
      </c>
      <c r="G194" t="s">
        <v>52</v>
      </c>
      <c r="L194" t="s">
        <v>318</v>
      </c>
      <c r="AB194" t="s">
        <v>55</v>
      </c>
      <c r="AC194" s="1">
        <v>44274.630034722199</v>
      </c>
      <c r="AD194" t="s">
        <v>38</v>
      </c>
      <c r="AE194" s="1">
        <v>44274.630034722199</v>
      </c>
      <c r="AF194" t="s">
        <v>38</v>
      </c>
      <c r="AG194">
        <v>-119.876280809455</v>
      </c>
      <c r="AH194">
        <v>34.416829392470298</v>
      </c>
    </row>
    <row r="195" spans="1:34" x14ac:dyDescent="0.25">
      <c r="A195" s="2">
        <v>119</v>
      </c>
      <c r="B195" s="20">
        <v>44274</v>
      </c>
      <c r="C195" s="21">
        <f t="shared" si="6"/>
        <v>44274.351747685134</v>
      </c>
      <c r="D195" t="s">
        <v>224</v>
      </c>
      <c r="E195" s="3">
        <v>3</v>
      </c>
      <c r="F195" s="3" t="s">
        <v>33</v>
      </c>
      <c r="G195" t="s">
        <v>196</v>
      </c>
      <c r="L195" t="s">
        <v>319</v>
      </c>
      <c r="AB195" t="s">
        <v>225</v>
      </c>
      <c r="AC195" s="1">
        <v>44274.643414351798</v>
      </c>
      <c r="AD195" t="s">
        <v>38</v>
      </c>
      <c r="AE195" s="1">
        <v>44274.643541666701</v>
      </c>
      <c r="AF195" t="s">
        <v>38</v>
      </c>
      <c r="AG195">
        <v>-119.87140532542099</v>
      </c>
      <c r="AH195">
        <v>34.421055393606103</v>
      </c>
    </row>
    <row r="196" spans="1:34" x14ac:dyDescent="0.25">
      <c r="A196" s="2">
        <v>15</v>
      </c>
      <c r="B196" s="20">
        <v>44274</v>
      </c>
      <c r="C196" s="21">
        <f t="shared" si="6"/>
        <v>44274.342476851838</v>
      </c>
      <c r="D196" t="s">
        <v>70</v>
      </c>
      <c r="E196" s="3">
        <v>1</v>
      </c>
      <c r="F196" s="3" t="s">
        <v>33</v>
      </c>
      <c r="G196" t="s">
        <v>59</v>
      </c>
      <c r="L196" t="s">
        <v>318</v>
      </c>
      <c r="AB196" t="s">
        <v>71</v>
      </c>
      <c r="AC196" s="1">
        <v>44274.634143518502</v>
      </c>
      <c r="AD196" t="s">
        <v>38</v>
      </c>
      <c r="AE196" s="1">
        <v>44274.634143518502</v>
      </c>
      <c r="AF196" t="s">
        <v>38</v>
      </c>
      <c r="AG196">
        <v>-119.875546667577</v>
      </c>
      <c r="AH196">
        <v>34.417479487427002</v>
      </c>
    </row>
    <row r="197" spans="1:34" x14ac:dyDescent="0.25">
      <c r="A197" s="2">
        <v>122</v>
      </c>
      <c r="B197" s="20">
        <v>44274</v>
      </c>
      <c r="C197" s="21">
        <f t="shared" si="6"/>
        <v>44274.352777777734</v>
      </c>
      <c r="D197" t="s">
        <v>70</v>
      </c>
      <c r="E197" s="3">
        <v>1</v>
      </c>
      <c r="F197" s="3" t="s">
        <v>33</v>
      </c>
      <c r="G197" t="s">
        <v>65</v>
      </c>
      <c r="L197" t="s">
        <v>319</v>
      </c>
      <c r="AB197" t="s">
        <v>228</v>
      </c>
      <c r="AC197" s="1">
        <v>44274.644444444399</v>
      </c>
      <c r="AD197" t="s">
        <v>38</v>
      </c>
      <c r="AE197" s="1">
        <v>44274.644444444399</v>
      </c>
      <c r="AF197" t="s">
        <v>38</v>
      </c>
      <c r="AG197">
        <v>-119.87053458482301</v>
      </c>
      <c r="AH197">
        <v>34.421121023245803</v>
      </c>
    </row>
    <row r="198" spans="1:34" x14ac:dyDescent="0.25">
      <c r="A198" s="2">
        <v>41</v>
      </c>
      <c r="B198" s="20">
        <v>44274</v>
      </c>
      <c r="C198" s="21">
        <f t="shared" si="6"/>
        <v>44274.371909722235</v>
      </c>
      <c r="D198" t="s">
        <v>70</v>
      </c>
      <c r="E198" s="3">
        <v>1</v>
      </c>
      <c r="F198" s="3" t="s">
        <v>33</v>
      </c>
      <c r="G198" t="s">
        <v>65</v>
      </c>
      <c r="L198" t="s">
        <v>318</v>
      </c>
      <c r="AB198" t="s">
        <v>113</v>
      </c>
      <c r="AC198" s="1">
        <v>44274.663576388899</v>
      </c>
      <c r="AD198" t="s">
        <v>38</v>
      </c>
      <c r="AE198" s="1">
        <v>44274.663576388899</v>
      </c>
      <c r="AF198" t="s">
        <v>38</v>
      </c>
      <c r="AG198">
        <v>-119.877850848078</v>
      </c>
      <c r="AH198">
        <v>34.419403521013102</v>
      </c>
    </row>
    <row r="199" spans="1:34" x14ac:dyDescent="0.25">
      <c r="A199" s="2">
        <v>166</v>
      </c>
      <c r="B199" s="20">
        <v>44274</v>
      </c>
      <c r="C199" s="21">
        <f t="shared" si="6"/>
        <v>44274.388263888934</v>
      </c>
      <c r="D199" t="s">
        <v>70</v>
      </c>
      <c r="E199" s="3">
        <v>1</v>
      </c>
      <c r="F199" s="3" t="s">
        <v>33</v>
      </c>
      <c r="G199" t="s">
        <v>65</v>
      </c>
      <c r="L199" t="s">
        <v>319</v>
      </c>
      <c r="AB199" t="s">
        <v>278</v>
      </c>
      <c r="AC199" s="1">
        <v>44274.679930555598</v>
      </c>
      <c r="AD199" t="s">
        <v>38</v>
      </c>
      <c r="AE199" s="1">
        <v>44274.679930555598</v>
      </c>
      <c r="AF199" t="s">
        <v>38</v>
      </c>
      <c r="AG199">
        <v>-119.878731870793</v>
      </c>
      <c r="AH199">
        <v>34.4217187125506</v>
      </c>
    </row>
    <row r="200" spans="1:34" x14ac:dyDescent="0.25">
      <c r="A200" s="2">
        <v>182</v>
      </c>
      <c r="B200" s="20">
        <v>44274</v>
      </c>
      <c r="C200" s="21">
        <f t="shared" si="6"/>
        <v>44274.402175925934</v>
      </c>
      <c r="D200" t="s">
        <v>70</v>
      </c>
      <c r="E200" s="3">
        <v>1</v>
      </c>
      <c r="F200" s="3" t="s">
        <v>33</v>
      </c>
      <c r="G200" t="s">
        <v>65</v>
      </c>
      <c r="L200" t="s">
        <v>319</v>
      </c>
      <c r="AB200" t="s">
        <v>297</v>
      </c>
      <c r="AC200" s="1">
        <v>44274.693842592598</v>
      </c>
      <c r="AD200" t="s">
        <v>38</v>
      </c>
      <c r="AE200" s="1">
        <v>44274.693842592598</v>
      </c>
      <c r="AF200" t="s">
        <v>38</v>
      </c>
      <c r="AG200">
        <v>-119.882456366809</v>
      </c>
      <c r="AH200">
        <v>34.421688733114003</v>
      </c>
    </row>
  </sheetData>
  <autoFilter ref="A1:AH200" xr:uid="{00000000-0009-0000-0000-000000000000}"/>
  <sortState xmlns:xlrd2="http://schemas.microsoft.com/office/spreadsheetml/2017/richdata2" ref="A2:AH200">
    <sortCondition ref="D2:D200"/>
    <sortCondition ref="C2:C200"/>
  </sortState>
  <pageMargins left="0.75" right="0.75" top="0.75" bottom="0.5" header="0.5" footer="0.7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workbookViewId="0">
      <pane xSplit="1" ySplit="5" topLeftCell="B42" activePane="bottomRight" state="frozen"/>
      <selection pane="topRight" activeCell="B1" sqref="B1"/>
      <selection pane="bottomLeft" activeCell="A6" sqref="A6"/>
      <selection pane="bottomRight" activeCell="J58" sqref="J58"/>
    </sheetView>
  </sheetViews>
  <sheetFormatPr defaultRowHeight="15" x14ac:dyDescent="0.25"/>
  <cols>
    <col min="1" max="1" width="31" bestFit="1" customWidth="1"/>
    <col min="2" max="2" width="25.7109375" bestFit="1" customWidth="1"/>
    <col min="3" max="3" width="31.140625" bestFit="1" customWidth="1"/>
    <col min="4" max="4" width="8.42578125" bestFit="1" customWidth="1"/>
    <col min="5" max="5" width="25.7109375" bestFit="1" customWidth="1"/>
    <col min="6" max="6" width="31.140625" bestFit="1" customWidth="1"/>
    <col min="7" max="7" width="9" bestFit="1" customWidth="1"/>
    <col min="8" max="8" width="11.28515625" bestFit="1" customWidth="1"/>
  </cols>
  <sheetData>
    <row r="1" spans="1:7" x14ac:dyDescent="0.25">
      <c r="D1" s="31" t="s">
        <v>327</v>
      </c>
      <c r="E1" s="29" t="s">
        <v>326</v>
      </c>
      <c r="F1" s="29"/>
      <c r="G1" s="29"/>
    </row>
    <row r="2" spans="1:7" ht="15.75" thickBot="1" x14ac:dyDescent="0.3">
      <c r="D2" s="31"/>
      <c r="E2" s="30"/>
      <c r="F2" s="30"/>
      <c r="G2" s="30"/>
    </row>
    <row r="3" spans="1:7" x14ac:dyDescent="0.25">
      <c r="A3" s="4" t="s">
        <v>322</v>
      </c>
      <c r="B3" s="4" t="s">
        <v>323</v>
      </c>
      <c r="D3" s="6"/>
      <c r="E3" s="7"/>
      <c r="F3" s="7"/>
      <c r="G3" s="7"/>
    </row>
    <row r="4" spans="1:7" x14ac:dyDescent="0.25">
      <c r="B4" t="s">
        <v>33</v>
      </c>
      <c r="D4" s="6" t="s">
        <v>324</v>
      </c>
      <c r="E4" s="5" t="s">
        <v>72</v>
      </c>
      <c r="F4" s="5"/>
      <c r="G4" s="7" t="s">
        <v>325</v>
      </c>
    </row>
    <row r="5" spans="1:7" x14ac:dyDescent="0.25">
      <c r="A5" s="4" t="s">
        <v>320</v>
      </c>
      <c r="B5" t="s">
        <v>319</v>
      </c>
      <c r="C5" t="s">
        <v>318</v>
      </c>
      <c r="D5" s="6"/>
      <c r="E5" s="7" t="s">
        <v>319</v>
      </c>
      <c r="F5" s="7" t="s">
        <v>318</v>
      </c>
      <c r="G5" s="7"/>
    </row>
    <row r="6" spans="1:7" x14ac:dyDescent="0.25">
      <c r="A6" s="25" t="s">
        <v>244</v>
      </c>
      <c r="B6" s="22">
        <v>1</v>
      </c>
      <c r="C6" s="8"/>
      <c r="D6" s="9">
        <v>1</v>
      </c>
      <c r="E6" s="10"/>
      <c r="F6" s="10"/>
      <c r="G6" s="11"/>
    </row>
    <row r="7" spans="1:7" x14ac:dyDescent="0.25">
      <c r="A7" s="26" t="s">
        <v>154</v>
      </c>
      <c r="B7" s="23">
        <v>15</v>
      </c>
      <c r="C7" s="12">
        <v>2</v>
      </c>
      <c r="D7" s="13">
        <v>17</v>
      </c>
      <c r="E7" s="14"/>
      <c r="F7" s="14"/>
      <c r="G7" s="15"/>
    </row>
    <row r="8" spans="1:7" x14ac:dyDescent="0.25">
      <c r="A8" s="26" t="s">
        <v>67</v>
      </c>
      <c r="B8" s="23">
        <v>4</v>
      </c>
      <c r="C8" s="12">
        <v>10</v>
      </c>
      <c r="D8" s="13">
        <v>14</v>
      </c>
      <c r="E8" s="14"/>
      <c r="F8" s="14">
        <v>1</v>
      </c>
      <c r="G8" s="15">
        <v>1</v>
      </c>
    </row>
    <row r="9" spans="1:7" x14ac:dyDescent="0.25">
      <c r="A9" s="26" t="s">
        <v>95</v>
      </c>
      <c r="B9" s="23">
        <v>3</v>
      </c>
      <c r="C9" s="12">
        <v>45</v>
      </c>
      <c r="D9" s="13">
        <v>48</v>
      </c>
      <c r="E9" s="14"/>
      <c r="F9" s="14"/>
      <c r="G9" s="15"/>
    </row>
    <row r="10" spans="1:7" x14ac:dyDescent="0.25">
      <c r="A10" s="26" t="s">
        <v>291</v>
      </c>
      <c r="B10" s="23">
        <v>2</v>
      </c>
      <c r="C10" s="12"/>
      <c r="D10" s="13">
        <v>2</v>
      </c>
      <c r="E10" s="14"/>
      <c r="F10" s="14"/>
      <c r="G10" s="15"/>
    </row>
    <row r="11" spans="1:7" x14ac:dyDescent="0.25">
      <c r="A11" s="26" t="s">
        <v>64</v>
      </c>
      <c r="B11" s="23">
        <v>8</v>
      </c>
      <c r="C11" s="12">
        <v>5</v>
      </c>
      <c r="D11" s="13">
        <v>13</v>
      </c>
      <c r="E11" s="14"/>
      <c r="F11" s="14"/>
      <c r="G11" s="15"/>
    </row>
    <row r="12" spans="1:7" x14ac:dyDescent="0.25">
      <c r="A12" s="26" t="s">
        <v>41</v>
      </c>
      <c r="B12" s="23">
        <v>4</v>
      </c>
      <c r="C12" s="12">
        <v>5</v>
      </c>
      <c r="D12" s="13">
        <v>9</v>
      </c>
      <c r="E12" s="14"/>
      <c r="F12" s="14"/>
      <c r="G12" s="15"/>
    </row>
    <row r="13" spans="1:7" x14ac:dyDescent="0.25">
      <c r="A13" s="26" t="s">
        <v>109</v>
      </c>
      <c r="B13" s="23">
        <v>3</v>
      </c>
      <c r="C13" s="12"/>
      <c r="D13" s="13">
        <v>3</v>
      </c>
      <c r="E13" s="14"/>
      <c r="F13" s="14"/>
      <c r="G13" s="15"/>
    </row>
    <row r="14" spans="1:7" x14ac:dyDescent="0.25">
      <c r="A14" s="26" t="s">
        <v>61</v>
      </c>
      <c r="B14" s="23"/>
      <c r="C14" s="12">
        <v>2</v>
      </c>
      <c r="D14" s="13">
        <v>2</v>
      </c>
      <c r="E14" s="14"/>
      <c r="F14" s="14"/>
      <c r="G14" s="15"/>
    </row>
    <row r="15" spans="1:7" x14ac:dyDescent="0.25">
      <c r="A15" s="26" t="s">
        <v>86</v>
      </c>
      <c r="B15" s="23"/>
      <c r="C15" s="12">
        <v>2</v>
      </c>
      <c r="D15" s="13">
        <v>2</v>
      </c>
      <c r="E15" s="14"/>
      <c r="F15" s="14"/>
      <c r="G15" s="15"/>
    </row>
    <row r="16" spans="1:7" x14ac:dyDescent="0.25">
      <c r="A16" s="26" t="s">
        <v>237</v>
      </c>
      <c r="B16" s="23">
        <v>6</v>
      </c>
      <c r="C16" s="12"/>
      <c r="D16" s="13">
        <v>6</v>
      </c>
      <c r="E16" s="14"/>
      <c r="F16" s="14"/>
      <c r="G16" s="15"/>
    </row>
    <row r="17" spans="1:7" x14ac:dyDescent="0.25">
      <c r="A17" s="26" t="s">
        <v>107</v>
      </c>
      <c r="B17" s="23"/>
      <c r="C17" s="12">
        <v>1</v>
      </c>
      <c r="D17" s="13">
        <v>1</v>
      </c>
      <c r="E17" s="14"/>
      <c r="F17" s="14"/>
      <c r="G17" s="15"/>
    </row>
    <row r="18" spans="1:7" x14ac:dyDescent="0.25">
      <c r="A18" s="26" t="s">
        <v>170</v>
      </c>
      <c r="B18" s="23">
        <v>2</v>
      </c>
      <c r="C18" s="12">
        <v>1</v>
      </c>
      <c r="D18" s="13">
        <v>3</v>
      </c>
      <c r="E18" s="14"/>
      <c r="F18" s="14"/>
      <c r="G18" s="15"/>
    </row>
    <row r="19" spans="1:7" x14ac:dyDescent="0.25">
      <c r="A19" s="26" t="s">
        <v>77</v>
      </c>
      <c r="B19" s="23">
        <v>2</v>
      </c>
      <c r="C19" s="12">
        <v>4</v>
      </c>
      <c r="D19" s="13">
        <v>6</v>
      </c>
      <c r="E19" s="14"/>
      <c r="F19" s="14"/>
      <c r="G19" s="15"/>
    </row>
    <row r="20" spans="1:7" x14ac:dyDescent="0.25">
      <c r="A20" s="26" t="s">
        <v>135</v>
      </c>
      <c r="B20" s="23"/>
      <c r="C20" s="12">
        <v>1</v>
      </c>
      <c r="D20" s="13">
        <v>1</v>
      </c>
      <c r="E20" s="14"/>
      <c r="F20" s="14"/>
      <c r="G20" s="15"/>
    </row>
    <row r="21" spans="1:7" x14ac:dyDescent="0.25">
      <c r="A21" s="26" t="s">
        <v>97</v>
      </c>
      <c r="B21" s="23">
        <v>5</v>
      </c>
      <c r="C21" s="12">
        <v>5</v>
      </c>
      <c r="D21" s="13">
        <v>10</v>
      </c>
      <c r="E21" s="14"/>
      <c r="F21" s="14"/>
      <c r="G21" s="15"/>
    </row>
    <row r="22" spans="1:7" x14ac:dyDescent="0.25">
      <c r="A22" s="26" t="s">
        <v>82</v>
      </c>
      <c r="B22" s="23">
        <v>4</v>
      </c>
      <c r="C22" s="12">
        <v>5</v>
      </c>
      <c r="D22" s="13">
        <v>9</v>
      </c>
      <c r="E22" s="14"/>
      <c r="F22" s="14"/>
      <c r="G22" s="15"/>
    </row>
    <row r="23" spans="1:7" x14ac:dyDescent="0.25">
      <c r="A23" s="26" t="s">
        <v>215</v>
      </c>
      <c r="B23" s="23">
        <v>1</v>
      </c>
      <c r="C23" s="12"/>
      <c r="D23" s="13">
        <v>1</v>
      </c>
      <c r="E23" s="14"/>
      <c r="F23" s="14"/>
      <c r="G23" s="15"/>
    </row>
    <row r="24" spans="1:7" x14ac:dyDescent="0.25">
      <c r="A24" s="26" t="s">
        <v>211</v>
      </c>
      <c r="B24" s="23">
        <v>2</v>
      </c>
      <c r="C24" s="12"/>
      <c r="D24" s="13">
        <v>2</v>
      </c>
      <c r="E24" s="14"/>
      <c r="F24" s="14"/>
      <c r="G24" s="15"/>
    </row>
    <row r="25" spans="1:7" x14ac:dyDescent="0.25">
      <c r="A25" s="26" t="s">
        <v>310</v>
      </c>
      <c r="B25" s="23">
        <v>2</v>
      </c>
      <c r="C25" s="12"/>
      <c r="D25" s="13">
        <v>2</v>
      </c>
      <c r="E25" s="14"/>
      <c r="F25" s="14"/>
      <c r="G25" s="15"/>
    </row>
    <row r="26" spans="1:7" x14ac:dyDescent="0.25">
      <c r="A26" s="26" t="s">
        <v>287</v>
      </c>
      <c r="B26" s="23">
        <v>2</v>
      </c>
      <c r="C26" s="12"/>
      <c r="D26" s="13">
        <v>2</v>
      </c>
      <c r="E26" s="14"/>
      <c r="F26" s="14"/>
      <c r="G26" s="15"/>
    </row>
    <row r="27" spans="1:7" x14ac:dyDescent="0.25">
      <c r="A27" s="26" t="s">
        <v>56</v>
      </c>
      <c r="B27" s="23"/>
      <c r="C27" s="12">
        <v>2</v>
      </c>
      <c r="D27" s="13">
        <v>2</v>
      </c>
      <c r="E27" s="14"/>
      <c r="F27" s="14"/>
      <c r="G27" s="15"/>
    </row>
    <row r="28" spans="1:7" x14ac:dyDescent="0.25">
      <c r="A28" s="26" t="s">
        <v>105</v>
      </c>
      <c r="B28" s="23">
        <v>1</v>
      </c>
      <c r="C28" s="12"/>
      <c r="D28" s="13">
        <v>1</v>
      </c>
      <c r="E28" s="14"/>
      <c r="F28" s="14"/>
      <c r="G28" s="15"/>
    </row>
    <row r="29" spans="1:7" x14ac:dyDescent="0.25">
      <c r="A29" s="26" t="s">
        <v>193</v>
      </c>
      <c r="B29" s="23">
        <v>1</v>
      </c>
      <c r="C29" s="12"/>
      <c r="D29" s="13">
        <v>1</v>
      </c>
      <c r="E29" s="14"/>
      <c r="F29" s="14"/>
      <c r="G29" s="15"/>
    </row>
    <row r="30" spans="1:7" x14ac:dyDescent="0.25">
      <c r="A30" s="26" t="s">
        <v>120</v>
      </c>
      <c r="B30" s="23">
        <v>1</v>
      </c>
      <c r="C30" s="12"/>
      <c r="D30" s="13">
        <v>1</v>
      </c>
      <c r="E30" s="14"/>
      <c r="F30" s="14">
        <v>1</v>
      </c>
      <c r="G30" s="15">
        <v>1</v>
      </c>
    </row>
    <row r="31" spans="1:7" x14ac:dyDescent="0.25">
      <c r="A31" s="26" t="s">
        <v>48</v>
      </c>
      <c r="B31" s="23">
        <v>13</v>
      </c>
      <c r="C31" s="12">
        <v>22</v>
      </c>
      <c r="D31" s="13">
        <v>35</v>
      </c>
      <c r="E31" s="14"/>
      <c r="F31" s="14"/>
      <c r="G31" s="15"/>
    </row>
    <row r="32" spans="1:7" x14ac:dyDescent="0.25">
      <c r="A32" s="26" t="s">
        <v>179</v>
      </c>
      <c r="B32" s="23">
        <v>2</v>
      </c>
      <c r="C32" s="12">
        <v>1</v>
      </c>
      <c r="D32" s="13">
        <v>3</v>
      </c>
      <c r="E32" s="14"/>
      <c r="F32" s="14"/>
      <c r="G32" s="15"/>
    </row>
    <row r="33" spans="1:7" x14ac:dyDescent="0.25">
      <c r="A33" s="26" t="s">
        <v>32</v>
      </c>
      <c r="B33" s="23">
        <v>9</v>
      </c>
      <c r="C33" s="12">
        <v>10</v>
      </c>
      <c r="D33" s="13">
        <v>19</v>
      </c>
      <c r="E33" s="14"/>
      <c r="F33" s="14"/>
      <c r="G33" s="15"/>
    </row>
    <row r="34" spans="1:7" x14ac:dyDescent="0.25">
      <c r="A34" s="26" t="s">
        <v>92</v>
      </c>
      <c r="B34" s="23"/>
      <c r="C34" s="12">
        <v>3</v>
      </c>
      <c r="D34" s="13">
        <v>3</v>
      </c>
      <c r="E34" s="14"/>
      <c r="F34" s="14">
        <v>2</v>
      </c>
      <c r="G34" s="15">
        <v>2</v>
      </c>
    </row>
    <row r="35" spans="1:7" x14ac:dyDescent="0.25">
      <c r="A35" s="26" t="s">
        <v>39</v>
      </c>
      <c r="B35" s="23">
        <v>1</v>
      </c>
      <c r="C35" s="12">
        <v>5</v>
      </c>
      <c r="D35" s="13">
        <v>6</v>
      </c>
      <c r="E35" s="14"/>
      <c r="F35" s="14"/>
      <c r="G35" s="15"/>
    </row>
    <row r="36" spans="1:7" x14ac:dyDescent="0.25">
      <c r="A36" s="26" t="s">
        <v>80</v>
      </c>
      <c r="B36" s="23">
        <v>8</v>
      </c>
      <c r="C36" s="12">
        <v>6</v>
      </c>
      <c r="D36" s="13">
        <v>14</v>
      </c>
      <c r="E36" s="14"/>
      <c r="F36" s="14"/>
      <c r="G36" s="15"/>
    </row>
    <row r="37" spans="1:7" x14ac:dyDescent="0.25">
      <c r="A37" s="26" t="s">
        <v>167</v>
      </c>
      <c r="B37" s="23">
        <v>2</v>
      </c>
      <c r="C37" s="12">
        <v>1</v>
      </c>
      <c r="D37" s="13">
        <v>3</v>
      </c>
      <c r="E37" s="14">
        <v>2</v>
      </c>
      <c r="F37" s="14"/>
      <c r="G37" s="15">
        <v>2</v>
      </c>
    </row>
    <row r="38" spans="1:7" x14ac:dyDescent="0.25">
      <c r="A38" s="26" t="s">
        <v>137</v>
      </c>
      <c r="B38" s="23">
        <v>1</v>
      </c>
      <c r="C38" s="12">
        <v>3</v>
      </c>
      <c r="D38" s="13">
        <v>4</v>
      </c>
      <c r="E38" s="14"/>
      <c r="F38" s="14"/>
      <c r="G38" s="15"/>
    </row>
    <row r="39" spans="1:7" x14ac:dyDescent="0.25">
      <c r="A39" s="26" t="s">
        <v>74</v>
      </c>
      <c r="B39" s="23"/>
      <c r="C39" s="12">
        <v>1</v>
      </c>
      <c r="D39" s="13">
        <v>1</v>
      </c>
      <c r="E39" s="14"/>
      <c r="F39" s="14"/>
      <c r="G39" s="15"/>
    </row>
    <row r="40" spans="1:7" x14ac:dyDescent="0.25">
      <c r="A40" s="26" t="s">
        <v>122</v>
      </c>
      <c r="B40" s="23"/>
      <c r="C40" s="12">
        <v>1</v>
      </c>
      <c r="D40" s="13">
        <v>1</v>
      </c>
      <c r="E40" s="14"/>
      <c r="F40" s="14"/>
      <c r="G40" s="15"/>
    </row>
    <row r="41" spans="1:7" x14ac:dyDescent="0.25">
      <c r="A41" s="26" t="s">
        <v>269</v>
      </c>
      <c r="B41" s="23">
        <v>1</v>
      </c>
      <c r="C41" s="12"/>
      <c r="D41" s="13">
        <v>1</v>
      </c>
      <c r="E41" s="14"/>
      <c r="F41" s="14"/>
      <c r="G41" s="15"/>
    </row>
    <row r="42" spans="1:7" x14ac:dyDescent="0.25">
      <c r="A42" s="26" t="s">
        <v>130</v>
      </c>
      <c r="B42" s="23">
        <v>1</v>
      </c>
      <c r="C42" s="12">
        <v>4</v>
      </c>
      <c r="D42" s="13">
        <v>5</v>
      </c>
      <c r="E42" s="14"/>
      <c r="F42" s="14"/>
      <c r="G42" s="15"/>
    </row>
    <row r="43" spans="1:7" x14ac:dyDescent="0.25">
      <c r="A43" s="26" t="s">
        <v>220</v>
      </c>
      <c r="B43" s="23">
        <v>4</v>
      </c>
      <c r="C43" s="12"/>
      <c r="D43" s="13">
        <v>4</v>
      </c>
      <c r="E43" s="14"/>
      <c r="F43" s="14"/>
      <c r="G43" s="15"/>
    </row>
    <row r="44" spans="1:7" x14ac:dyDescent="0.25">
      <c r="A44" s="26" t="s">
        <v>183</v>
      </c>
      <c r="B44" s="23"/>
      <c r="C44" s="12">
        <v>1</v>
      </c>
      <c r="D44" s="13">
        <v>1</v>
      </c>
      <c r="E44" s="14"/>
      <c r="F44" s="14"/>
      <c r="G44" s="15"/>
    </row>
    <row r="45" spans="1:7" x14ac:dyDescent="0.25">
      <c r="A45" s="26" t="s">
        <v>51</v>
      </c>
      <c r="B45" s="23">
        <v>1</v>
      </c>
      <c r="C45" s="12"/>
      <c r="D45" s="13">
        <v>1</v>
      </c>
      <c r="E45" s="14"/>
      <c r="F45" s="14">
        <v>1</v>
      </c>
      <c r="G45" s="15">
        <v>1</v>
      </c>
    </row>
    <row r="46" spans="1:7" x14ac:dyDescent="0.25">
      <c r="A46" s="26" t="s">
        <v>250</v>
      </c>
      <c r="B46" s="23">
        <v>1</v>
      </c>
      <c r="C46" s="12"/>
      <c r="D46" s="13">
        <v>1</v>
      </c>
      <c r="E46" s="14"/>
      <c r="F46" s="14"/>
      <c r="G46" s="15"/>
    </row>
    <row r="47" spans="1:7" x14ac:dyDescent="0.25">
      <c r="A47" s="26" t="s">
        <v>258</v>
      </c>
      <c r="B47" s="23">
        <v>1</v>
      </c>
      <c r="C47" s="12"/>
      <c r="D47" s="13">
        <v>1</v>
      </c>
      <c r="E47" s="14"/>
      <c r="F47" s="14"/>
      <c r="G47" s="15"/>
    </row>
    <row r="48" spans="1:7" x14ac:dyDescent="0.25">
      <c r="A48" s="26" t="s">
        <v>198</v>
      </c>
      <c r="B48" s="23">
        <v>6</v>
      </c>
      <c r="C48" s="12"/>
      <c r="D48" s="13">
        <v>6</v>
      </c>
      <c r="E48" s="14"/>
      <c r="F48" s="14"/>
      <c r="G48" s="15"/>
    </row>
    <row r="49" spans="1:7" x14ac:dyDescent="0.25">
      <c r="A49" s="26" t="s">
        <v>187</v>
      </c>
      <c r="B49" s="23">
        <v>1</v>
      </c>
      <c r="C49" s="12"/>
      <c r="D49" s="13">
        <v>1</v>
      </c>
      <c r="E49" s="14"/>
      <c r="F49" s="14">
        <v>1</v>
      </c>
      <c r="G49" s="15">
        <v>1</v>
      </c>
    </row>
    <row r="50" spans="1:7" x14ac:dyDescent="0.25">
      <c r="A50" s="26" t="s">
        <v>152</v>
      </c>
      <c r="B50" s="23">
        <v>2</v>
      </c>
      <c r="C50" s="12">
        <v>6</v>
      </c>
      <c r="D50" s="13">
        <v>8</v>
      </c>
      <c r="E50" s="14"/>
      <c r="F50" s="14"/>
      <c r="G50" s="15"/>
    </row>
    <row r="51" spans="1:7" x14ac:dyDescent="0.25">
      <c r="A51" s="26" t="s">
        <v>207</v>
      </c>
      <c r="B51" s="23">
        <v>10</v>
      </c>
      <c r="C51" s="12"/>
      <c r="D51" s="13">
        <v>10</v>
      </c>
      <c r="E51" s="14"/>
      <c r="F51" s="14"/>
      <c r="G51" s="15"/>
    </row>
    <row r="52" spans="1:7" x14ac:dyDescent="0.25">
      <c r="A52" s="26" t="s">
        <v>273</v>
      </c>
      <c r="B52" s="23">
        <v>3</v>
      </c>
      <c r="C52" s="12"/>
      <c r="D52" s="13">
        <v>3</v>
      </c>
      <c r="E52" s="14"/>
      <c r="F52" s="14"/>
      <c r="G52" s="15"/>
    </row>
    <row r="53" spans="1:7" x14ac:dyDescent="0.25">
      <c r="A53" s="26" t="s">
        <v>165</v>
      </c>
      <c r="B53" s="23">
        <v>4</v>
      </c>
      <c r="C53" s="12">
        <v>1</v>
      </c>
      <c r="D53" s="13">
        <v>5</v>
      </c>
      <c r="E53" s="14"/>
      <c r="F53" s="14"/>
      <c r="G53" s="15"/>
    </row>
    <row r="54" spans="1:7" x14ac:dyDescent="0.25">
      <c r="A54" s="27" t="s">
        <v>124</v>
      </c>
      <c r="B54" s="23"/>
      <c r="C54" s="12">
        <v>1</v>
      </c>
      <c r="D54" s="13">
        <v>1</v>
      </c>
      <c r="E54" s="14"/>
      <c r="F54" s="14"/>
      <c r="G54" s="15"/>
    </row>
    <row r="55" spans="1:7" x14ac:dyDescent="0.25">
      <c r="A55" s="25" t="s">
        <v>132</v>
      </c>
      <c r="B55" s="23"/>
      <c r="C55" s="12">
        <v>1</v>
      </c>
      <c r="D55" s="13">
        <v>1</v>
      </c>
      <c r="E55" s="14"/>
      <c r="F55" s="14"/>
      <c r="G55" s="15"/>
    </row>
    <row r="56" spans="1:7" x14ac:dyDescent="0.25">
      <c r="A56" s="26" t="s">
        <v>44</v>
      </c>
      <c r="B56" s="23">
        <v>2</v>
      </c>
      <c r="C56" s="12">
        <v>2</v>
      </c>
      <c r="D56" s="13">
        <v>4</v>
      </c>
      <c r="E56" s="14"/>
      <c r="F56" s="14">
        <v>1</v>
      </c>
      <c r="G56" s="15">
        <v>1</v>
      </c>
    </row>
    <row r="57" spans="1:7" x14ac:dyDescent="0.25">
      <c r="A57" s="26" t="s">
        <v>314</v>
      </c>
      <c r="B57" s="23">
        <v>1</v>
      </c>
      <c r="C57" s="12"/>
      <c r="D57" s="13">
        <v>1</v>
      </c>
      <c r="E57" s="14"/>
      <c r="F57" s="14"/>
      <c r="G57" s="15"/>
    </row>
    <row r="58" spans="1:7" x14ac:dyDescent="0.25">
      <c r="A58" s="26" t="s">
        <v>177</v>
      </c>
      <c r="B58" s="23"/>
      <c r="C58" s="12">
        <v>1</v>
      </c>
      <c r="D58" s="13">
        <v>1</v>
      </c>
      <c r="E58" s="14"/>
      <c r="F58" s="14"/>
      <c r="G58" s="15"/>
    </row>
    <row r="59" spans="1:7" x14ac:dyDescent="0.25">
      <c r="A59" s="27" t="s">
        <v>191</v>
      </c>
      <c r="B59" s="23">
        <v>5</v>
      </c>
      <c r="C59" s="12"/>
      <c r="D59" s="13">
        <v>5</v>
      </c>
      <c r="E59" s="14"/>
      <c r="F59" s="14"/>
      <c r="G59" s="15"/>
    </row>
    <row r="60" spans="1:7" x14ac:dyDescent="0.25">
      <c r="A60" s="2" t="s">
        <v>331</v>
      </c>
      <c r="B60" s="23"/>
      <c r="C60" s="12">
        <v>1</v>
      </c>
      <c r="D60" s="13">
        <v>1</v>
      </c>
      <c r="E60" s="14"/>
      <c r="F60" s="14"/>
      <c r="G60" s="15"/>
    </row>
    <row r="61" spans="1:7" x14ac:dyDescent="0.25">
      <c r="A61" s="25" t="s">
        <v>58</v>
      </c>
      <c r="B61" s="23">
        <v>15</v>
      </c>
      <c r="C61" s="12">
        <v>12</v>
      </c>
      <c r="D61" s="13">
        <v>27</v>
      </c>
      <c r="E61" s="14"/>
      <c r="F61" s="14">
        <v>1</v>
      </c>
      <c r="G61" s="15">
        <v>1</v>
      </c>
    </row>
    <row r="62" spans="1:7" x14ac:dyDescent="0.25">
      <c r="A62" s="26" t="s">
        <v>174</v>
      </c>
      <c r="B62" s="23"/>
      <c r="C62" s="12">
        <v>1</v>
      </c>
      <c r="D62" s="13">
        <v>1</v>
      </c>
      <c r="E62" s="14"/>
      <c r="F62" s="14"/>
      <c r="G62" s="15"/>
    </row>
    <row r="63" spans="1:7" x14ac:dyDescent="0.25">
      <c r="A63" s="26" t="s">
        <v>128</v>
      </c>
      <c r="B63" s="23">
        <v>1</v>
      </c>
      <c r="C63" s="12">
        <v>5</v>
      </c>
      <c r="D63" s="13">
        <v>6</v>
      </c>
      <c r="E63" s="14"/>
      <c r="F63" s="14"/>
      <c r="G63" s="15"/>
    </row>
    <row r="64" spans="1:7" x14ac:dyDescent="0.25">
      <c r="A64" s="26" t="s">
        <v>163</v>
      </c>
      <c r="B64" s="23"/>
      <c r="C64" s="12">
        <v>1</v>
      </c>
      <c r="D64" s="13">
        <v>1</v>
      </c>
      <c r="E64" s="14">
        <v>1</v>
      </c>
      <c r="F64" s="14"/>
      <c r="G64" s="15">
        <v>1</v>
      </c>
    </row>
    <row r="65" spans="1:7" x14ac:dyDescent="0.25">
      <c r="A65" s="26" t="s">
        <v>213</v>
      </c>
      <c r="B65" s="23">
        <v>6</v>
      </c>
      <c r="C65" s="12"/>
      <c r="D65" s="13">
        <v>6</v>
      </c>
      <c r="E65" s="14"/>
      <c r="F65" s="14"/>
      <c r="G65" s="15"/>
    </row>
    <row r="66" spans="1:7" x14ac:dyDescent="0.25">
      <c r="A66" s="26" t="s">
        <v>147</v>
      </c>
      <c r="B66" s="23"/>
      <c r="C66" s="12">
        <v>22</v>
      </c>
      <c r="D66" s="13">
        <v>22</v>
      </c>
      <c r="E66" s="14"/>
      <c r="F66" s="14"/>
      <c r="G66" s="15"/>
    </row>
    <row r="67" spans="1:7" x14ac:dyDescent="0.25">
      <c r="A67" s="26" t="s">
        <v>294</v>
      </c>
      <c r="B67" s="23">
        <v>3</v>
      </c>
      <c r="C67" s="12"/>
      <c r="D67" s="13">
        <v>3</v>
      </c>
      <c r="E67" s="14"/>
      <c r="F67" s="14"/>
      <c r="G67" s="15"/>
    </row>
    <row r="68" spans="1:7" x14ac:dyDescent="0.25">
      <c r="A68" s="26" t="s">
        <v>84</v>
      </c>
      <c r="B68" s="23">
        <v>1</v>
      </c>
      <c r="C68" s="12">
        <v>4</v>
      </c>
      <c r="D68" s="13">
        <v>5</v>
      </c>
      <c r="E68" s="14"/>
      <c r="F68" s="14"/>
      <c r="G68" s="15"/>
    </row>
    <row r="69" spans="1:7" x14ac:dyDescent="0.25">
      <c r="A69" s="26" t="s">
        <v>54</v>
      </c>
      <c r="B69" s="23"/>
      <c r="C69" s="12">
        <v>2</v>
      </c>
      <c r="D69" s="13">
        <v>2</v>
      </c>
      <c r="E69" s="14"/>
      <c r="F69" s="14"/>
      <c r="G69" s="15"/>
    </row>
    <row r="70" spans="1:7" x14ac:dyDescent="0.25">
      <c r="A70" s="26" t="s">
        <v>224</v>
      </c>
      <c r="B70" s="23">
        <v>3</v>
      </c>
      <c r="C70" s="12"/>
      <c r="D70" s="13">
        <v>3</v>
      </c>
      <c r="E70" s="14"/>
      <c r="F70" s="14"/>
      <c r="G70" s="15"/>
    </row>
    <row r="71" spans="1:7" x14ac:dyDescent="0.25">
      <c r="A71" s="27" t="s">
        <v>70</v>
      </c>
      <c r="B71" s="24">
        <v>3</v>
      </c>
      <c r="C71" s="16">
        <v>2</v>
      </c>
      <c r="D71" s="17">
        <v>5</v>
      </c>
      <c r="E71" s="18"/>
      <c r="F71" s="18"/>
      <c r="G71" s="19"/>
    </row>
    <row r="72" spans="1:7" x14ac:dyDescent="0.25">
      <c r="A72" s="2" t="s">
        <v>321</v>
      </c>
      <c r="B72" s="3">
        <v>180</v>
      </c>
      <c r="C72" s="3">
        <v>210</v>
      </c>
      <c r="D72" s="6">
        <v>390</v>
      </c>
      <c r="E72" s="7">
        <v>3</v>
      </c>
      <c r="F72" s="7">
        <v>8</v>
      </c>
      <c r="G72" s="7">
        <v>11</v>
      </c>
    </row>
  </sheetData>
  <mergeCells count="2">
    <mergeCell ref="E1:G2"/>
    <mergeCell ref="D1:D2"/>
  </mergeCells>
  <pageMargins left="0.7" right="0.7" top="0.75" bottom="0.75" header="0.3" footer="0.3"/>
  <pageSetup orientation="portrait" horizontalDpi="360" verticalDpi="36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3B77-D2F6-45C8-A96E-CE9377AD72F6}">
  <dimension ref="A1:B67"/>
  <sheetViews>
    <sheetView workbookViewId="0">
      <pane ySplit="1" topLeftCell="A2" activePane="bottomLeft" state="frozen"/>
      <selection pane="bottomLeft" activeCell="B2" sqref="B2:B67"/>
    </sheetView>
  </sheetViews>
  <sheetFormatPr defaultRowHeight="15" x14ac:dyDescent="0.25"/>
  <cols>
    <col min="1" max="1" width="31" bestFit="1" customWidth="1"/>
    <col min="2" max="2" width="11.140625" bestFit="1" customWidth="1"/>
  </cols>
  <sheetData>
    <row r="1" spans="1:2" x14ac:dyDescent="0.25">
      <c r="A1" s="28" t="s">
        <v>339</v>
      </c>
      <c r="B1" s="28" t="s">
        <v>340</v>
      </c>
    </row>
    <row r="2" spans="1:2" x14ac:dyDescent="0.25">
      <c r="A2" t="s">
        <v>244</v>
      </c>
      <c r="B2">
        <v>1</v>
      </c>
    </row>
    <row r="3" spans="1:2" x14ac:dyDescent="0.25">
      <c r="A3" t="s">
        <v>154</v>
      </c>
      <c r="B3">
        <v>17</v>
      </c>
    </row>
    <row r="4" spans="1:2" x14ac:dyDescent="0.25">
      <c r="A4" t="s">
        <v>67</v>
      </c>
      <c r="B4">
        <v>14</v>
      </c>
    </row>
    <row r="5" spans="1:2" x14ac:dyDescent="0.25">
      <c r="A5" t="s">
        <v>95</v>
      </c>
      <c r="B5">
        <v>48</v>
      </c>
    </row>
    <row r="6" spans="1:2" x14ac:dyDescent="0.25">
      <c r="A6" t="s">
        <v>291</v>
      </c>
      <c r="B6">
        <v>2</v>
      </c>
    </row>
    <row r="7" spans="1:2" x14ac:dyDescent="0.25">
      <c r="A7" t="s">
        <v>64</v>
      </c>
      <c r="B7">
        <v>13</v>
      </c>
    </row>
    <row r="8" spans="1:2" x14ac:dyDescent="0.25">
      <c r="A8" t="s">
        <v>41</v>
      </c>
      <c r="B8">
        <v>9</v>
      </c>
    </row>
    <row r="9" spans="1:2" x14ac:dyDescent="0.25">
      <c r="A9" t="s">
        <v>109</v>
      </c>
      <c r="B9">
        <v>3</v>
      </c>
    </row>
    <row r="10" spans="1:2" x14ac:dyDescent="0.25">
      <c r="A10" t="s">
        <v>61</v>
      </c>
      <c r="B10">
        <v>2</v>
      </c>
    </row>
    <row r="11" spans="1:2" x14ac:dyDescent="0.25">
      <c r="A11" t="s">
        <v>86</v>
      </c>
      <c r="B11">
        <v>2</v>
      </c>
    </row>
    <row r="12" spans="1:2" x14ac:dyDescent="0.25">
      <c r="A12" t="s">
        <v>237</v>
      </c>
      <c r="B12">
        <v>6</v>
      </c>
    </row>
    <row r="13" spans="1:2" x14ac:dyDescent="0.25">
      <c r="A13" t="s">
        <v>107</v>
      </c>
      <c r="B13">
        <v>1</v>
      </c>
    </row>
    <row r="14" spans="1:2" x14ac:dyDescent="0.25">
      <c r="A14" t="s">
        <v>170</v>
      </c>
      <c r="B14">
        <v>3</v>
      </c>
    </row>
    <row r="15" spans="1:2" x14ac:dyDescent="0.25">
      <c r="A15" t="s">
        <v>77</v>
      </c>
      <c r="B15">
        <v>6</v>
      </c>
    </row>
    <row r="16" spans="1:2" x14ac:dyDescent="0.25">
      <c r="A16" t="s">
        <v>135</v>
      </c>
      <c r="B16">
        <v>1</v>
      </c>
    </row>
    <row r="17" spans="1:2" x14ac:dyDescent="0.25">
      <c r="A17" t="s">
        <v>97</v>
      </c>
      <c r="B17">
        <v>10</v>
      </c>
    </row>
    <row r="18" spans="1:2" x14ac:dyDescent="0.25">
      <c r="A18" t="s">
        <v>82</v>
      </c>
      <c r="B18">
        <v>9</v>
      </c>
    </row>
    <row r="19" spans="1:2" x14ac:dyDescent="0.25">
      <c r="A19" t="s">
        <v>215</v>
      </c>
      <c r="B19">
        <v>1</v>
      </c>
    </row>
    <row r="20" spans="1:2" x14ac:dyDescent="0.25">
      <c r="A20" t="s">
        <v>211</v>
      </c>
      <c r="B20">
        <v>2</v>
      </c>
    </row>
    <row r="21" spans="1:2" x14ac:dyDescent="0.25">
      <c r="A21" t="s">
        <v>310</v>
      </c>
      <c r="B21">
        <v>2</v>
      </c>
    </row>
    <row r="22" spans="1:2" x14ac:dyDescent="0.25">
      <c r="A22" t="s">
        <v>287</v>
      </c>
      <c r="B22">
        <v>2</v>
      </c>
    </row>
    <row r="23" spans="1:2" x14ac:dyDescent="0.25">
      <c r="A23" t="s">
        <v>56</v>
      </c>
      <c r="B23">
        <v>2</v>
      </c>
    </row>
    <row r="24" spans="1:2" x14ac:dyDescent="0.25">
      <c r="A24" t="s">
        <v>105</v>
      </c>
      <c r="B24">
        <v>1</v>
      </c>
    </row>
    <row r="25" spans="1:2" x14ac:dyDescent="0.25">
      <c r="A25" t="s">
        <v>193</v>
      </c>
      <c r="B25">
        <v>1</v>
      </c>
    </row>
    <row r="26" spans="1:2" x14ac:dyDescent="0.25">
      <c r="A26" t="s">
        <v>120</v>
      </c>
      <c r="B26">
        <v>1</v>
      </c>
    </row>
    <row r="27" spans="1:2" x14ac:dyDescent="0.25">
      <c r="A27" t="s">
        <v>48</v>
      </c>
      <c r="B27">
        <v>35</v>
      </c>
    </row>
    <row r="28" spans="1:2" x14ac:dyDescent="0.25">
      <c r="A28" t="s">
        <v>179</v>
      </c>
      <c r="B28">
        <v>3</v>
      </c>
    </row>
    <row r="29" spans="1:2" x14ac:dyDescent="0.25">
      <c r="A29" t="s">
        <v>32</v>
      </c>
      <c r="B29">
        <v>19</v>
      </c>
    </row>
    <row r="30" spans="1:2" x14ac:dyDescent="0.25">
      <c r="A30" t="s">
        <v>92</v>
      </c>
      <c r="B30">
        <v>3</v>
      </c>
    </row>
    <row r="31" spans="1:2" x14ac:dyDescent="0.25">
      <c r="A31" t="s">
        <v>39</v>
      </c>
      <c r="B31">
        <v>6</v>
      </c>
    </row>
    <row r="32" spans="1:2" x14ac:dyDescent="0.25">
      <c r="A32" t="s">
        <v>80</v>
      </c>
      <c r="B32">
        <v>14</v>
      </c>
    </row>
    <row r="33" spans="1:2" x14ac:dyDescent="0.25">
      <c r="A33" t="s">
        <v>167</v>
      </c>
      <c r="B33">
        <v>3</v>
      </c>
    </row>
    <row r="34" spans="1:2" x14ac:dyDescent="0.25">
      <c r="A34" t="s">
        <v>137</v>
      </c>
      <c r="B34">
        <v>4</v>
      </c>
    </row>
    <row r="35" spans="1:2" x14ac:dyDescent="0.25">
      <c r="A35" t="s">
        <v>74</v>
      </c>
      <c r="B35">
        <v>1</v>
      </c>
    </row>
    <row r="36" spans="1:2" x14ac:dyDescent="0.25">
      <c r="A36" t="s">
        <v>122</v>
      </c>
      <c r="B36">
        <v>1</v>
      </c>
    </row>
    <row r="37" spans="1:2" x14ac:dyDescent="0.25">
      <c r="A37" t="s">
        <v>269</v>
      </c>
      <c r="B37">
        <v>1</v>
      </c>
    </row>
    <row r="38" spans="1:2" x14ac:dyDescent="0.25">
      <c r="A38" t="s">
        <v>130</v>
      </c>
      <c r="B38">
        <v>5</v>
      </c>
    </row>
    <row r="39" spans="1:2" x14ac:dyDescent="0.25">
      <c r="A39" t="s">
        <v>220</v>
      </c>
      <c r="B39">
        <v>4</v>
      </c>
    </row>
    <row r="40" spans="1:2" x14ac:dyDescent="0.25">
      <c r="A40" t="s">
        <v>183</v>
      </c>
      <c r="B40">
        <v>1</v>
      </c>
    </row>
    <row r="41" spans="1:2" x14ac:dyDescent="0.25">
      <c r="A41" t="s">
        <v>51</v>
      </c>
      <c r="B41">
        <v>1</v>
      </c>
    </row>
    <row r="42" spans="1:2" x14ac:dyDescent="0.25">
      <c r="A42" t="s">
        <v>250</v>
      </c>
      <c r="B42">
        <v>1</v>
      </c>
    </row>
    <row r="43" spans="1:2" x14ac:dyDescent="0.25">
      <c r="A43" t="s">
        <v>258</v>
      </c>
      <c r="B43">
        <v>1</v>
      </c>
    </row>
    <row r="44" spans="1:2" x14ac:dyDescent="0.25">
      <c r="A44" t="s">
        <v>198</v>
      </c>
      <c r="B44">
        <v>6</v>
      </c>
    </row>
    <row r="45" spans="1:2" x14ac:dyDescent="0.25">
      <c r="A45" t="s">
        <v>187</v>
      </c>
      <c r="B45">
        <v>1</v>
      </c>
    </row>
    <row r="46" spans="1:2" x14ac:dyDescent="0.25">
      <c r="A46" t="s">
        <v>152</v>
      </c>
      <c r="B46">
        <v>8</v>
      </c>
    </row>
    <row r="47" spans="1:2" x14ac:dyDescent="0.25">
      <c r="A47" t="s">
        <v>207</v>
      </c>
      <c r="B47">
        <v>10</v>
      </c>
    </row>
    <row r="48" spans="1:2" x14ac:dyDescent="0.25">
      <c r="A48" t="s">
        <v>273</v>
      </c>
      <c r="B48">
        <v>3</v>
      </c>
    </row>
    <row r="49" spans="1:2" x14ac:dyDescent="0.25">
      <c r="A49" t="s">
        <v>165</v>
      </c>
      <c r="B49">
        <v>5</v>
      </c>
    </row>
    <row r="50" spans="1:2" x14ac:dyDescent="0.25">
      <c r="A50" t="s">
        <v>124</v>
      </c>
      <c r="B50">
        <v>1</v>
      </c>
    </row>
    <row r="51" spans="1:2" x14ac:dyDescent="0.25">
      <c r="A51" t="s">
        <v>132</v>
      </c>
      <c r="B51">
        <v>1</v>
      </c>
    </row>
    <row r="52" spans="1:2" x14ac:dyDescent="0.25">
      <c r="A52" t="s">
        <v>44</v>
      </c>
      <c r="B52">
        <v>4</v>
      </c>
    </row>
    <row r="53" spans="1:2" x14ac:dyDescent="0.25">
      <c r="A53" t="s">
        <v>314</v>
      </c>
      <c r="B53">
        <v>1</v>
      </c>
    </row>
    <row r="54" spans="1:2" x14ac:dyDescent="0.25">
      <c r="A54" t="s">
        <v>177</v>
      </c>
      <c r="B54">
        <v>1</v>
      </c>
    </row>
    <row r="55" spans="1:2" x14ac:dyDescent="0.25">
      <c r="A55" t="s">
        <v>191</v>
      </c>
      <c r="B55">
        <v>5</v>
      </c>
    </row>
    <row r="56" spans="1:2" x14ac:dyDescent="0.25">
      <c r="A56" t="s">
        <v>331</v>
      </c>
      <c r="B56">
        <v>1</v>
      </c>
    </row>
    <row r="57" spans="1:2" x14ac:dyDescent="0.25">
      <c r="A57" t="s">
        <v>58</v>
      </c>
      <c r="B57">
        <v>27</v>
      </c>
    </row>
    <row r="58" spans="1:2" x14ac:dyDescent="0.25">
      <c r="A58" t="s">
        <v>174</v>
      </c>
      <c r="B58">
        <v>1</v>
      </c>
    </row>
    <row r="59" spans="1:2" x14ac:dyDescent="0.25">
      <c r="A59" t="s">
        <v>128</v>
      </c>
      <c r="B59">
        <v>6</v>
      </c>
    </row>
    <row r="60" spans="1:2" x14ac:dyDescent="0.25">
      <c r="A60" t="s">
        <v>163</v>
      </c>
      <c r="B60">
        <v>1</v>
      </c>
    </row>
    <row r="61" spans="1:2" x14ac:dyDescent="0.25">
      <c r="A61" t="s">
        <v>213</v>
      </c>
      <c r="B61">
        <v>6</v>
      </c>
    </row>
    <row r="62" spans="1:2" x14ac:dyDescent="0.25">
      <c r="A62" t="s">
        <v>147</v>
      </c>
      <c r="B62">
        <v>22</v>
      </c>
    </row>
    <row r="63" spans="1:2" x14ac:dyDescent="0.25">
      <c r="A63" t="s">
        <v>294</v>
      </c>
      <c r="B63">
        <v>3</v>
      </c>
    </row>
    <row r="64" spans="1:2" x14ac:dyDescent="0.25">
      <c r="A64" t="s">
        <v>84</v>
      </c>
      <c r="B64">
        <v>5</v>
      </c>
    </row>
    <row r="65" spans="1:2" x14ac:dyDescent="0.25">
      <c r="A65" t="s">
        <v>54</v>
      </c>
      <c r="B65">
        <v>2</v>
      </c>
    </row>
    <row r="66" spans="1:2" x14ac:dyDescent="0.25">
      <c r="A66" t="s">
        <v>224</v>
      </c>
      <c r="B66">
        <v>3</v>
      </c>
    </row>
    <row r="67" spans="1:2" x14ac:dyDescent="0.25">
      <c r="A67" t="s">
        <v>70</v>
      </c>
      <c r="B67">
        <v>5</v>
      </c>
    </row>
  </sheetData>
  <sortState xmlns:xlrd2="http://schemas.microsoft.com/office/spreadsheetml/2017/richdata2" ref="A2:B67">
    <sortCondition ref="A2:A67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NCOS Bird Survey Data 20210319</vt:lpstr>
      <vt:lpstr>PivotTable</vt:lpstr>
      <vt:lpstr>Final_Count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Clark</cp:lastModifiedBy>
  <dcterms:created xsi:type="dcterms:W3CDTF">2021-03-20T00:36:21Z</dcterms:created>
  <dcterms:modified xsi:type="dcterms:W3CDTF">2021-03-23T17:18:16Z</dcterms:modified>
</cp:coreProperties>
</file>