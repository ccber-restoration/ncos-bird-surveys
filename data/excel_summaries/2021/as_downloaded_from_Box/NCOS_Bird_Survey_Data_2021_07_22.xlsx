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7729"/>
  <workbookPr codeName="ThisWorkbook" autoCompressPictures="0"/>
  <bookViews>
    <workbookView xWindow="280" yWindow="-40" windowWidth="27920" windowHeight="15520" activeTab="1"/>
  </bookViews>
  <sheets>
    <sheet name="PIVOT TABLE" sheetId="6" r:id="rId1"/>
    <sheet name="NCOS_Bird_Survey_Data_2021__0" sheetId="2" r:id="rId2"/>
  </sheets>
  <definedNames>
    <definedName name="_xlnm._FilterDatabase" localSheetId="1" hidden="1">NCOS_Bird_Survey_Data_2021__0!$A$1:$AG$1</definedName>
  </definedNames>
  <calcPr calcId="140001" concurrentCalc="0"/>
  <pivotCaches>
    <pivotCache cacheId="78" r:id="rId3"/>
  </pivotCaches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5" i="2" l="1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<sst xmlns="http://schemas.openxmlformats.org/spreadsheetml/2006/main" count="1046" uniqueCount="245">
  <si>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</si>
  <si>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</si>
  <si>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</si>
  <si>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</si>
  <si>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</si>
  <si>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</si>
  <si>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</si>
  <si>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</si>
  <si>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</si>
  <si>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</si>
  <si>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</si>
  <si>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</si>
  <si>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</si>
  <si>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</si>
  <si>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</si>
  <si>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</si>
  <si>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</si>
  <si>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</si>
  <si>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</si>
  <si>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</si>
  <si>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</si>
  <si>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</si>
  <si>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</si>
  <si>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</si>
  <si>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</si>
  <si>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</si>
  <si>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</si>
  <si>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</si>
  <si>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</si>
  <si>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</si>
  <si>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x</t>
  </si>
  <si>
    <t>y</t>
  </si>
  <si>
    <t>Black-crowned Night-Heron</t>
  </si>
  <si>
    <t>No</t>
  </si>
  <si>
    <t>Flyover</t>
  </si>
  <si>
    <t>2c70a49b-358e-4038-b8af-fc7f13ff1632</t>
  </si>
  <si>
    <t>ccber_user</t>
  </si>
  <si>
    <t>Song Sparrow</t>
  </si>
  <si>
    <t>Vegetation - Shrub</t>
  </si>
  <si>
    <t>e3628e8a-7094-4c17-bd5d-26e33ad7c88d</t>
  </si>
  <si>
    <t>43d28209-f218-44f8-8209-a6837aceecb5</t>
  </si>
  <si>
    <t>Mallard</t>
  </si>
  <si>
    <t>89b95297-8ed3-472f-b6ba-5bdd1a9fe6ff</t>
  </si>
  <si>
    <t>Western Bluebird</t>
  </si>
  <si>
    <t>0f332e9b-db10-4d82-a52d-7b24c2acafc8</t>
  </si>
  <si>
    <t>House Finch</t>
  </si>
  <si>
    <t>Fence</t>
  </si>
  <si>
    <t>4ac998a3-376e-4658-a7ba-6d6a82d938cc</t>
  </si>
  <si>
    <t>Say's Phoebe</t>
  </si>
  <si>
    <t>Vegetation - Herbaceous</t>
  </si>
  <si>
    <t>a5f48bb4-d1d9-42e3-800e-652fe90415f4</t>
  </si>
  <si>
    <t>Anna's Hummingbird</t>
  </si>
  <si>
    <t>4e7be1d9-4171-40ab-9754-53bbd21618ca</t>
  </si>
  <si>
    <t>Black Phoebe</t>
  </si>
  <si>
    <t>9dff121c-1995-4710-9991-d12a2d8757b0</t>
  </si>
  <si>
    <t>Oak Titmouse</t>
  </si>
  <si>
    <t>Vegetation - Tree</t>
  </si>
  <si>
    <t>d7f4e808-cf82-4ec1-a32b-71418933c709</t>
  </si>
  <si>
    <t>111fa76c-c75e-47a9-ba09-e8657e877e99</t>
  </si>
  <si>
    <t>Bare ground</t>
  </si>
  <si>
    <t>ade9fed4-9575-45e2-90f9-99eaa44dafb1</t>
  </si>
  <si>
    <t>Western Gull</t>
  </si>
  <si>
    <t>788fefad-27c8-4b70-b549-08cef746368e</t>
  </si>
  <si>
    <t>Scaly-breasted Munia</t>
  </si>
  <si>
    <t>802bd9e4-ed7d-48f5-b983-5545f16c13f7</t>
  </si>
  <si>
    <t>American Crow</t>
  </si>
  <si>
    <t>4f236085-d21d-4390-b7b6-cf3009610336</t>
  </si>
  <si>
    <t>California Towhee</t>
  </si>
  <si>
    <t>cfe2fb25-4301-404a-af4d-b055a32a027e</t>
  </si>
  <si>
    <t>cbd729e3-3d95-4145-b174-bdf5735f5b24</t>
  </si>
  <si>
    <t>bfe94dc0-2a1d-4243-8907-98b33d028473</t>
  </si>
  <si>
    <t>Water - Wading</t>
  </si>
  <si>
    <t>77e2cbc4-1e07-4164-87b3-208c8cd8a0ce</t>
  </si>
  <si>
    <t>1a9fc3a5-0899-4b38-a099-1493f30c365d</t>
  </si>
  <si>
    <t>6e05f991-92d4-4b1c-b38c-75cad8fc9c7e</t>
  </si>
  <si>
    <t xml:space="preserve">1 juvenile </t>
  </si>
  <si>
    <t>b6db0805-8f87-43b4-bee5-c9caac917a1f</t>
  </si>
  <si>
    <t>Air</t>
  </si>
  <si>
    <t>a2b639fc-c1fe-4c27-8d5c-8687cd959158</t>
  </si>
  <si>
    <t>Cliff Swallow</t>
  </si>
  <si>
    <t>051dd3b2-0baf-4b1e-911b-0f5adb5f23e3</t>
  </si>
  <si>
    <t>9ee703fc-bdaa-4f63-8286-528ed86d02fc</t>
  </si>
  <si>
    <t>df80cd7a-0b63-44ea-92e5-6da142eafd69</t>
  </si>
  <si>
    <t>58fef1ff-336c-44f3-be30-d853fc70bdac</t>
  </si>
  <si>
    <t>Rock Pigeon (Feral Pigeon)</t>
  </si>
  <si>
    <t>323023ce-ae23-4497-875e-e6d11ebbedb8</t>
  </si>
  <si>
    <t>Lesser Goldfinch</t>
  </si>
  <si>
    <t>d5aa85f6-82db-47f5-bd70-63b9c5a3af00</t>
  </si>
  <si>
    <t>98ed6b7c-1b24-49b4-bfd3-0cff0e2d753f</t>
  </si>
  <si>
    <t>a3f2e87b-186e-41fb-9f3a-3e85907ce20b</t>
  </si>
  <si>
    <t>Eurasian Collared-Dove</t>
  </si>
  <si>
    <t>50328041-72e6-47d1-8b97-a31b4c06558b</t>
  </si>
  <si>
    <t>9c67cb81-ceff-4b76-8ce7-df0c60e08848</t>
  </si>
  <si>
    <t>Bewick's Wren</t>
  </si>
  <si>
    <t>Yes</t>
  </si>
  <si>
    <t>ffa0b940-690b-45aa-ab1f-0abd1c0c55b5</t>
  </si>
  <si>
    <t>Common Yellowthroat</t>
  </si>
  <si>
    <t>3938b5e1-8d58-477e-872d-6652c7541d7b</t>
  </si>
  <si>
    <t>Northern Mockingbird</t>
  </si>
  <si>
    <t>67c4b3a4-09a1-4076-b2f8-f6753db12b20</t>
  </si>
  <si>
    <t>d5426ea2-8c7d-4314-a746-f34554f5c691</t>
  </si>
  <si>
    <t>Cooper's Hawk</t>
  </si>
  <si>
    <t>1f5957c7-4ab0-463e-a4a1-385fd5497dee</t>
  </si>
  <si>
    <t>3d594dde-690b-4f14-a6ed-de5641c293be</t>
  </si>
  <si>
    <t>Mourning Dove</t>
  </si>
  <si>
    <t>e61948fc-06ab-4c46-a28c-f754df5b95ac</t>
  </si>
  <si>
    <t>acbe7107-a3b8-45ad-ba13-b4259f0266e0</t>
  </si>
  <si>
    <t>California Scrub-Jay</t>
  </si>
  <si>
    <t>46d05b0e-84f1-4ea4-b39c-13b534c5253c</t>
  </si>
  <si>
    <t>House Sparrow</t>
  </si>
  <si>
    <t>d4d9868e-a9df-4468-bdbc-c22c5aee23a3</t>
  </si>
  <si>
    <t>b923732c-51d8-480e-bce2-e341e70c9951</t>
  </si>
  <si>
    <t>9e113d37-551d-4edd-849b-82b9e4265834</t>
  </si>
  <si>
    <t>96b6c7b0-8e38-48d8-b8c4-69a9a2726ee3</t>
  </si>
  <si>
    <t>Wrentit</t>
  </si>
  <si>
    <t>34c522e5-758d-4692-9b68-96f0554945c9</t>
  </si>
  <si>
    <t>115c4132-7a74-443b-a531-39d1545c5863</t>
  </si>
  <si>
    <t>ae1bb3c2-437c-4ee4-ad57-ab867e1cb50a</t>
  </si>
  <si>
    <t>520da3ee-1e83-4a88-bf24-4b6a7ea10058</t>
  </si>
  <si>
    <t>b6ad54f5-dc09-4d84-ba1a-22f648f17046</t>
  </si>
  <si>
    <t>69c8eb98-457a-49b3-9cae-2c32ee599f6a</t>
  </si>
  <si>
    <t>Rufous/Allen's Hummingbird</t>
  </si>
  <si>
    <t>6647596d-c41e-4f71-a939-e785d32978ac</t>
  </si>
  <si>
    <t>2936762f-40a2-4031-999d-5714ddec970b</t>
  </si>
  <si>
    <t>46a60dd8-76df-4dec-bddb-a84e2d397204</t>
  </si>
  <si>
    <t>bac65d46-ada2-4c2f-8987-05c62e65a900</t>
  </si>
  <si>
    <t>306f5914-4dd2-4cbe-870b-e6a307954892</t>
  </si>
  <si>
    <t>3babc5a8-2e4e-4760-9590-728aad873285</t>
  </si>
  <si>
    <t>c64acb57-62d4-4f13-8620-837e5f5baa18</t>
  </si>
  <si>
    <t>Canada Goose</t>
  </si>
  <si>
    <t>9:40</t>
  </si>
  <si>
    <t>e00b82e6-85e6-4370-89c8-b937e703f4df</t>
  </si>
  <si>
    <t>655</t>
  </si>
  <si>
    <t>Medium</t>
  </si>
  <si>
    <t>None</t>
  </si>
  <si>
    <t>f0b70154-715a-4cec-9f03-1c5fc9e0bb7c</t>
  </si>
  <si>
    <t>a6c4673c-f5f9-475a-9832-f47e12c67c6f</t>
  </si>
  <si>
    <t>Spotted Towhee</t>
  </si>
  <si>
    <t>83414ee8-fbcf-48b3-a5be-4211ac4a307a</t>
  </si>
  <si>
    <t>Orange-crowned Warbler</t>
  </si>
  <si>
    <t>26767f3b-580c-4f19-83e6-f57af6e07475</t>
  </si>
  <si>
    <t>a1757ac9-74ad-4ec7-8832-e12ec11a2900</t>
  </si>
  <si>
    <t>Bushtit</t>
  </si>
  <si>
    <t>6f085685-9c09-424e-80b8-c1567d77c2bb</t>
  </si>
  <si>
    <t>d9d81c51-aa60-47c5-9049-56c630547e41</t>
  </si>
  <si>
    <t>847b6143-5810-43c9-827e-919c3f42d927</t>
  </si>
  <si>
    <t>7100efdd-f1ef-43e0-9613-9e77f0478311</t>
  </si>
  <si>
    <t>36f3f30b-c7bf-4653-8f3d-7fdcf63fbd5a</t>
  </si>
  <si>
    <t>3fa0606c-5527-4da6-8670-3e1274d77f7d</t>
  </si>
  <si>
    <t>2912bdeb-42f9-4639-b935-959b98e95acc</t>
  </si>
  <si>
    <t>fc64eecb-718e-4560-aa92-18bfad21335b</t>
  </si>
  <si>
    <t>75d0b256-bc8c-4522-a7f4-2f5ad498f878</t>
  </si>
  <si>
    <t>de41de85-9386-45ab-912e-95b26174f010</t>
  </si>
  <si>
    <t>f95a3d14-0619-47e2-aca1-3d75e66ed894</t>
  </si>
  <si>
    <t>7a5b1f25-009b-453b-8394-b3ae759121d7</t>
  </si>
  <si>
    <t>Lark Sparrow</t>
  </si>
  <si>
    <t>41b8763f-f64e-4624-8949-f3ab9b554442</t>
  </si>
  <si>
    <t>be8cacec-3462-4317-bd45-3b5a61e93ecc</t>
  </si>
  <si>
    <t>singing males</t>
  </si>
  <si>
    <t>81ee7bac-e776-4a42-aef6-b98c3bffc2ec</t>
  </si>
  <si>
    <t>on irrigated plants</t>
  </si>
  <si>
    <t>5469d9ed-db1c-4557-9a7f-0cbea8e9db5a</t>
  </si>
  <si>
    <t>Hooded Oriole</t>
  </si>
  <si>
    <t>f053342e-0f85-4e43-a968-fb30e8dfed32</t>
  </si>
  <si>
    <t>9ff9cbb2-2a91-4018-8865-7a5122720d74</t>
  </si>
  <si>
    <t>abdaecb5-fa25-451e-9fe2-6903c85203e0</t>
  </si>
  <si>
    <t>b49a2a94-a77b-432a-b173-e13b0e0fadaa</t>
  </si>
  <si>
    <t>c3a573e8-822a-4440-8cb7-cb0c2a5910bd</t>
  </si>
  <si>
    <t>15ed7ab5-1935-44d0-8845-817308e56358</t>
  </si>
  <si>
    <t>74a6124c-21df-4f2a-bb91-f33cbefadcfd</t>
  </si>
  <si>
    <t>48fd4fa9-4426-462f-b43c-d776f1b488cb</t>
  </si>
  <si>
    <t>b760f3c4-1354-48a4-a52a-6eca2b51a7a0</t>
  </si>
  <si>
    <t>Black-chinned Hummingbird</t>
  </si>
  <si>
    <t>ba746d94-dd6d-4bb6-ba04-763081a3b807</t>
  </si>
  <si>
    <t>Feeding/Begging</t>
  </si>
  <si>
    <t>2 juvies</t>
  </si>
  <si>
    <t>d3381628-feb9-4547-8f41-cb55fc8bb794</t>
  </si>
  <si>
    <t>32bc6286-5a18-40df-8858-b1ad4e198be4</t>
  </si>
  <si>
    <t>89bef1c9-b124-430f-83ff-38e23d4cb9b4</t>
  </si>
  <si>
    <t>Savannah Sparrow (Belding's)</t>
  </si>
  <si>
    <t>c455302d-5d67-4ede-b856-9ba73ace1cf4</t>
  </si>
  <si>
    <t>5e3b3bbe-6677-4d79-96b6-a4aeda17f9a7</t>
  </si>
  <si>
    <t>Cassin's Kingbird</t>
  </si>
  <si>
    <t>1dc02008-ce2a-49c7-a683-fb978023bd65</t>
  </si>
  <si>
    <t>juveniles</t>
  </si>
  <si>
    <t>ef8dda31-ca27-42cb-95bb-841800f4308b</t>
  </si>
  <si>
    <t>08cac9fe-6de4-4281-870c-06542bce16ef</t>
  </si>
  <si>
    <t>Great Blue Heron</t>
  </si>
  <si>
    <t>e31f84b5-4d22-4a5a-a8a0-ae49450f0e58</t>
  </si>
  <si>
    <t>e5545bbe-38d0-452b-b64b-8cbc83290854</t>
  </si>
  <si>
    <t>European Starling</t>
  </si>
  <si>
    <t>f9ae0781-6b80-4060-ab81-e623f61176a7</t>
  </si>
  <si>
    <t>Turkey Vulture</t>
  </si>
  <si>
    <t>f31feeec-d849-44f2-87b2-8bb675175966</t>
  </si>
  <si>
    <t>8eb3014d-8842-4ce6-8dbc-6852ec79a1da</t>
  </si>
  <si>
    <t>0ce71332-27c4-4c50-9531-cba66dd01366</t>
  </si>
  <si>
    <t>1285e688-f5b8-4646-ae16-09bdc578d74a</t>
  </si>
  <si>
    <t>Allen's Hummingbird</t>
  </si>
  <si>
    <t>3976d85f-4193-4fcb-adea-869e7fdf455d</t>
  </si>
  <si>
    <t>e8c1be0b-c5db-420a-9939-f61abddf73ed</t>
  </si>
  <si>
    <t>b2252587-170c-41f4-894b-f77aacffc067</t>
  </si>
  <si>
    <t>c894cd92-e188-4301-adbf-1bfc8c6f8db9</t>
  </si>
  <si>
    <t>78eaae48-1568-4296-90e5-0bdc559fb76f</t>
  </si>
  <si>
    <t>Western Kingbird</t>
  </si>
  <si>
    <t>cf50214a-de53-4608-b81e-e03738d5d2dd</t>
  </si>
  <si>
    <t>6d57f105-8b35-4954-b1c8-fe7dde50c5e9</t>
  </si>
  <si>
    <t>014a4e3c-fc91-46e9-9cf8-68763af808db</t>
  </si>
  <si>
    <t>dc0a3087-1d5f-45df-9a07-db944e0dd6bc</t>
  </si>
  <si>
    <t>ea291e22-ebbf-4872-b0df-b58493a6bd4b</t>
  </si>
  <si>
    <t>297cfbc2-9aa1-49ab-b48b-2958d9930dca</t>
  </si>
  <si>
    <t>4a6b768b-b7fa-4594-a931-7fbb9518fa2f</t>
  </si>
  <si>
    <t>2ffc9c78-dbf8-49f0-830a-887f56489488</t>
  </si>
  <si>
    <t>200d6dfb-9659-43f0-9c4a-8d20be47f16e</t>
  </si>
  <si>
    <t>Nuttall's Woodpecker</t>
  </si>
  <si>
    <t>63ad39af-107e-491c-aa98-588d94471991</t>
  </si>
  <si>
    <t>3a3fa484-660c-41dc-bfed-5a7bf4c87150</t>
  </si>
  <si>
    <t>603c24db-9b44-46f8-9699-1c5856eedba4</t>
  </si>
  <si>
    <t>f8f80f5c-434f-4c20-9273-7c5904adec5e</t>
  </si>
  <si>
    <t>3f981340-9839-45de-9273-f8faada4f3b8</t>
  </si>
  <si>
    <t>a532ef7b-216e-4263-bc5e-c5811a32dbe8</t>
  </si>
  <si>
    <t>f0ad23c1-0630-4def-9c4e-03cfefe1a33e</t>
  </si>
  <si>
    <t>facae414-e509-458f-9437-78c3a814f09b</t>
  </si>
  <si>
    <t>118b72ea-8c5a-4f20-9a65-8124c8376cca</t>
  </si>
  <si>
    <t>59ad0d49-11f6-4f85-a04a-3c4286864d5c</t>
  </si>
  <si>
    <t>bc3ca8cc-a6c3-46de-8bb3-3cc8f01e7bba</t>
  </si>
  <si>
    <t>930</t>
  </si>
  <si>
    <t>High</t>
  </si>
  <si>
    <t>Light</t>
  </si>
  <si>
    <t>e314985f-5ebd-4494-a094-87e0361e7104</t>
  </si>
  <si>
    <t>0b2432a1-aa6b-4917-92c2-14a7485d57db</t>
  </si>
  <si>
    <t>2a1bba71-f2ca-48fe-9d42-bc9ad4a6a11f</t>
  </si>
  <si>
    <t>Time</t>
  </si>
  <si>
    <t>EAST: Steven, Linus</t>
  </si>
  <si>
    <t>WEST: Mark, Lisa, Beau</t>
  </si>
  <si>
    <t>Row Labels</t>
  </si>
  <si>
    <t>(blank)</t>
  </si>
  <si>
    <t>Grand Total</t>
  </si>
  <si>
    <t>Column Labels</t>
  </si>
  <si>
    <t>No Total</t>
  </si>
  <si>
    <t>Yes Total</t>
  </si>
  <si>
    <t>(blank) Total</t>
  </si>
  <si>
    <t>Sum of Count</t>
  </si>
  <si>
    <t>TRUE TOTAL</t>
  </si>
  <si>
    <t>REPEATS</t>
  </si>
  <si>
    <t>incresed from 4 to 8 after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</si>
</sst>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14">
    <xf numFmtId="0" fontId="0" fillId="0" borderId="0" xfId="0" applyNumberFormat="1" applyFill="1" applyAlignment="1" applyProtection="1"/>
    <xf numFmtId="22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0" fontId="0" fillId="0" borderId="0" xfId="0" pivotButton="1" applyNumberFormat="1" applyFill="1" applyAlignment="1" applyProtection="1"/>
    <xf numFmtId="0" fontId="0" fillId="0" borderId="0" xfId="0" applyNumberFormat="1" applyFill="1" applyAlignment="1" applyProtection="1">
      <alignment horizontal="left"/>
    </xf>
    <xf numFmtId="0" fontId="0" fillId="2" borderId="0" xfId="0" applyNumberFormat="1" applyFill="1" applyAlignment="1" applyProtection="1"/>
    <xf numFmtId="0" fontId="0" fillId="3" borderId="0" xfId="0" applyNumberFormat="1" applyFill="1" applyAlignment="1" applyProtection="1">
      <alignment wrapText="1"/>
    </xf>
    <xf numFmtId="0" fontId="1" fillId="3" borderId="0" xfId="0" applyNumberFormat="1" applyFont="1" applyFill="1" applyAlignment="1" applyProtection="1">
      <alignment horizontal="center" vertical="top" wrapText="1"/>
    </xf>
    <xf numFmtId="0" fontId="0" fillId="3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0" fillId="0" borderId="1" xfId="0" applyNumberFormat="1" applyFill="1" applyBorder="1" applyAlignment="1" applyProtection="1">
      <alignment horizontal="left"/>
    </xf>
    <xf numFmtId="0" fontId="0" fillId="0" borderId="1" xfId="0" applyNumberFormat="1" applyFill="1" applyBorder="1" applyAlignment="1" applyProtection="1"/>
    <xf numFmtId="0" fontId="0" fillId="3" borderId="1" xfId="0" applyNumberFormat="1" applyFill="1" applyBorder="1" applyAlignment="1" applyProtection="1"/>
    <xf numFmtId="0" fontId="0" fillId="2" borderId="1" xfId="0" applyNumberFormat="1" applyFill="1" applyBorder="1" applyAlignment="1" applyProtection="1"/>
  </cellXfs>
  <cellStyles count="1">
    <cellStyle name="Normal" xfId="0" builtinId="0"/>
  </cellStyles>
  <dxfs count="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cber-admin" refreshedDate="44400.405813310186" createdVersion="7" refreshedVersion="7" minRefreshableVersion="3" recordCount="135">
  <cacheSource type="worksheet">
    <worksheetSource ref="A1:AG1048576" sheet="NCOS_Bird_Survey_Data_2021__0"/>
  </cacheSource>
  <cacheFields count="33">
    <cacheField name="OBJECTID" numFmtId="0">
      <sharedItems containsString="0" containsBlank="1" containsNumber="1" containsInteger="1" minValue="1" maxValue="134"/>
    </cacheField>
    <cacheField name="Time" numFmtId="0">
      <sharedItems containsNonDate="0" containsDate="1" containsString="0" containsBlank="1" minDate="2021-07-22T06:48:06" maxDate="2021-07-22T09:42:22"/>
    </cacheField>
    <cacheField name="Species" numFmtId="0">
      <sharedItems containsBlank="1" count="42">
        <s v="Black-crowned Night-Heron"/>
        <s v="Song Sparrow"/>
        <s v="Mallard"/>
        <s v="Western Bluebird"/>
        <s v="House Finch"/>
        <s v="Say's Phoebe"/>
        <s v="Anna's Hummingbird"/>
        <s v="Black Phoebe"/>
        <s v="Oak Titmouse"/>
        <s v="Western Gull"/>
        <s v="Scaly-breasted Munia"/>
        <s v="American Crow"/>
        <s v="California Towhee"/>
        <s v="Cliff Swallow"/>
        <s v="Rock Pigeon (Feral Pigeon)"/>
        <s v="Lesser Goldfinch"/>
        <s v="Eurasian Collared-Dove"/>
        <s v="Bewick's Wren"/>
        <s v="Common Yellowthroat"/>
        <s v="Northern Mockingbird"/>
        <s v="Cooper's Hawk"/>
        <s v="Mourning Dove"/>
        <s v="California Scrub-Jay"/>
        <s v="House Sparrow"/>
        <s v="Wrentit"/>
        <s v="Rufous/Allen's Hummingbird"/>
        <s v="Canada Goose"/>
        <s v="Spotted Towhee"/>
        <s v="Orange-crowned Warbler"/>
        <s v="Bushtit"/>
        <s v="Lark Sparrow"/>
        <s v="Hooded Oriole"/>
        <s v="Black-chinned Hummingbird"/>
        <s v="Savannah Sparrow (Belding's)"/>
        <s v="Cassin's Kingbird"/>
        <s v="Great Blue Heron"/>
        <s v="European Starling"/>
        <s v="Turkey Vulture"/>
        <s v="Allen's Hummingbird"/>
        <s v="Western Kingbird"/>
        <s v="Nuttall's Woodpecker"/>
        <m/>
      </sharedItems>
    </cacheField>
    <cacheField name="Count" numFmtId="0">
      <sharedItems containsString="0" containsBlank="1" containsNumber="1" containsInteger="1" minValue="1" maxValue="15"/>
    </cacheField>
    <cacheField name="Repeat Observation" numFmtId="0">
      <sharedItems containsBlank="1" count="3">
        <s v="No"/>
        <s v="Yes"/>
        <m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4.4000000000000004" maxValue="4.4000000000000004"/>
    </cacheField>
    <cacheField name="Observers" numFmtId="0">
      <sharedItems containsBlank="1" count="3">
        <s v="EAST: Steven, Linus"/>
        <s v="WEST: Mark, Lisa, Beau"/>
        <m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69" maxValue="69"/>
    </cacheField>
    <cacheField name="Starting % Cloud Cover" numFmtId="0">
      <sharedItems containsString="0" containsBlank="1" containsNumber="1" containsInteger="1" minValue="15" maxValue="15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Blank="1"/>
    </cacheField>
    <cacheField name="Ending Temp (F)" numFmtId="0">
      <sharedItems containsString="0" containsBlank="1" containsNumber="1" containsInteger="1" minValue="75" maxValue="75"/>
    </cacheField>
    <cacheField name="Ending % Cloud Cover" numFmtId="0">
      <sharedItems containsString="0" containsBlank="1" containsNumber="1" containsInteger="1" minValue="10" maxValue="15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CreationDate" numFmtId="0">
      <sharedItems containsNonDate="0" containsDate="1" containsString="0" containsBlank="1" minDate="2021-07-22T13:48:06" maxDate="2021-07-22T16:42:22"/>
    </cacheField>
    <cacheField name="Creator" numFmtId="0">
      <sharedItems containsBlank="1"/>
    </cacheField>
    <cacheField name="EditDate" numFmtId="0">
      <sharedItems containsNonDate="0" containsDate="1" containsString="0" containsBlank="1" minDate="2021-07-22T13:48:06" maxDate="2021-07-22T17:04:59"/>
    </cacheField>
    <cacheField name="Editor" numFmtId="0">
      <sharedItems containsBlank="1"/>
    </cacheField>
    <cacheField name="x" numFmtId="0">
      <sharedItems containsString="0" containsBlank="1" containsNumber="1" minValue="-119.885090986298" maxValue="-119.871436805084"/>
    </cacheField>
    <cacheField name="y" numFmtId="0">
      <sharedItems containsString="0" containsBlank="1" containsNumber="1" minValue="34.417610964951201" maxValue="34.422537661947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n v="1"/>
    <d v="2021-07-22T07:01:42"/>
    <x v="0"/>
    <n v="1"/>
    <x v="0"/>
    <s v="Flyover"/>
    <m/>
    <m/>
    <m/>
    <m/>
    <x v="0"/>
    <m/>
    <m/>
    <m/>
    <m/>
    <m/>
    <m/>
    <m/>
    <m/>
    <m/>
    <m/>
    <m/>
    <m/>
    <m/>
    <m/>
    <m/>
    <s v="2c70a49b-358e-4038-b8af-fc7f13ff1632"/>
    <d v="2021-07-22T14:01:42"/>
    <s v="ccber_user"/>
    <d v="2021-07-22T14:01:42"/>
    <s v="ccber_user"/>
    <n v="-119.873551849793"/>
    <n v="34.417881066842099"/>
  </r>
  <r>
    <n v="2"/>
    <d v="2021-07-22T07:03:34"/>
    <x v="1"/>
    <n v="1"/>
    <x v="0"/>
    <s v="Vegetation - Shrub"/>
    <m/>
    <m/>
    <m/>
    <m/>
    <x v="0"/>
    <m/>
    <m/>
    <m/>
    <m/>
    <m/>
    <m/>
    <m/>
    <m/>
    <m/>
    <m/>
    <m/>
    <m/>
    <m/>
    <m/>
    <m/>
    <s v="e3628e8a-7094-4c17-bd5d-26e33ad7c88d"/>
    <d v="2021-07-22T14:03:34"/>
    <s v="ccber_user"/>
    <d v="2021-07-22T14:03:34"/>
    <s v="ccber_user"/>
    <n v="-119.87407651622399"/>
    <n v="34.419015066863999"/>
  </r>
  <r>
    <n v="3"/>
    <d v="2021-07-22T07:04:33"/>
    <x v="1"/>
    <n v="1"/>
    <x v="0"/>
    <s v="Vegetation - Shrub"/>
    <m/>
    <m/>
    <m/>
    <m/>
    <x v="0"/>
    <m/>
    <m/>
    <m/>
    <m/>
    <m/>
    <m/>
    <m/>
    <m/>
    <m/>
    <m/>
    <m/>
    <m/>
    <m/>
    <m/>
    <m/>
    <s v="43d28209-f218-44f8-8209-a6837aceecb5"/>
    <d v="2021-07-22T14:04:33"/>
    <s v="ccber_user"/>
    <d v="2021-07-22T14:04:33"/>
    <s v="ccber_user"/>
    <n v="-119.874168800153"/>
    <n v="34.4191497002966"/>
  </r>
  <r>
    <n v="4"/>
    <d v="2021-07-22T07:04:50"/>
    <x v="2"/>
    <n v="2"/>
    <x v="0"/>
    <s v="Flyover"/>
    <m/>
    <m/>
    <m/>
    <m/>
    <x v="0"/>
    <m/>
    <m/>
    <m/>
    <m/>
    <m/>
    <m/>
    <m/>
    <m/>
    <m/>
    <m/>
    <m/>
    <m/>
    <m/>
    <m/>
    <m/>
    <s v="89b95297-8ed3-472f-b6ba-5bdd1a9fe6ff"/>
    <d v="2021-07-22T14:04:50"/>
    <s v="ccber_user"/>
    <d v="2021-07-22T14:04:50"/>
    <s v="ccber_user"/>
    <n v="-119.87530866792601"/>
    <n v="34.4189232218706"/>
  </r>
  <r>
    <n v="5"/>
    <d v="2021-07-22T07:05:55"/>
    <x v="3"/>
    <n v="1"/>
    <x v="0"/>
    <s v="Flyover"/>
    <m/>
    <m/>
    <m/>
    <m/>
    <x v="0"/>
    <m/>
    <m/>
    <m/>
    <m/>
    <m/>
    <m/>
    <m/>
    <m/>
    <m/>
    <m/>
    <m/>
    <m/>
    <m/>
    <m/>
    <m/>
    <s v="0f332e9b-db10-4d82-a52d-7b24c2acafc8"/>
    <d v="2021-07-22T14:05:55"/>
    <s v="ccber_user"/>
    <d v="2021-07-22T14:05:55"/>
    <s v="ccber_user"/>
    <n v="-119.87447441509801"/>
    <n v="34.418810992842999"/>
  </r>
  <r>
    <n v="6"/>
    <d v="2021-07-22T07:09:04"/>
    <x v="4"/>
    <n v="3"/>
    <x v="0"/>
    <s v="Fence"/>
    <m/>
    <m/>
    <m/>
    <m/>
    <x v="0"/>
    <m/>
    <m/>
    <m/>
    <m/>
    <m/>
    <m/>
    <m/>
    <m/>
    <m/>
    <m/>
    <m/>
    <m/>
    <m/>
    <m/>
    <m/>
    <s v="4ac998a3-376e-4658-a7ba-6d6a82d938cc"/>
    <d v="2021-07-22T14:09:04"/>
    <s v="ccber_user"/>
    <d v="2021-07-22T14:09:04"/>
    <s v="ccber_user"/>
    <n v="-119.873545186988"/>
    <n v="34.420039152455402"/>
  </r>
  <r>
    <n v="7"/>
    <d v="2021-07-22T07:11:05"/>
    <x v="5"/>
    <n v="2"/>
    <x v="0"/>
    <s v="Vegetation - Herbaceous"/>
    <m/>
    <m/>
    <m/>
    <m/>
    <x v="0"/>
    <m/>
    <m/>
    <m/>
    <m/>
    <m/>
    <m/>
    <m/>
    <m/>
    <m/>
    <m/>
    <m/>
    <m/>
    <m/>
    <m/>
    <m/>
    <s v="a5f48bb4-d1d9-42e3-800e-652fe90415f4"/>
    <d v="2021-07-22T14:11:05"/>
    <s v="ccber_user"/>
    <d v="2021-07-22T14:11:05"/>
    <s v="ccber_user"/>
    <n v="-119.87283671447"/>
    <n v="34.421106365771401"/>
  </r>
  <r>
    <n v="8"/>
    <d v="2021-07-22T07:11:40"/>
    <x v="6"/>
    <n v="1"/>
    <x v="0"/>
    <s v="Flyover"/>
    <m/>
    <m/>
    <m/>
    <m/>
    <x v="0"/>
    <m/>
    <m/>
    <m/>
    <m/>
    <m/>
    <m/>
    <m/>
    <m/>
    <m/>
    <m/>
    <m/>
    <m/>
    <m/>
    <m/>
    <m/>
    <s v="4e7be1d9-4171-40ab-9754-53bbd21618ca"/>
    <d v="2021-07-22T14:11:40"/>
    <s v="ccber_user"/>
    <d v="2021-07-22T14:11:40"/>
    <s v="ccber_user"/>
    <n v="-119.87309084067699"/>
    <n v="34.421110600729499"/>
  </r>
  <r>
    <n v="9"/>
    <d v="2021-07-22T07:12:08"/>
    <x v="7"/>
    <n v="1"/>
    <x v="0"/>
    <s v="Vegetation - Herbaceous"/>
    <m/>
    <m/>
    <m/>
    <m/>
    <x v="0"/>
    <m/>
    <m/>
    <m/>
    <m/>
    <m/>
    <m/>
    <m/>
    <m/>
    <m/>
    <m/>
    <m/>
    <m/>
    <m/>
    <m/>
    <m/>
    <s v="9dff121c-1995-4710-9991-d12a2d8757b0"/>
    <d v="2021-07-22T14:12:08"/>
    <s v="ccber_user"/>
    <d v="2021-07-22T14:12:08"/>
    <s v="ccber_user"/>
    <n v="-119.87315234832499"/>
    <n v="34.420960259955898"/>
  </r>
  <r>
    <n v="10"/>
    <d v="2021-07-22T07:19:52"/>
    <x v="8"/>
    <n v="3"/>
    <x v="0"/>
    <s v="Vegetation - Tree"/>
    <m/>
    <m/>
    <m/>
    <m/>
    <x v="0"/>
    <m/>
    <m/>
    <m/>
    <m/>
    <m/>
    <m/>
    <m/>
    <m/>
    <m/>
    <m/>
    <m/>
    <m/>
    <m/>
    <m/>
    <m/>
    <s v="d7f4e808-cf82-4ec1-a32b-71418933c709"/>
    <d v="2021-07-22T14:19:52"/>
    <s v="ccber_user"/>
    <d v="2021-07-22T14:19:52"/>
    <s v="ccber_user"/>
    <n v="-119.871436805084"/>
    <n v="34.4214777437344"/>
  </r>
  <r>
    <n v="11"/>
    <d v="2021-07-22T07:20:08"/>
    <x v="6"/>
    <n v="2"/>
    <x v="0"/>
    <s v="Vegetation - Tree"/>
    <m/>
    <m/>
    <m/>
    <m/>
    <x v="0"/>
    <m/>
    <m/>
    <m/>
    <m/>
    <m/>
    <m/>
    <m/>
    <m/>
    <m/>
    <m/>
    <m/>
    <m/>
    <m/>
    <m/>
    <m/>
    <s v="111fa76c-c75e-47a9-ba09-e8657e877e99"/>
    <d v="2021-07-22T14:20:08"/>
    <s v="ccber_user"/>
    <d v="2021-07-22T14:20:08"/>
    <s v="ccber_user"/>
    <n v="-119.871472514015"/>
    <n v="34.4214981418381"/>
  </r>
  <r>
    <n v="12"/>
    <d v="2021-07-22T07:20:26"/>
    <x v="3"/>
    <n v="1"/>
    <x v="0"/>
    <s v="Bare ground"/>
    <m/>
    <m/>
    <m/>
    <m/>
    <x v="0"/>
    <m/>
    <m/>
    <m/>
    <m/>
    <m/>
    <m/>
    <m/>
    <m/>
    <m/>
    <m/>
    <m/>
    <m/>
    <m/>
    <m/>
    <m/>
    <s v="ade9fed4-9575-45e2-90f9-99eaa44dafb1"/>
    <d v="2021-07-22T14:20:26"/>
    <s v="ccber_user"/>
    <d v="2021-07-22T14:20:26"/>
    <s v="ccber_user"/>
    <n v="-119.87169583699099"/>
    <n v="34.421358389496199"/>
  </r>
  <r>
    <n v="13"/>
    <d v="2021-07-22T07:20:42"/>
    <x v="9"/>
    <n v="1"/>
    <x v="0"/>
    <s v="Flyover"/>
    <m/>
    <m/>
    <m/>
    <m/>
    <x v="0"/>
    <m/>
    <m/>
    <m/>
    <m/>
    <m/>
    <m/>
    <m/>
    <m/>
    <m/>
    <m/>
    <m/>
    <m/>
    <m/>
    <m/>
    <m/>
    <s v="788fefad-27c8-4b70-b549-08cef746368e"/>
    <d v="2021-07-22T14:20:42"/>
    <s v="ccber_user"/>
    <d v="2021-07-22T14:20:42"/>
    <s v="ccber_user"/>
    <n v="-119.87169840347801"/>
    <n v="34.421178404491499"/>
  </r>
  <r>
    <n v="14"/>
    <d v="2021-07-22T07:28:44"/>
    <x v="10"/>
    <n v="5"/>
    <x v="0"/>
    <s v="Vegetation - Herbaceous"/>
    <m/>
    <m/>
    <m/>
    <m/>
    <x v="0"/>
    <m/>
    <m/>
    <m/>
    <m/>
    <m/>
    <m/>
    <m/>
    <m/>
    <m/>
    <m/>
    <m/>
    <m/>
    <m/>
    <m/>
    <m/>
    <s v="802bd9e4-ed7d-48f5-b983-5545f16c13f7"/>
    <d v="2021-07-22T14:28:44"/>
    <s v="ccber_user"/>
    <d v="2021-07-22T14:28:44"/>
    <s v="ccber_user"/>
    <n v="-119.87350249724901"/>
    <n v="34.421853726218501"/>
  </r>
  <r>
    <n v="15"/>
    <d v="2021-07-22T07:29:05"/>
    <x v="11"/>
    <n v="1"/>
    <x v="0"/>
    <s v="Vegetation - Tree"/>
    <m/>
    <m/>
    <m/>
    <m/>
    <x v="0"/>
    <m/>
    <m/>
    <m/>
    <m/>
    <m/>
    <m/>
    <m/>
    <m/>
    <m/>
    <m/>
    <m/>
    <m/>
    <m/>
    <m/>
    <m/>
    <s v="4f236085-d21d-4390-b7b6-cf3009610336"/>
    <d v="2021-07-22T14:29:05"/>
    <s v="ccber_user"/>
    <d v="2021-07-22T14:29:05"/>
    <s v="ccber_user"/>
    <n v="-119.873697583481"/>
    <n v="34.421561516944301"/>
  </r>
  <r>
    <n v="16"/>
    <d v="2021-07-22T07:33:50"/>
    <x v="12"/>
    <n v="2"/>
    <x v="0"/>
    <s v="Vegetation - Tree"/>
    <m/>
    <m/>
    <m/>
    <m/>
    <x v="0"/>
    <m/>
    <m/>
    <m/>
    <m/>
    <m/>
    <m/>
    <m/>
    <m/>
    <m/>
    <m/>
    <m/>
    <m/>
    <m/>
    <m/>
    <m/>
    <s v="cfe2fb25-4301-404a-af4d-b055a32a027e"/>
    <d v="2021-07-22T14:33:50"/>
    <s v="ccber_user"/>
    <d v="2021-07-22T14:33:50"/>
    <s v="ccber_user"/>
    <n v="-119.872100953828"/>
    <n v="34.422537661947402"/>
  </r>
  <r>
    <n v="17"/>
    <d v="2021-07-22T07:36:10"/>
    <x v="12"/>
    <n v="1"/>
    <x v="0"/>
    <s v="Vegetation - Herbaceous"/>
    <m/>
    <m/>
    <m/>
    <m/>
    <x v="0"/>
    <m/>
    <m/>
    <m/>
    <m/>
    <m/>
    <m/>
    <m/>
    <m/>
    <m/>
    <m/>
    <m/>
    <m/>
    <m/>
    <m/>
    <m/>
    <s v="cbd729e3-3d95-4145-b174-bdf5735f5b24"/>
    <d v="2021-07-22T14:36:10"/>
    <s v="ccber_user"/>
    <d v="2021-07-22T14:36:10"/>
    <s v="ccber_user"/>
    <n v="-119.871883799583"/>
    <n v="34.421589897303697"/>
  </r>
  <r>
    <n v="18"/>
    <d v="2021-07-22T07:37:37"/>
    <x v="1"/>
    <n v="1"/>
    <x v="0"/>
    <s v="Vegetation - Herbaceous"/>
    <m/>
    <m/>
    <m/>
    <m/>
    <x v="0"/>
    <m/>
    <m/>
    <m/>
    <m/>
    <m/>
    <m/>
    <m/>
    <m/>
    <m/>
    <m/>
    <m/>
    <m/>
    <m/>
    <m/>
    <m/>
    <s v="bfe94dc0-2a1d-4243-8907-98b33d028473"/>
    <d v="2021-07-22T14:37:37"/>
    <s v="ccber_user"/>
    <d v="2021-07-22T14:37:37"/>
    <s v="ccber_user"/>
    <n v="-119.87275359964499"/>
    <n v="34.421753633093402"/>
  </r>
  <r>
    <n v="19"/>
    <d v="2021-07-22T07:38:06"/>
    <x v="2"/>
    <n v="10"/>
    <x v="0"/>
    <s v="Water - Wading"/>
    <m/>
    <m/>
    <m/>
    <m/>
    <x v="0"/>
    <m/>
    <m/>
    <m/>
    <m/>
    <m/>
    <m/>
    <m/>
    <m/>
    <m/>
    <m/>
    <m/>
    <m/>
    <m/>
    <m/>
    <m/>
    <s v="77e2cbc4-1e07-4164-87b3-208c8cd8a0ce"/>
    <d v="2021-07-22T14:38:06"/>
    <s v="ccber_user"/>
    <d v="2021-07-22T14:38:06"/>
    <s v="ccber_user"/>
    <n v="-119.873305617082"/>
    <n v="34.4216443497154"/>
  </r>
  <r>
    <n v="20"/>
    <d v="2021-07-22T07:38:26"/>
    <x v="7"/>
    <n v="1"/>
    <x v="0"/>
    <s v="Bare ground"/>
    <m/>
    <m/>
    <m/>
    <m/>
    <x v="0"/>
    <m/>
    <m/>
    <m/>
    <m/>
    <m/>
    <m/>
    <m/>
    <m/>
    <m/>
    <m/>
    <m/>
    <m/>
    <m/>
    <m/>
    <m/>
    <s v="1a9fc3a5-0899-4b38-a099-1493f30c365d"/>
    <d v="2021-07-22T14:38:26"/>
    <s v="ccber_user"/>
    <d v="2021-07-22T14:38:26"/>
    <s v="ccber_user"/>
    <n v="-119.87356707803301"/>
    <n v="34.421679522236097"/>
  </r>
  <r>
    <n v="21"/>
    <d v="2021-07-22T07:38:43"/>
    <x v="1"/>
    <n v="1"/>
    <x v="0"/>
    <s v="Vegetation - Herbaceous"/>
    <m/>
    <m/>
    <m/>
    <m/>
    <x v="0"/>
    <m/>
    <m/>
    <m/>
    <m/>
    <m/>
    <m/>
    <m/>
    <m/>
    <m/>
    <m/>
    <m/>
    <m/>
    <m/>
    <m/>
    <m/>
    <s v="6e05f991-92d4-4b1c-b38c-75cad8fc9c7e"/>
    <d v="2021-07-22T14:38:43"/>
    <s v="ccber_user"/>
    <d v="2021-07-22T14:38:43"/>
    <s v="ccber_user"/>
    <n v="-119.873713392932"/>
    <n v="34.421677405141999"/>
  </r>
  <r>
    <n v="22"/>
    <d v="2021-07-22T07:39:13"/>
    <x v="0"/>
    <n v="3"/>
    <x v="0"/>
    <s v="Vegetation - Herbaceous"/>
    <m/>
    <m/>
    <s v="1 juvenile "/>
    <m/>
    <x v="0"/>
    <m/>
    <m/>
    <m/>
    <m/>
    <m/>
    <m/>
    <m/>
    <m/>
    <m/>
    <m/>
    <m/>
    <m/>
    <m/>
    <m/>
    <m/>
    <s v="b6db0805-8f87-43b4-bee5-c9caac917a1f"/>
    <d v="2021-07-22T14:39:13"/>
    <s v="ccber_user"/>
    <d v="2021-07-22T14:40:47"/>
    <s v="ccber_user"/>
    <n v="-119.873405361519"/>
    <n v="34.421734039799297"/>
  </r>
  <r>
    <n v="23"/>
    <d v="2021-07-22T07:39:28"/>
    <x v="6"/>
    <n v="1"/>
    <x v="0"/>
    <s v="Air"/>
    <m/>
    <m/>
    <m/>
    <m/>
    <x v="0"/>
    <m/>
    <m/>
    <m/>
    <m/>
    <m/>
    <m/>
    <m/>
    <m/>
    <m/>
    <m/>
    <m/>
    <m/>
    <m/>
    <m/>
    <m/>
    <s v="a2b639fc-c1fe-4c27-8d5c-8687cd959158"/>
    <d v="2021-07-22T14:39:28"/>
    <s v="ccber_user"/>
    <d v="2021-07-22T14:39:28"/>
    <s v="ccber_user"/>
    <n v="-119.87255057320399"/>
    <n v="34.4217594493539"/>
  </r>
  <r>
    <n v="24"/>
    <d v="2021-07-22T07:40:12"/>
    <x v="13"/>
    <n v="4"/>
    <x v="0"/>
    <s v="Air"/>
    <m/>
    <m/>
    <m/>
    <m/>
    <x v="0"/>
    <m/>
    <m/>
    <m/>
    <m/>
    <m/>
    <m/>
    <m/>
    <m/>
    <m/>
    <m/>
    <m/>
    <m/>
    <m/>
    <m/>
    <m/>
    <s v="051dd3b2-0baf-4b1e-911b-0f5adb5f23e3"/>
    <d v="2021-07-22T14:40:12"/>
    <s v="ccber_user"/>
    <d v="2021-07-22T14:40:12"/>
    <s v="ccber_user"/>
    <n v="-119.873466967083"/>
    <n v="34.4217446267442"/>
  </r>
  <r>
    <n v="25"/>
    <d v="2021-07-22T07:42:49"/>
    <x v="1"/>
    <n v="1"/>
    <x v="0"/>
    <s v="Fence"/>
    <m/>
    <m/>
    <m/>
    <m/>
    <x v="0"/>
    <m/>
    <m/>
    <m/>
    <m/>
    <m/>
    <m/>
    <m/>
    <m/>
    <m/>
    <m/>
    <m/>
    <m/>
    <m/>
    <m/>
    <m/>
    <s v="9ee703fc-bdaa-4f63-8286-528ed86d02fc"/>
    <d v="2021-07-22T14:42:49"/>
    <s v="ccber_user"/>
    <d v="2021-07-22T14:42:49"/>
    <s v="ccber_user"/>
    <n v="-119.873831383051"/>
    <n v="34.421520333208598"/>
  </r>
  <r>
    <n v="26"/>
    <d v="2021-07-22T07:43:15"/>
    <x v="6"/>
    <n v="1"/>
    <x v="0"/>
    <s v="Air"/>
    <m/>
    <m/>
    <m/>
    <m/>
    <x v="0"/>
    <m/>
    <m/>
    <m/>
    <m/>
    <m/>
    <m/>
    <m/>
    <m/>
    <m/>
    <m/>
    <m/>
    <m/>
    <m/>
    <m/>
    <m/>
    <s v="df80cd7a-0b63-44ea-92e5-6da142eafd69"/>
    <d v="2021-07-22T14:43:15"/>
    <s v="ccber_user"/>
    <d v="2021-07-22T14:43:15"/>
    <s v="ccber_user"/>
    <n v="-119.873941229943"/>
    <n v="34.421716514686402"/>
  </r>
  <r>
    <n v="27"/>
    <d v="2021-07-22T07:45:24"/>
    <x v="4"/>
    <n v="1"/>
    <x v="0"/>
    <s v="Vegetation - Shrub"/>
    <m/>
    <m/>
    <m/>
    <m/>
    <x v="0"/>
    <m/>
    <m/>
    <m/>
    <m/>
    <m/>
    <m/>
    <m/>
    <m/>
    <m/>
    <m/>
    <m/>
    <m/>
    <m/>
    <m/>
    <m/>
    <s v="58fef1ff-336c-44f3-be30-d853fc70bdac"/>
    <d v="2021-07-22T14:45:24"/>
    <s v="ccber_user"/>
    <d v="2021-07-22T14:45:24"/>
    <s v="ccber_user"/>
    <n v="-119.874726840794"/>
    <n v="34.421317685102501"/>
  </r>
  <r>
    <n v="28"/>
    <d v="2021-07-22T07:45:45"/>
    <x v="14"/>
    <n v="2"/>
    <x v="0"/>
    <s v="Flyover"/>
    <m/>
    <m/>
    <m/>
    <m/>
    <x v="0"/>
    <m/>
    <m/>
    <m/>
    <m/>
    <m/>
    <m/>
    <m/>
    <m/>
    <m/>
    <m/>
    <m/>
    <m/>
    <m/>
    <m/>
    <m/>
    <s v="323023ce-ae23-4497-875e-e6d11ebbedb8"/>
    <d v="2021-07-22T14:45:45"/>
    <s v="ccber_user"/>
    <d v="2021-07-22T14:45:45"/>
    <s v="ccber_user"/>
    <n v="-119.874049171507"/>
    <n v="34.420945009632199"/>
  </r>
  <r>
    <n v="29"/>
    <d v="2021-07-22T07:47:35"/>
    <x v="15"/>
    <n v="2"/>
    <x v="0"/>
    <s v="Vegetation - Herbaceous"/>
    <m/>
    <m/>
    <m/>
    <m/>
    <x v="0"/>
    <m/>
    <m/>
    <m/>
    <m/>
    <m/>
    <m/>
    <m/>
    <m/>
    <m/>
    <m/>
    <m/>
    <m/>
    <m/>
    <m/>
    <m/>
    <s v="d5aa85f6-82db-47f5-bd70-63b9c5a3af00"/>
    <d v="2021-07-22T14:47:35"/>
    <s v="ccber_user"/>
    <d v="2021-07-22T14:47:35"/>
    <s v="ccber_user"/>
    <n v="-119.875357810263"/>
    <n v="34.421224495456698"/>
  </r>
  <r>
    <n v="30"/>
    <d v="2021-07-22T07:48:43"/>
    <x v="4"/>
    <n v="3"/>
    <x v="0"/>
    <s v="Vegetation - Tree"/>
    <m/>
    <m/>
    <m/>
    <m/>
    <x v="0"/>
    <m/>
    <m/>
    <m/>
    <m/>
    <m/>
    <m/>
    <m/>
    <m/>
    <m/>
    <m/>
    <m/>
    <m/>
    <m/>
    <m/>
    <m/>
    <s v="98ed6b7c-1b24-49b4-bfd3-0cff0e2d753f"/>
    <d v="2021-07-22T14:48:43"/>
    <s v="ccber_user"/>
    <d v="2021-07-22T14:48:43"/>
    <s v="ccber_user"/>
    <n v="-119.87637753824799"/>
    <n v="34.420654169567896"/>
  </r>
  <r>
    <n v="31"/>
    <d v="2021-07-22T07:49:00"/>
    <x v="6"/>
    <n v="1"/>
    <x v="0"/>
    <s v="Air"/>
    <m/>
    <m/>
    <m/>
    <m/>
    <x v="0"/>
    <m/>
    <m/>
    <m/>
    <m/>
    <m/>
    <m/>
    <m/>
    <m/>
    <m/>
    <m/>
    <m/>
    <m/>
    <m/>
    <m/>
    <m/>
    <s v="a3f2e87b-186e-41fb-9f3a-3e85907ce20b"/>
    <d v="2021-07-22T14:49:00"/>
    <s v="ccber_user"/>
    <d v="2021-07-22T14:49:00"/>
    <s v="ccber_user"/>
    <n v="-119.87597155274"/>
    <n v="34.420370425351798"/>
  </r>
  <r>
    <n v="32"/>
    <d v="2021-07-22T07:51:23"/>
    <x v="16"/>
    <n v="2"/>
    <x v="0"/>
    <s v="Vegetation - Herbaceous"/>
    <m/>
    <m/>
    <m/>
    <m/>
    <x v="0"/>
    <m/>
    <m/>
    <m/>
    <m/>
    <m/>
    <m/>
    <m/>
    <m/>
    <m/>
    <m/>
    <m/>
    <m/>
    <m/>
    <m/>
    <m/>
    <s v="50328041-72e6-47d1-8b97-a31b4c06558b"/>
    <d v="2021-07-22T14:51:23"/>
    <s v="ccber_user"/>
    <d v="2021-07-22T14:51:23"/>
    <s v="ccber_user"/>
    <n v="-119.876809654849"/>
    <n v="34.420415952096597"/>
  </r>
  <r>
    <n v="33"/>
    <d v="2021-07-22T07:51:57"/>
    <x v="15"/>
    <n v="2"/>
    <x v="0"/>
    <s v="Vegetation - Herbaceous"/>
    <m/>
    <m/>
    <m/>
    <m/>
    <x v="0"/>
    <m/>
    <m/>
    <m/>
    <m/>
    <m/>
    <m/>
    <m/>
    <m/>
    <m/>
    <m/>
    <m/>
    <m/>
    <m/>
    <m/>
    <m/>
    <s v="9c67cb81-ceff-4b76-8ce7-df0c60e08848"/>
    <d v="2021-07-22T14:51:57"/>
    <s v="ccber_user"/>
    <d v="2021-07-22T14:51:57"/>
    <s v="ccber_user"/>
    <n v="-119.87645541859"/>
    <n v="34.420221142183401"/>
  </r>
  <r>
    <n v="34"/>
    <d v="2021-07-22T07:54:00"/>
    <x v="17"/>
    <n v="1"/>
    <x v="1"/>
    <s v="Vegetation - Tree"/>
    <m/>
    <m/>
    <m/>
    <m/>
    <x v="0"/>
    <m/>
    <m/>
    <m/>
    <m/>
    <m/>
    <m/>
    <m/>
    <m/>
    <m/>
    <m/>
    <m/>
    <m/>
    <m/>
    <m/>
    <m/>
    <s v="ffa0b940-690b-45aa-ab1f-0abd1c0c55b5"/>
    <d v="2021-07-22T14:54:00"/>
    <s v="ccber_user"/>
    <d v="2021-07-22T14:54:00"/>
    <s v="ccber_user"/>
    <n v="-119.87775348148099"/>
    <n v="34.4194784379156"/>
  </r>
  <r>
    <n v="35"/>
    <d v="2021-07-22T07:56:37"/>
    <x v="18"/>
    <n v="1"/>
    <x v="0"/>
    <s v="Vegetation - Shrub"/>
    <m/>
    <m/>
    <m/>
    <m/>
    <x v="0"/>
    <m/>
    <m/>
    <m/>
    <m/>
    <m/>
    <m/>
    <m/>
    <m/>
    <m/>
    <m/>
    <m/>
    <m/>
    <m/>
    <m/>
    <m/>
    <s v="3938b5e1-8d58-477e-872d-6652c7541d7b"/>
    <d v="2021-07-22T14:56:37"/>
    <s v="ccber_user"/>
    <d v="2021-07-22T14:56:37"/>
    <s v="ccber_user"/>
    <n v="-119.876834911882"/>
    <n v="34.42083822987"/>
  </r>
  <r>
    <n v="36"/>
    <d v="2021-07-22T07:59:04"/>
    <x v="19"/>
    <n v="1"/>
    <x v="0"/>
    <s v="Vegetation - Tree"/>
    <m/>
    <m/>
    <m/>
    <m/>
    <x v="0"/>
    <m/>
    <m/>
    <m/>
    <m/>
    <m/>
    <m/>
    <m/>
    <m/>
    <m/>
    <m/>
    <m/>
    <m/>
    <m/>
    <m/>
    <m/>
    <s v="67c4b3a4-09a1-4076-b2f8-f6753db12b20"/>
    <d v="2021-07-22T14:59:04"/>
    <s v="ccber_user"/>
    <d v="2021-07-22T14:59:04"/>
    <s v="ccber_user"/>
    <n v="-119.878089907741"/>
    <n v="34.421786236455297"/>
  </r>
  <r>
    <n v="37"/>
    <d v="2021-07-22T07:59:30"/>
    <x v="6"/>
    <n v="1"/>
    <x v="0"/>
    <s v="Flyover"/>
    <m/>
    <m/>
    <m/>
    <m/>
    <x v="0"/>
    <m/>
    <m/>
    <m/>
    <m/>
    <m/>
    <m/>
    <m/>
    <m/>
    <m/>
    <m/>
    <m/>
    <m/>
    <m/>
    <m/>
    <m/>
    <s v="d5426ea2-8c7d-4314-a746-f34554f5c691"/>
    <d v="2021-07-22T14:59:30"/>
    <s v="ccber_user"/>
    <d v="2021-07-22T14:59:30"/>
    <s v="ccber_user"/>
    <n v="-119.878069604917"/>
    <n v="34.421242667586498"/>
  </r>
  <r>
    <n v="38"/>
    <d v="2021-07-22T08:00:42"/>
    <x v="20"/>
    <n v="1"/>
    <x v="1"/>
    <s v="Flyover"/>
    <m/>
    <m/>
    <m/>
    <m/>
    <x v="0"/>
    <m/>
    <m/>
    <m/>
    <m/>
    <m/>
    <m/>
    <m/>
    <m/>
    <m/>
    <m/>
    <m/>
    <m/>
    <m/>
    <m/>
    <m/>
    <s v="1f5957c7-4ab0-463e-a4a1-385fd5497dee"/>
    <d v="2021-07-22T15:00:42"/>
    <s v="ccber_user"/>
    <d v="2021-07-22T15:00:42"/>
    <s v="ccber_user"/>
    <n v="-119.877516088192"/>
    <n v="34.419837136568603"/>
  </r>
  <r>
    <n v="39"/>
    <d v="2021-07-22T08:02:02"/>
    <x v="4"/>
    <n v="5"/>
    <x v="0"/>
    <s v="Vegetation - Shrub"/>
    <m/>
    <m/>
    <m/>
    <m/>
    <x v="0"/>
    <m/>
    <m/>
    <m/>
    <m/>
    <m/>
    <m/>
    <m/>
    <m/>
    <m/>
    <m/>
    <m/>
    <m/>
    <m/>
    <m/>
    <m/>
    <s v="3d594dde-690b-4f14-a6ed-de5641c293be"/>
    <d v="2021-07-22T15:02:02"/>
    <s v="ccber_user"/>
    <d v="2021-07-22T15:02:02"/>
    <s v="ccber_user"/>
    <n v="-119.87825638353"/>
    <n v="34.4215194832571"/>
  </r>
  <r>
    <n v="40"/>
    <d v="2021-07-22T08:02:21"/>
    <x v="21"/>
    <n v="1"/>
    <x v="0"/>
    <s v="Vegetation - Tree"/>
    <m/>
    <m/>
    <m/>
    <m/>
    <x v="0"/>
    <m/>
    <m/>
    <m/>
    <m/>
    <m/>
    <m/>
    <m/>
    <m/>
    <m/>
    <m/>
    <m/>
    <m/>
    <m/>
    <m/>
    <m/>
    <s v="e61948fc-06ab-4c46-a28c-f754df5b95ac"/>
    <d v="2021-07-22T15:02:21"/>
    <s v="ccber_user"/>
    <d v="2021-07-22T15:02:21"/>
    <s v="ccber_user"/>
    <n v="-119.878666519254"/>
    <n v="34.421582135110697"/>
  </r>
  <r>
    <n v="41"/>
    <d v="2021-07-22T08:04:32"/>
    <x v="10"/>
    <n v="3"/>
    <x v="0"/>
    <s v="Vegetation - Herbaceous"/>
    <m/>
    <m/>
    <m/>
    <m/>
    <x v="0"/>
    <m/>
    <m/>
    <m/>
    <m/>
    <m/>
    <m/>
    <m/>
    <m/>
    <m/>
    <m/>
    <m/>
    <m/>
    <m/>
    <m/>
    <m/>
    <s v="acbe7107-a3b8-45ad-ba13-b4259f0266e0"/>
    <d v="2021-07-22T15:04:32"/>
    <s v="ccber_user"/>
    <d v="2021-07-22T15:04:32"/>
    <s v="ccber_user"/>
    <n v="-119.87900792128301"/>
    <n v="34.421359801144597"/>
  </r>
  <r>
    <n v="42"/>
    <d v="2021-07-22T08:06:05"/>
    <x v="22"/>
    <n v="1"/>
    <x v="0"/>
    <s v="Vegetation - Tree"/>
    <m/>
    <m/>
    <m/>
    <m/>
    <x v="0"/>
    <m/>
    <m/>
    <m/>
    <m/>
    <m/>
    <m/>
    <m/>
    <m/>
    <m/>
    <m/>
    <m/>
    <m/>
    <m/>
    <m/>
    <m/>
    <s v="46d05b0e-84f1-4ea4-b39c-13b534c5253c"/>
    <d v="2021-07-22T15:06:05"/>
    <s v="ccber_user"/>
    <d v="2021-07-22T15:06:05"/>
    <s v="ccber_user"/>
    <n v="-119.878181369712"/>
    <n v="34.421819290343798"/>
  </r>
  <r>
    <n v="43"/>
    <d v="2021-07-22T08:06:39"/>
    <x v="23"/>
    <n v="2"/>
    <x v="0"/>
    <s v="Vegetation - Shrub"/>
    <m/>
    <m/>
    <m/>
    <m/>
    <x v="0"/>
    <m/>
    <m/>
    <m/>
    <m/>
    <m/>
    <m/>
    <m/>
    <m/>
    <m/>
    <m/>
    <m/>
    <m/>
    <m/>
    <m/>
    <m/>
    <s v="d4d9868e-a9df-4468-bdbc-c22c5aee23a3"/>
    <d v="2021-07-22T15:06:39"/>
    <s v="ccber_user"/>
    <d v="2021-07-22T15:06:39"/>
    <s v="ccber_user"/>
    <n v="-119.87952517122299"/>
    <n v="34.4216218434442"/>
  </r>
  <r>
    <n v="44"/>
    <d v="2021-07-22T08:07:04"/>
    <x v="12"/>
    <n v="2"/>
    <x v="0"/>
    <s v="Bare ground"/>
    <m/>
    <m/>
    <m/>
    <m/>
    <x v="0"/>
    <m/>
    <m/>
    <m/>
    <m/>
    <m/>
    <m/>
    <m/>
    <m/>
    <m/>
    <m/>
    <m/>
    <m/>
    <m/>
    <m/>
    <m/>
    <s v="b923732c-51d8-480e-bce2-e341e70c9951"/>
    <d v="2021-07-22T15:07:04"/>
    <s v="ccber_user"/>
    <d v="2021-07-22T15:07:04"/>
    <s v="ccber_user"/>
    <n v="-119.87893991073101"/>
    <n v="34.421450328888596"/>
  </r>
  <r>
    <n v="45"/>
    <d v="2021-07-22T08:08:14"/>
    <x v="18"/>
    <n v="1"/>
    <x v="0"/>
    <s v="Vegetation - Herbaceous"/>
    <m/>
    <m/>
    <m/>
    <m/>
    <x v="0"/>
    <m/>
    <m/>
    <m/>
    <m/>
    <m/>
    <m/>
    <m/>
    <m/>
    <m/>
    <m/>
    <m/>
    <m/>
    <m/>
    <m/>
    <m/>
    <s v="9e113d37-551d-4edd-849b-82b9e4265834"/>
    <d v="2021-07-22T15:08:14"/>
    <s v="ccber_user"/>
    <d v="2021-07-22T15:08:14"/>
    <s v="ccber_user"/>
    <n v="-119.878903973628"/>
    <n v="34.421255521385298"/>
  </r>
  <r>
    <n v="46"/>
    <d v="2021-07-22T08:08:50"/>
    <x v="6"/>
    <n v="2"/>
    <x v="0"/>
    <s v="Vegetation - Herbaceous"/>
    <m/>
    <m/>
    <m/>
    <m/>
    <x v="0"/>
    <m/>
    <m/>
    <m/>
    <m/>
    <m/>
    <m/>
    <m/>
    <m/>
    <m/>
    <m/>
    <m/>
    <m/>
    <m/>
    <m/>
    <m/>
    <s v="96b6c7b0-8e38-48d8-b8c4-69a9a2726ee3"/>
    <d v="2021-07-22T15:08:50"/>
    <s v="ccber_user"/>
    <d v="2021-07-22T15:08:50"/>
    <s v="ccber_user"/>
    <n v="-119.878860336166"/>
    <n v="34.4213275155155"/>
  </r>
  <r>
    <n v="47"/>
    <d v="2021-07-22T08:09:20"/>
    <x v="24"/>
    <n v="1"/>
    <x v="0"/>
    <s v="Vegetation - Tree"/>
    <m/>
    <m/>
    <m/>
    <m/>
    <x v="0"/>
    <m/>
    <m/>
    <m/>
    <m/>
    <m/>
    <m/>
    <m/>
    <m/>
    <m/>
    <m/>
    <m/>
    <m/>
    <m/>
    <m/>
    <m/>
    <s v="34c522e5-758d-4692-9b68-96f0554945c9"/>
    <d v="2021-07-22T15:09:20"/>
    <s v="ccber_user"/>
    <d v="2021-07-22T15:09:20"/>
    <s v="ccber_user"/>
    <n v="-119.87933443373601"/>
    <n v="34.422036864278098"/>
  </r>
  <r>
    <n v="48"/>
    <d v="2021-07-22T08:09:39"/>
    <x v="1"/>
    <n v="1"/>
    <x v="0"/>
    <s v="Vegetation - Herbaceous"/>
    <m/>
    <m/>
    <m/>
    <m/>
    <x v="0"/>
    <m/>
    <m/>
    <m/>
    <m/>
    <m/>
    <m/>
    <m/>
    <m/>
    <m/>
    <m/>
    <m/>
    <m/>
    <m/>
    <m/>
    <m/>
    <s v="115c4132-7a74-443b-a531-39d1545c5863"/>
    <d v="2021-07-22T15:09:39"/>
    <s v="ccber_user"/>
    <d v="2021-07-22T15:09:39"/>
    <s v="ccber_user"/>
    <n v="-119.878825683654"/>
    <n v="34.421433683309502"/>
  </r>
  <r>
    <n v="49"/>
    <d v="2021-07-22T08:13:09"/>
    <x v="7"/>
    <n v="1"/>
    <x v="0"/>
    <s v="Bare ground"/>
    <m/>
    <m/>
    <m/>
    <m/>
    <x v="0"/>
    <m/>
    <m/>
    <m/>
    <m/>
    <m/>
    <m/>
    <m/>
    <m/>
    <m/>
    <m/>
    <m/>
    <m/>
    <m/>
    <m/>
    <m/>
    <s v="ae1bb3c2-437c-4ee4-ad57-ab867e1cb50a"/>
    <d v="2021-07-22T15:13:09"/>
    <s v="ccber_user"/>
    <d v="2021-07-22T15:13:09"/>
    <s v="ccber_user"/>
    <n v="-119.878833016602"/>
    <n v="34.421539016578798"/>
  </r>
  <r>
    <n v="50"/>
    <d v="2021-07-22T08:13:32"/>
    <x v="18"/>
    <n v="1"/>
    <x v="0"/>
    <s v="Vegetation - Herbaceous"/>
    <m/>
    <m/>
    <m/>
    <m/>
    <x v="0"/>
    <m/>
    <m/>
    <m/>
    <m/>
    <m/>
    <m/>
    <m/>
    <m/>
    <m/>
    <m/>
    <m/>
    <m/>
    <m/>
    <m/>
    <m/>
    <s v="520da3ee-1e83-4a88-bf24-4b6a7ea10058"/>
    <d v="2021-07-22T15:13:32"/>
    <s v="ccber_user"/>
    <d v="2021-07-22T15:13:32"/>
    <s v="ccber_user"/>
    <n v="-119.878901316411"/>
    <n v="34.421402183192598"/>
  </r>
  <r>
    <n v="51"/>
    <d v="2021-07-22T08:16:29"/>
    <x v="1"/>
    <n v="1"/>
    <x v="1"/>
    <s v="Vegetation - Herbaceous"/>
    <m/>
    <m/>
    <m/>
    <m/>
    <x v="0"/>
    <m/>
    <m/>
    <m/>
    <m/>
    <m/>
    <m/>
    <m/>
    <m/>
    <m/>
    <m/>
    <m/>
    <m/>
    <m/>
    <m/>
    <m/>
    <s v="b6ad54f5-dc09-4d84-ba1a-22f648f17046"/>
    <d v="2021-07-22T15:16:29"/>
    <s v="ccber_user"/>
    <d v="2021-07-22T16:19:48"/>
    <s v="ccber_user"/>
    <n v="-119.879731083053"/>
    <n v="34.421483606698402"/>
  </r>
  <r>
    <n v="52"/>
    <d v="2021-07-22T08:16:47"/>
    <x v="23"/>
    <n v="1"/>
    <x v="1"/>
    <s v="Bare ground"/>
    <m/>
    <m/>
    <m/>
    <m/>
    <x v="0"/>
    <m/>
    <m/>
    <m/>
    <m/>
    <m/>
    <m/>
    <m/>
    <m/>
    <m/>
    <m/>
    <m/>
    <m/>
    <m/>
    <m/>
    <m/>
    <s v="69c8eb98-457a-49b3-9cae-2c32ee599f6a"/>
    <d v="2021-07-22T15:16:47"/>
    <s v="ccber_user"/>
    <d v="2021-07-22T16:19:37"/>
    <s v="ccber_user"/>
    <n v="-119.879820871462"/>
    <n v="34.421440401416099"/>
  </r>
  <r>
    <n v="53"/>
    <d v="2021-07-22T08:18:04"/>
    <x v="25"/>
    <n v="2"/>
    <x v="1"/>
    <s v="Air"/>
    <m/>
    <m/>
    <m/>
    <m/>
    <x v="0"/>
    <m/>
    <m/>
    <m/>
    <m/>
    <m/>
    <m/>
    <m/>
    <m/>
    <m/>
    <m/>
    <m/>
    <m/>
    <m/>
    <m/>
    <m/>
    <s v="6647596d-c41e-4f71-a939-e785d32978ac"/>
    <d v="2021-07-22T15:18:04"/>
    <s v="ccber_user"/>
    <d v="2021-07-22T16:19:27"/>
    <s v="ccber_user"/>
    <n v="-119.879976063512"/>
    <n v="34.421432741470298"/>
  </r>
  <r>
    <n v="54"/>
    <d v="2021-07-22T08:19:50"/>
    <x v="23"/>
    <n v="5"/>
    <x v="1"/>
    <s v="Vegetation - Shrub"/>
    <m/>
    <m/>
    <m/>
    <m/>
    <x v="0"/>
    <m/>
    <m/>
    <m/>
    <m/>
    <m/>
    <m/>
    <m/>
    <m/>
    <m/>
    <m/>
    <m/>
    <m/>
    <m/>
    <m/>
    <m/>
    <s v="2936762f-40a2-4031-999d-5714ddec970b"/>
    <d v="2021-07-22T15:19:50"/>
    <s v="ccber_user"/>
    <d v="2021-07-22T16:18:34"/>
    <s v="ccber_user"/>
    <n v="-119.880443712974"/>
    <n v="34.421577789023402"/>
  </r>
  <r>
    <n v="55"/>
    <d v="2021-07-22T08:21:13"/>
    <x v="4"/>
    <n v="3"/>
    <x v="1"/>
    <s v="Vegetation - Herbaceous"/>
    <m/>
    <m/>
    <m/>
    <m/>
    <x v="0"/>
    <m/>
    <m/>
    <m/>
    <m/>
    <m/>
    <m/>
    <m/>
    <m/>
    <m/>
    <m/>
    <m/>
    <m/>
    <m/>
    <m/>
    <m/>
    <s v="46a60dd8-76df-4dec-bddb-a84e2d397204"/>
    <d v="2021-07-22T15:21:13"/>
    <s v="ccber_user"/>
    <d v="2021-07-22T16:19:12"/>
    <s v="ccber_user"/>
    <n v="-119.88030903036"/>
    <n v="34.421324727045501"/>
  </r>
  <r>
    <n v="56"/>
    <d v="2021-07-22T08:21:37"/>
    <x v="1"/>
    <n v="1"/>
    <x v="1"/>
    <s v="Bare ground"/>
    <m/>
    <m/>
    <m/>
    <m/>
    <x v="0"/>
    <m/>
    <m/>
    <m/>
    <m/>
    <m/>
    <m/>
    <m/>
    <m/>
    <m/>
    <m/>
    <m/>
    <m/>
    <m/>
    <m/>
    <m/>
    <s v="bac65d46-ada2-4c2f-8987-05c62e65a900"/>
    <d v="2021-07-22T15:21:37"/>
    <s v="ccber_user"/>
    <d v="2021-07-22T16:18:50"/>
    <s v="ccber_user"/>
    <n v="-119.88020120917"/>
    <n v="34.421454900253202"/>
  </r>
  <r>
    <n v="57"/>
    <d v="2021-07-22T08:24:29"/>
    <x v="13"/>
    <n v="3"/>
    <x v="1"/>
    <s v="Air"/>
    <m/>
    <m/>
    <m/>
    <m/>
    <x v="0"/>
    <m/>
    <m/>
    <m/>
    <m/>
    <m/>
    <m/>
    <m/>
    <m/>
    <m/>
    <m/>
    <m/>
    <m/>
    <m/>
    <m/>
    <m/>
    <s v="306f5914-4dd2-4cbe-870b-e6a307954892"/>
    <d v="2021-07-22T15:24:29"/>
    <s v="ccber_user"/>
    <d v="2021-07-22T16:17:57"/>
    <s v="ccber_user"/>
    <n v="-119.88120656500899"/>
    <n v="34.421645595370499"/>
  </r>
  <r>
    <n v="58"/>
    <d v="2021-07-22T08:53:34"/>
    <x v="12"/>
    <n v="2"/>
    <x v="1"/>
    <s v="Bare ground"/>
    <m/>
    <m/>
    <m/>
    <m/>
    <x v="0"/>
    <m/>
    <m/>
    <m/>
    <m/>
    <m/>
    <m/>
    <m/>
    <m/>
    <m/>
    <m/>
    <m/>
    <m/>
    <m/>
    <m/>
    <m/>
    <s v="3babc5a8-2e4e-4760-9590-728aad873285"/>
    <d v="2021-07-22T15:53:34"/>
    <s v="ccber_user"/>
    <d v="2021-07-22T16:17:44"/>
    <s v="ccber_user"/>
    <n v="-119.882665691338"/>
    <n v="34.421740871998701"/>
  </r>
  <r>
    <n v="59"/>
    <d v="2021-07-22T08:54:35"/>
    <x v="13"/>
    <n v="15"/>
    <x v="1"/>
    <s v="Air"/>
    <m/>
    <m/>
    <m/>
    <m/>
    <x v="0"/>
    <m/>
    <m/>
    <m/>
    <m/>
    <m/>
    <m/>
    <m/>
    <m/>
    <m/>
    <m/>
    <m/>
    <m/>
    <m/>
    <m/>
    <m/>
    <s v="c64acb57-62d4-4f13-8620-837e5f5baa18"/>
    <d v="2021-07-22T15:54:35"/>
    <s v="ccber_user"/>
    <d v="2021-07-22T16:17:32"/>
    <s v="ccber_user"/>
    <n v="-119.883120541604"/>
    <n v="34.421879413618697"/>
  </r>
  <r>
    <n v="60"/>
    <d v="2021-07-22T09:42:22"/>
    <x v="26"/>
    <n v="8"/>
    <x v="0"/>
    <s v="Bare ground"/>
    <m/>
    <m/>
    <m/>
    <m/>
    <x v="0"/>
    <m/>
    <s v="9:40"/>
    <m/>
    <m/>
    <m/>
    <m/>
    <m/>
    <m/>
    <n v="75"/>
    <n v="10"/>
    <m/>
    <m/>
    <m/>
    <m/>
    <m/>
    <s v="e00b82e6-85e6-4370-89c8-b937e703f4df"/>
    <d v="2021-07-22T16:42:22"/>
    <s v="ccber_user"/>
    <d v="2021-07-22T17:04:59"/>
    <s v="ccber_user"/>
    <n v="-119.875226157667"/>
    <n v="34.419507764548101"/>
  </r>
  <r>
    <n v="61"/>
    <d v="2021-07-22T06:48:06"/>
    <x v="13"/>
    <n v="5"/>
    <x v="0"/>
    <s v="Air"/>
    <m/>
    <m/>
    <m/>
    <n v="4.4000000000000004"/>
    <x v="1"/>
    <s v="655"/>
    <m/>
    <n v="69"/>
    <n v="15"/>
    <s v="Medium"/>
    <s v="None"/>
    <m/>
    <s v="None"/>
    <m/>
    <m/>
    <m/>
    <m/>
    <m/>
    <m/>
    <m/>
    <s v="f0b70154-715a-4cec-9f03-1c5fc9e0bb7c"/>
    <d v="2021-07-22T13:48:06"/>
    <s v="ccber_user"/>
    <d v="2021-07-22T13:48:06"/>
    <s v="ccber_user"/>
    <n v="-119.87424865678901"/>
    <n v="34.417674540865399"/>
  </r>
  <r>
    <n v="62"/>
    <d v="2021-07-22T07:04:12"/>
    <x v="2"/>
    <n v="2"/>
    <x v="1"/>
    <s v="Air"/>
    <m/>
    <m/>
    <m/>
    <m/>
    <x v="1"/>
    <m/>
    <m/>
    <m/>
    <m/>
    <m/>
    <m/>
    <m/>
    <m/>
    <m/>
    <m/>
    <m/>
    <m/>
    <m/>
    <m/>
    <m/>
    <s v="a6c4673c-f5f9-475a-9832-f47e12c67c6f"/>
    <d v="2021-07-22T14:04:12"/>
    <s v="ccber_user"/>
    <d v="2021-07-22T14:04:12"/>
    <s v="ccber_user"/>
    <n v="-119.87433593260999"/>
    <n v="34.417852998689597"/>
  </r>
  <r>
    <n v="63"/>
    <d v="2021-07-22T07:06:14"/>
    <x v="27"/>
    <n v="1"/>
    <x v="0"/>
    <s v="Vegetation - Tree"/>
    <m/>
    <m/>
    <m/>
    <m/>
    <x v="1"/>
    <m/>
    <m/>
    <m/>
    <m/>
    <m/>
    <m/>
    <m/>
    <m/>
    <m/>
    <m/>
    <m/>
    <m/>
    <m/>
    <m/>
    <m/>
    <s v="83414ee8-fbcf-48b3-a5be-4211ac4a307a"/>
    <d v="2021-07-22T14:06:14"/>
    <s v="ccber_user"/>
    <d v="2021-07-22T14:06:14"/>
    <s v="ccber_user"/>
    <n v="-119.87635097237001"/>
    <n v="34.417670888202899"/>
  </r>
  <r>
    <n v="64"/>
    <d v="2021-07-22T07:08:25"/>
    <x v="28"/>
    <n v="1"/>
    <x v="0"/>
    <s v="Vegetation - Tree"/>
    <m/>
    <m/>
    <m/>
    <m/>
    <x v="1"/>
    <m/>
    <m/>
    <m/>
    <m/>
    <m/>
    <m/>
    <m/>
    <m/>
    <m/>
    <m/>
    <m/>
    <m/>
    <m/>
    <m/>
    <m/>
    <s v="26767f3b-580c-4f19-83e6-f57af6e07475"/>
    <d v="2021-07-22T14:08:25"/>
    <s v="ccber_user"/>
    <d v="2021-07-22T14:08:25"/>
    <s v="ccber_user"/>
    <n v="-119.87652295662799"/>
    <n v="34.417685711534901"/>
  </r>
  <r>
    <n v="65"/>
    <d v="2021-07-22T07:09:52"/>
    <x v="12"/>
    <n v="2"/>
    <x v="0"/>
    <s v="Vegetation - Shrub"/>
    <m/>
    <m/>
    <m/>
    <m/>
    <x v="1"/>
    <m/>
    <m/>
    <m/>
    <m/>
    <m/>
    <m/>
    <m/>
    <m/>
    <m/>
    <m/>
    <m/>
    <m/>
    <m/>
    <m/>
    <m/>
    <s v="a1757ac9-74ad-4ec7-8832-e12ec11a2900"/>
    <d v="2021-07-22T14:09:52"/>
    <s v="ccber_user"/>
    <d v="2021-07-22T14:15:40"/>
    <s v="ccber_user"/>
    <n v="-119.87711369325"/>
    <n v="34.417647354499898"/>
  </r>
  <r>
    <n v="66"/>
    <d v="2021-07-22T07:10:21"/>
    <x v="29"/>
    <n v="12"/>
    <x v="0"/>
    <s v="Vegetation - Tree"/>
    <m/>
    <m/>
    <m/>
    <m/>
    <x v="1"/>
    <m/>
    <m/>
    <m/>
    <m/>
    <m/>
    <m/>
    <m/>
    <m/>
    <m/>
    <m/>
    <m/>
    <m/>
    <m/>
    <m/>
    <m/>
    <s v="6f085685-9c09-424e-80b8-c1567d77c2bb"/>
    <d v="2021-07-22T14:10:21"/>
    <s v="ccber_user"/>
    <d v="2021-07-22T14:10:21"/>
    <s v="ccber_user"/>
    <n v="-119.87670007475801"/>
    <n v="34.417823352823497"/>
  </r>
  <r>
    <n v="67"/>
    <d v="2021-07-22T07:11:37"/>
    <x v="17"/>
    <n v="1"/>
    <x v="0"/>
    <s v="Vegetation - Tree"/>
    <m/>
    <m/>
    <m/>
    <m/>
    <x v="1"/>
    <m/>
    <m/>
    <m/>
    <m/>
    <m/>
    <m/>
    <m/>
    <m/>
    <m/>
    <m/>
    <m/>
    <m/>
    <m/>
    <m/>
    <m/>
    <s v="d9d81c51-aa60-47c5-9049-56c630547e41"/>
    <d v="2021-07-22T14:11:37"/>
    <s v="ccber_user"/>
    <d v="2021-07-22T14:11:37"/>
    <s v="ccber_user"/>
    <n v="-119.87652552311501"/>
    <n v="34.417840293319799"/>
  </r>
  <r>
    <n v="68"/>
    <d v="2021-07-22T07:11:56"/>
    <x v="8"/>
    <n v="1"/>
    <x v="0"/>
    <s v="Vegetation - Tree"/>
    <m/>
    <m/>
    <m/>
    <m/>
    <x v="1"/>
    <m/>
    <m/>
    <m/>
    <m/>
    <m/>
    <m/>
    <m/>
    <m/>
    <m/>
    <m/>
    <m/>
    <m/>
    <m/>
    <m/>
    <m/>
    <s v="847b6143-5810-43c9-827e-919c3f42d927"/>
    <d v="2021-07-22T14:11:56"/>
    <s v="ccber_user"/>
    <d v="2021-07-22T14:11:56"/>
    <s v="ccber_user"/>
    <n v="-119.87667440539801"/>
    <n v="34.417717474644299"/>
  </r>
  <r>
    <n v="69"/>
    <d v="2021-07-22T07:13:41"/>
    <x v="14"/>
    <n v="2"/>
    <x v="0"/>
    <s v="Air"/>
    <m/>
    <m/>
    <m/>
    <m/>
    <x v="1"/>
    <m/>
    <m/>
    <m/>
    <m/>
    <m/>
    <m/>
    <m/>
    <m/>
    <m/>
    <m/>
    <m/>
    <m/>
    <m/>
    <m/>
    <m/>
    <s v="7100efdd-f1ef-43e0-9613-9e77f0478311"/>
    <d v="2021-07-22T14:13:41"/>
    <s v="ccber_user"/>
    <d v="2021-07-22T14:13:41"/>
    <s v="ccber_user"/>
    <n v="-119.87705174363199"/>
    <n v="34.417999109934598"/>
  </r>
  <r>
    <n v="70"/>
    <d v="2021-07-22T07:15:56"/>
    <x v="8"/>
    <n v="2"/>
    <x v="0"/>
    <s v="Vegetation - Tree"/>
    <m/>
    <m/>
    <m/>
    <m/>
    <x v="1"/>
    <m/>
    <m/>
    <m/>
    <m/>
    <m/>
    <m/>
    <m/>
    <m/>
    <m/>
    <m/>
    <m/>
    <m/>
    <m/>
    <m/>
    <m/>
    <s v="36f3f30b-c7bf-4653-8f3d-7fdcf63fbd5a"/>
    <d v="2021-07-22T14:15:56"/>
    <s v="ccber_user"/>
    <d v="2021-07-22T14:15:56"/>
    <s v="ccber_user"/>
    <n v="-119.876647036427"/>
    <n v="34.417938470319697"/>
  </r>
  <r>
    <n v="71"/>
    <d v="2021-07-22T07:16:40"/>
    <x v="24"/>
    <n v="2"/>
    <x v="0"/>
    <s v="Vegetation - Tree"/>
    <m/>
    <m/>
    <m/>
    <m/>
    <x v="1"/>
    <m/>
    <m/>
    <m/>
    <m/>
    <m/>
    <m/>
    <m/>
    <m/>
    <m/>
    <m/>
    <m/>
    <m/>
    <m/>
    <m/>
    <m/>
    <s v="3fa0606c-5527-4da6-8670-3e1274d77f7d"/>
    <d v="2021-07-22T14:16:40"/>
    <s v="ccber_user"/>
    <d v="2021-07-22T14:16:40"/>
    <s v="ccber_user"/>
    <n v="-119.876428798813"/>
    <n v="34.417610964951201"/>
  </r>
  <r>
    <n v="72"/>
    <d v="2021-07-22T07:18:08"/>
    <x v="6"/>
    <n v="2"/>
    <x v="0"/>
    <s v="Vegetation - Tree"/>
    <m/>
    <m/>
    <m/>
    <m/>
    <x v="1"/>
    <m/>
    <m/>
    <m/>
    <m/>
    <m/>
    <m/>
    <m/>
    <m/>
    <m/>
    <m/>
    <m/>
    <m/>
    <m/>
    <m/>
    <m/>
    <s v="2912bdeb-42f9-4639-b935-959b98e95acc"/>
    <d v="2021-07-22T14:18:08"/>
    <s v="ccber_user"/>
    <d v="2021-07-22T14:18:08"/>
    <s v="ccber_user"/>
    <n v="-119.87637772240301"/>
    <n v="34.417785251515497"/>
  </r>
  <r>
    <n v="73"/>
    <d v="2021-07-22T07:21:26"/>
    <x v="1"/>
    <n v="1"/>
    <x v="0"/>
    <s v="Vegetation - Shrub"/>
    <m/>
    <m/>
    <m/>
    <m/>
    <x v="1"/>
    <m/>
    <m/>
    <m/>
    <m/>
    <m/>
    <m/>
    <m/>
    <m/>
    <m/>
    <m/>
    <m/>
    <m/>
    <m/>
    <m/>
    <m/>
    <s v="fc64eecb-718e-4560-aa92-18bfad21335b"/>
    <d v="2021-07-22T14:21:26"/>
    <s v="ccber_user"/>
    <d v="2021-07-22T14:21:26"/>
    <s v="ccber_user"/>
    <n v="-119.876512378966"/>
    <n v="34.418310418881298"/>
  </r>
  <r>
    <n v="74"/>
    <d v="2021-07-22T07:27:00"/>
    <x v="17"/>
    <n v="1"/>
    <x v="0"/>
    <s v="Vegetation - Tree"/>
    <m/>
    <m/>
    <m/>
    <m/>
    <x v="1"/>
    <m/>
    <m/>
    <m/>
    <m/>
    <m/>
    <m/>
    <m/>
    <m/>
    <m/>
    <m/>
    <m/>
    <m/>
    <m/>
    <m/>
    <m/>
    <s v="75d0b256-bc8c-4522-a7f4-2f5ad498f878"/>
    <d v="2021-07-22T14:27:00"/>
    <s v="ccber_user"/>
    <d v="2021-07-22T14:27:00"/>
    <s v="ccber_user"/>
    <n v="-119.87773358020399"/>
    <n v="34.419239993300103"/>
  </r>
  <r>
    <n v="75"/>
    <d v="2021-07-22T07:28:18"/>
    <x v="13"/>
    <n v="3"/>
    <x v="1"/>
    <s v="Air"/>
    <m/>
    <m/>
    <m/>
    <m/>
    <x v="1"/>
    <m/>
    <m/>
    <m/>
    <m/>
    <m/>
    <m/>
    <m/>
    <m/>
    <m/>
    <m/>
    <m/>
    <m/>
    <m/>
    <m/>
    <m/>
    <s v="de41de85-9386-45ab-912e-95b26174f010"/>
    <d v="2021-07-22T14:28:18"/>
    <s v="ccber_user"/>
    <d v="2021-07-22T14:28:18"/>
    <s v="ccber_user"/>
    <n v="-119.87787984479699"/>
    <n v="34.418496195423003"/>
  </r>
  <r>
    <n v="76"/>
    <d v="2021-07-22T07:40:36"/>
    <x v="21"/>
    <n v="2"/>
    <x v="0"/>
    <s v="Vegetation - Tree"/>
    <m/>
    <m/>
    <m/>
    <m/>
    <x v="1"/>
    <m/>
    <m/>
    <m/>
    <m/>
    <m/>
    <m/>
    <m/>
    <m/>
    <m/>
    <m/>
    <m/>
    <m/>
    <m/>
    <m/>
    <m/>
    <s v="f95a3d14-0619-47e2-aca1-3d75e66ed894"/>
    <d v="2021-07-22T14:40:36"/>
    <s v="ccber_user"/>
    <d v="2021-07-22T14:40:36"/>
    <s v="ccber_user"/>
    <n v="-119.88100249742"/>
    <n v="34.418941221096297"/>
  </r>
  <r>
    <n v="77"/>
    <d v="2021-07-22T07:41:40"/>
    <x v="12"/>
    <n v="2"/>
    <x v="0"/>
    <s v="Vegetation - Herbaceous"/>
    <m/>
    <m/>
    <m/>
    <m/>
    <x v="1"/>
    <m/>
    <m/>
    <m/>
    <m/>
    <m/>
    <m/>
    <m/>
    <m/>
    <m/>
    <m/>
    <m/>
    <m/>
    <m/>
    <m/>
    <m/>
    <s v="7a5b1f25-009b-453b-8394-b3ae759121d7"/>
    <d v="2021-07-22T14:41:40"/>
    <s v="ccber_user"/>
    <d v="2021-07-22T14:41:40"/>
    <s v="ccber_user"/>
    <n v="-119.881246273239"/>
    <n v="34.418895255591103"/>
  </r>
  <r>
    <n v="78"/>
    <d v="2021-07-22T07:41:56"/>
    <x v="30"/>
    <n v="1"/>
    <x v="0"/>
    <s v="Bare ground"/>
    <m/>
    <m/>
    <m/>
    <m/>
    <x v="1"/>
    <m/>
    <m/>
    <m/>
    <m/>
    <m/>
    <m/>
    <m/>
    <m/>
    <m/>
    <m/>
    <m/>
    <m/>
    <m/>
    <m/>
    <m/>
    <s v="41b8763f-f64e-4624-8949-f3ab9b554442"/>
    <d v="2021-07-22T14:41:56"/>
    <s v="ccber_user"/>
    <d v="2021-07-22T14:41:56"/>
    <s v="ccber_user"/>
    <n v="-119.881432007111"/>
    <n v="34.419002507656202"/>
  </r>
  <r>
    <n v="79"/>
    <d v="2021-07-22T07:43:36"/>
    <x v="6"/>
    <n v="2"/>
    <x v="0"/>
    <s v="Air"/>
    <m/>
    <m/>
    <m/>
    <m/>
    <x v="1"/>
    <m/>
    <m/>
    <m/>
    <m/>
    <m/>
    <m/>
    <m/>
    <m/>
    <m/>
    <m/>
    <m/>
    <m/>
    <m/>
    <m/>
    <m/>
    <s v="be8cacec-3462-4317-bd45-3b5a61e93ecc"/>
    <d v="2021-07-22T14:43:36"/>
    <s v="ccber_user"/>
    <d v="2021-07-22T14:43:36"/>
    <s v="ccber_user"/>
    <n v="-119.881285741619"/>
    <n v="34.419169130426098"/>
  </r>
  <r>
    <n v="80"/>
    <d v="2021-07-22T07:46:58"/>
    <x v="30"/>
    <n v="12"/>
    <x v="0"/>
    <s v="Fence"/>
    <m/>
    <m/>
    <s v="singing males"/>
    <m/>
    <x v="1"/>
    <m/>
    <m/>
    <m/>
    <m/>
    <m/>
    <m/>
    <m/>
    <m/>
    <m/>
    <m/>
    <m/>
    <m/>
    <m/>
    <m/>
    <m/>
    <s v="81ee7bac-e776-4a42-aef6-b98c3bffc2ec"/>
    <d v="2021-07-22T14:46:58"/>
    <s v="ccber_user"/>
    <d v="2021-07-22T14:56:53"/>
    <s v="ccber_user"/>
    <n v="-119.880141155895"/>
    <n v="34.419661337376297"/>
  </r>
  <r>
    <n v="81"/>
    <d v="2021-07-22T07:51:02"/>
    <x v="15"/>
    <n v="12"/>
    <x v="0"/>
    <s v="Vegetation - Herbaceous"/>
    <m/>
    <m/>
    <s v="on irrigated plants"/>
    <m/>
    <x v="1"/>
    <m/>
    <m/>
    <m/>
    <m/>
    <m/>
    <m/>
    <m/>
    <m/>
    <m/>
    <m/>
    <m/>
    <m/>
    <m/>
    <m/>
    <m/>
    <s v="5469d9ed-db1c-4557-9a7f-0cbea8e9db5a"/>
    <d v="2021-07-22T14:51:02"/>
    <s v="ccber_user"/>
    <d v="2021-07-22T14:56:17"/>
    <s v="ccber_user"/>
    <n v="-119.879532264321"/>
    <n v="34.419718792986501"/>
  </r>
  <r>
    <n v="82"/>
    <d v="2021-07-22T07:52:55"/>
    <x v="31"/>
    <n v="1"/>
    <x v="0"/>
    <s v="Air"/>
    <m/>
    <m/>
    <m/>
    <m/>
    <x v="1"/>
    <m/>
    <m/>
    <m/>
    <m/>
    <m/>
    <m/>
    <m/>
    <m/>
    <m/>
    <m/>
    <m/>
    <m/>
    <m/>
    <m/>
    <m/>
    <s v="f053342e-0f85-4e43-a968-fb30e8dfed32"/>
    <d v="2021-07-22T14:52:55"/>
    <s v="ccber_user"/>
    <d v="2021-07-22T14:52:55"/>
    <s v="ccber_user"/>
    <n v="-119.880716318425"/>
    <n v="34.417803577790998"/>
  </r>
  <r>
    <n v="83"/>
    <d v="2021-07-22T08:01:04"/>
    <x v="20"/>
    <n v="1"/>
    <x v="0"/>
    <s v="Fence"/>
    <m/>
    <m/>
    <m/>
    <m/>
    <x v="1"/>
    <m/>
    <m/>
    <m/>
    <m/>
    <m/>
    <m/>
    <m/>
    <m/>
    <m/>
    <m/>
    <m/>
    <m/>
    <m/>
    <m/>
    <m/>
    <s v="9ff9cbb2-2a91-4018-8865-7a5122720d74"/>
    <d v="2021-07-22T15:01:04"/>
    <s v="ccber_user"/>
    <d v="2021-07-22T15:01:04"/>
    <s v="ccber_user"/>
    <n v="-119.87766439914699"/>
    <n v="34.419625683813898"/>
  </r>
  <r>
    <n v="84"/>
    <d v="2021-07-22T08:03:08"/>
    <x v="6"/>
    <n v="3"/>
    <x v="0"/>
    <s v="Air"/>
    <m/>
    <m/>
    <m/>
    <m/>
    <x v="1"/>
    <m/>
    <m/>
    <m/>
    <m/>
    <m/>
    <m/>
    <m/>
    <m/>
    <m/>
    <m/>
    <m/>
    <m/>
    <m/>
    <m/>
    <m/>
    <s v="abdaecb5-fa25-451e-9fe2-6903c85203e0"/>
    <d v="2021-07-22T15:03:08"/>
    <s v="ccber_user"/>
    <d v="2021-07-22T15:03:08"/>
    <s v="ccber_user"/>
    <n v="-119.877852612369"/>
    <n v="34.419354611607801"/>
  </r>
  <r>
    <n v="85"/>
    <d v="2021-07-22T08:05:40"/>
    <x v="13"/>
    <n v="5"/>
    <x v="0"/>
    <s v="Air"/>
    <m/>
    <m/>
    <m/>
    <m/>
    <x v="1"/>
    <m/>
    <m/>
    <m/>
    <m/>
    <m/>
    <m/>
    <m/>
    <m/>
    <m/>
    <m/>
    <m/>
    <m/>
    <m/>
    <m/>
    <m/>
    <s v="b49a2a94-a77b-432a-b173-e13b0e0fadaa"/>
    <d v="2021-07-22T15:05:40"/>
    <s v="ccber_user"/>
    <d v="2021-07-22T15:05:40"/>
    <s v="ccber_user"/>
    <n v="-119.877743284704"/>
    <n v="34.418996156170401"/>
  </r>
  <r>
    <n v="86"/>
    <d v="2021-07-22T08:05:59"/>
    <x v="15"/>
    <n v="6"/>
    <x v="0"/>
    <s v="Vegetation - Tree"/>
    <m/>
    <m/>
    <m/>
    <m/>
    <x v="1"/>
    <m/>
    <m/>
    <m/>
    <m/>
    <m/>
    <m/>
    <m/>
    <m/>
    <m/>
    <m/>
    <m/>
    <m/>
    <m/>
    <m/>
    <m/>
    <s v="c3a573e8-822a-4440-8cb7-cb0c2a5910bd"/>
    <d v="2021-07-22T15:05:59"/>
    <s v="ccber_user"/>
    <d v="2021-07-22T15:05:59"/>
    <s v="ccber_user"/>
    <n v="-119.877637935677"/>
    <n v="34.419345894747003"/>
  </r>
  <r>
    <n v="87"/>
    <d v="2021-07-22T08:07:17"/>
    <x v="29"/>
    <n v="13"/>
    <x v="0"/>
    <s v="Vegetation - Shrub"/>
    <m/>
    <m/>
    <m/>
    <m/>
    <x v="1"/>
    <m/>
    <m/>
    <m/>
    <m/>
    <m/>
    <m/>
    <m/>
    <m/>
    <m/>
    <m/>
    <m/>
    <m/>
    <m/>
    <m/>
    <m/>
    <s v="15ed7ab5-1935-44d0-8845-817308e56358"/>
    <d v="2021-07-22T15:07:17"/>
    <s v="ccber_user"/>
    <d v="2021-07-22T15:07:17"/>
    <s v="ccber_user"/>
    <n v="-119.877980003358"/>
    <n v="34.419428559273904"/>
  </r>
  <r>
    <n v="88"/>
    <d v="2021-07-22T08:08:00"/>
    <x v="4"/>
    <n v="1"/>
    <x v="0"/>
    <s v="Vegetation - Tree"/>
    <m/>
    <m/>
    <m/>
    <m/>
    <x v="1"/>
    <m/>
    <m/>
    <m/>
    <m/>
    <m/>
    <m/>
    <m/>
    <m/>
    <m/>
    <m/>
    <m/>
    <m/>
    <m/>
    <m/>
    <m/>
    <s v="74a6124c-21df-4f2a-bb91-f33cbefadcfd"/>
    <d v="2021-07-22T15:08:00"/>
    <s v="ccber_user"/>
    <d v="2021-07-22T15:08:00"/>
    <s v="ccber_user"/>
    <n v="-119.87776930620301"/>
    <n v="34.4194137221711"/>
  </r>
  <r>
    <n v="89"/>
    <d v="2021-07-22T08:09:35"/>
    <x v="5"/>
    <n v="1"/>
    <x v="0"/>
    <s v="Fence"/>
    <m/>
    <m/>
    <m/>
    <m/>
    <x v="1"/>
    <m/>
    <m/>
    <m/>
    <m/>
    <m/>
    <m/>
    <m/>
    <m/>
    <m/>
    <m/>
    <m/>
    <m/>
    <m/>
    <m/>
    <m/>
    <s v="48fd4fa9-4426-462f-b43c-d776f1b488cb"/>
    <d v="2021-07-22T15:09:35"/>
    <s v="ccber_user"/>
    <d v="2021-07-22T15:09:35"/>
    <s v="ccber_user"/>
    <n v="-119.877129506294"/>
    <n v="34.419390406083501"/>
  </r>
  <r>
    <n v="90"/>
    <d v="2021-07-22T08:10:11"/>
    <x v="11"/>
    <n v="3"/>
    <x v="0"/>
    <s v="Air"/>
    <m/>
    <m/>
    <m/>
    <m/>
    <x v="1"/>
    <m/>
    <m/>
    <m/>
    <m/>
    <m/>
    <m/>
    <m/>
    <m/>
    <m/>
    <m/>
    <m/>
    <m/>
    <m/>
    <m/>
    <m/>
    <s v="b760f3c4-1354-48a4-a52a-6eca2b51a7a0"/>
    <d v="2021-07-22T15:10:11"/>
    <s v="ccber_user"/>
    <d v="2021-07-22T15:10:11"/>
    <s v="ccber_user"/>
    <n v="-119.877589442822"/>
    <n v="34.419820687783997"/>
  </r>
  <r>
    <n v="91"/>
    <d v="2021-07-22T08:11:51"/>
    <x v="32"/>
    <n v="1"/>
    <x v="0"/>
    <s v="Vegetation - Tree"/>
    <m/>
    <m/>
    <m/>
    <m/>
    <x v="1"/>
    <m/>
    <m/>
    <m/>
    <m/>
    <m/>
    <m/>
    <m/>
    <m/>
    <m/>
    <m/>
    <m/>
    <m/>
    <m/>
    <m/>
    <m/>
    <s v="ba746d94-dd6d-4bb6-ba04-763081a3b807"/>
    <d v="2021-07-22T15:11:51"/>
    <s v="ccber_user"/>
    <d v="2021-07-22T15:11:51"/>
    <s v="ccber_user"/>
    <n v="-119.877486663875"/>
    <n v="34.419377689090503"/>
  </r>
  <r>
    <n v="92"/>
    <d v="2021-07-22T08:17:33"/>
    <x v="1"/>
    <n v="4"/>
    <x v="0"/>
    <s v="Vegetation - Shrub"/>
    <m/>
    <s v="Feeding/Begging"/>
    <s v="2 juvies"/>
    <m/>
    <x v="1"/>
    <m/>
    <m/>
    <m/>
    <m/>
    <m/>
    <m/>
    <m/>
    <m/>
    <m/>
    <m/>
    <m/>
    <m/>
    <m/>
    <m/>
    <m/>
    <s v="d3381628-feb9-4547-8f41-cb55fc8bb794"/>
    <d v="2021-07-22T15:17:33"/>
    <s v="ccber_user"/>
    <d v="2021-07-22T15:21:22"/>
    <s v="ccber_user"/>
    <n v="-119.877527775274"/>
    <n v="34.420087758377299"/>
  </r>
  <r>
    <n v="93"/>
    <d v="2021-07-22T08:20:31"/>
    <x v="4"/>
    <n v="2"/>
    <x v="0"/>
    <s v="Vegetation - Shrub"/>
    <m/>
    <m/>
    <m/>
    <m/>
    <x v="1"/>
    <m/>
    <m/>
    <m/>
    <m/>
    <m/>
    <m/>
    <m/>
    <m/>
    <m/>
    <m/>
    <m/>
    <m/>
    <m/>
    <m/>
    <m/>
    <s v="32bc6286-5a18-40df-8858-b1ad4e198be4"/>
    <d v="2021-07-22T15:20:31"/>
    <s v="ccber_user"/>
    <d v="2021-07-22T15:20:31"/>
    <s v="ccber_user"/>
    <n v="-119.87740957944"/>
    <n v="34.419998734940997"/>
  </r>
  <r>
    <n v="94"/>
    <d v="2021-07-22T08:29:37"/>
    <x v="11"/>
    <n v="2"/>
    <x v="0"/>
    <s v="Air"/>
    <m/>
    <m/>
    <m/>
    <m/>
    <x v="1"/>
    <m/>
    <m/>
    <m/>
    <m/>
    <m/>
    <m/>
    <m/>
    <m/>
    <m/>
    <m/>
    <m/>
    <m/>
    <m/>
    <m/>
    <m/>
    <s v="89bef1c9-b124-430f-83ff-38e23d4cb9b4"/>
    <d v="2021-07-22T15:29:37"/>
    <s v="ccber_user"/>
    <d v="2021-07-22T15:29:37"/>
    <s v="ccber_user"/>
    <n v="-119.879005168845"/>
    <n v="34.420824028819098"/>
  </r>
  <r>
    <n v="95"/>
    <d v="2021-07-22T08:29:53"/>
    <x v="33"/>
    <n v="1"/>
    <x v="0"/>
    <s v="Vegetation - Herbaceous"/>
    <m/>
    <m/>
    <m/>
    <m/>
    <x v="1"/>
    <m/>
    <m/>
    <m/>
    <m/>
    <m/>
    <m/>
    <m/>
    <m/>
    <m/>
    <m/>
    <m/>
    <m/>
    <m/>
    <m/>
    <m/>
    <s v="c455302d-5d67-4ede-b856-9ba73ace1cf4"/>
    <d v="2021-07-22T15:29:53"/>
    <s v="ccber_user"/>
    <d v="2021-07-22T15:29:53"/>
    <s v="ccber_user"/>
    <n v="-119.879308366423"/>
    <n v="34.421180118480898"/>
  </r>
  <r>
    <n v="96"/>
    <d v="2021-07-22T08:30:43"/>
    <x v="23"/>
    <n v="8"/>
    <x v="0"/>
    <s v="Vegetation - Shrub"/>
    <m/>
    <m/>
    <m/>
    <m/>
    <x v="1"/>
    <m/>
    <m/>
    <m/>
    <m/>
    <m/>
    <m/>
    <m/>
    <m/>
    <m/>
    <m/>
    <m/>
    <m/>
    <m/>
    <m/>
    <m/>
    <s v="5e3b3bbe-6677-4d79-96b6-a4aeda17f9a7"/>
    <d v="2021-07-22T15:30:43"/>
    <s v="ccber_user"/>
    <d v="2021-07-22T15:38:49"/>
    <s v="ccber_user"/>
    <n v="-119.879074544836"/>
    <n v="34.421148324822802"/>
  </r>
  <r>
    <n v="97"/>
    <d v="2021-07-22T08:32:53"/>
    <x v="34"/>
    <n v="1"/>
    <x v="0"/>
    <s v="Fence"/>
    <m/>
    <m/>
    <m/>
    <m/>
    <x v="1"/>
    <m/>
    <m/>
    <m/>
    <m/>
    <m/>
    <m/>
    <m/>
    <m/>
    <m/>
    <m/>
    <m/>
    <m/>
    <m/>
    <m/>
    <m/>
    <s v="1dc02008-ce2a-49c7-a683-fb978023bd65"/>
    <d v="2021-07-22T15:32:53"/>
    <s v="ccber_user"/>
    <d v="2021-07-22T15:32:53"/>
    <s v="ccber_user"/>
    <n v="-119.87988906886299"/>
    <n v="34.420523048076902"/>
  </r>
  <r>
    <n v="98"/>
    <d v="2021-07-22T08:33:19"/>
    <x v="5"/>
    <n v="2"/>
    <x v="0"/>
    <s v="Fence"/>
    <m/>
    <m/>
    <s v="juveniles"/>
    <m/>
    <x v="1"/>
    <m/>
    <m/>
    <m/>
    <m/>
    <m/>
    <m/>
    <m/>
    <m/>
    <m/>
    <m/>
    <m/>
    <m/>
    <m/>
    <m/>
    <m/>
    <s v="ef8dda31-ca27-42cb-95bb-841800f4308b"/>
    <d v="2021-07-22T15:33:19"/>
    <s v="ccber_user"/>
    <d v="2021-07-22T15:33:19"/>
    <s v="ccber_user"/>
    <n v="-119.87997386174099"/>
    <n v="34.420514569949603"/>
  </r>
  <r>
    <n v="99"/>
    <d v="2021-07-22T08:34:54"/>
    <x v="1"/>
    <n v="1"/>
    <x v="0"/>
    <s v="Vegetation - Shrub"/>
    <m/>
    <m/>
    <m/>
    <m/>
    <x v="1"/>
    <m/>
    <m/>
    <m/>
    <m/>
    <m/>
    <m/>
    <m/>
    <m/>
    <m/>
    <m/>
    <m/>
    <m/>
    <m/>
    <m/>
    <m/>
    <s v="08cac9fe-6de4-4281-870c-06542bce16ef"/>
    <d v="2021-07-22T15:34:54"/>
    <s v="ccber_user"/>
    <d v="2021-07-22T15:34:54"/>
    <s v="ccber_user"/>
    <n v="-119.88006122380099"/>
    <n v="34.420650223588098"/>
  </r>
  <r>
    <n v="100"/>
    <d v="2021-07-22T08:37:00"/>
    <x v="35"/>
    <n v="1"/>
    <x v="0"/>
    <s v="Air"/>
    <m/>
    <m/>
    <m/>
    <m/>
    <x v="1"/>
    <m/>
    <m/>
    <m/>
    <m/>
    <m/>
    <m/>
    <m/>
    <m/>
    <m/>
    <m/>
    <m/>
    <m/>
    <m/>
    <m/>
    <m/>
    <s v="e31f84b5-4d22-4a5a-a8a0-ae49450f0e58"/>
    <d v="2021-07-22T15:37:00"/>
    <s v="ccber_user"/>
    <d v="2021-07-22T15:37:00"/>
    <s v="ccber_user"/>
    <n v="-119.88031817161701"/>
    <n v="34.420750903446297"/>
  </r>
  <r>
    <n v="101"/>
    <d v="2021-07-22T08:39:54"/>
    <x v="1"/>
    <n v="2"/>
    <x v="0"/>
    <s v="Vegetation - Herbaceous"/>
    <m/>
    <m/>
    <m/>
    <m/>
    <x v="1"/>
    <m/>
    <m/>
    <m/>
    <m/>
    <m/>
    <m/>
    <m/>
    <m/>
    <m/>
    <m/>
    <m/>
    <m/>
    <m/>
    <m/>
    <m/>
    <s v="e5545bbe-38d0-452b-b64b-8cbc83290854"/>
    <d v="2021-07-22T15:39:54"/>
    <s v="ccber_user"/>
    <d v="2021-07-22T15:39:54"/>
    <s v="ccber_user"/>
    <n v="-119.880184558896"/>
    <n v="34.421297754540497"/>
  </r>
  <r>
    <n v="102"/>
    <d v="2021-07-22T08:42:23"/>
    <x v="36"/>
    <n v="1"/>
    <x v="0"/>
    <s v="Vegetation - Tree"/>
    <m/>
    <m/>
    <m/>
    <m/>
    <x v="1"/>
    <m/>
    <m/>
    <m/>
    <m/>
    <m/>
    <m/>
    <m/>
    <m/>
    <m/>
    <m/>
    <m/>
    <m/>
    <m/>
    <m/>
    <m/>
    <s v="f9ae0781-6b80-4060-ab81-e623f61176a7"/>
    <d v="2021-07-22T15:42:23"/>
    <s v="ccber_user"/>
    <d v="2021-07-22T15:42:23"/>
    <s v="ccber_user"/>
    <n v="-119.881789686612"/>
    <n v="34.420966350451302"/>
  </r>
  <r>
    <n v="103"/>
    <d v="2021-07-22T08:42:54"/>
    <x v="37"/>
    <n v="1"/>
    <x v="0"/>
    <s v="Air"/>
    <m/>
    <m/>
    <m/>
    <m/>
    <x v="1"/>
    <m/>
    <m/>
    <m/>
    <m/>
    <m/>
    <m/>
    <m/>
    <m/>
    <m/>
    <m/>
    <m/>
    <m/>
    <m/>
    <m/>
    <m/>
    <s v="f31feeec-d849-44f2-87b2-8bb675175966"/>
    <d v="2021-07-22T15:42:54"/>
    <s v="ccber_user"/>
    <d v="2021-07-22T15:42:54"/>
    <s v="ccber_user"/>
    <n v="-119.884703743241"/>
    <n v="34.421833446764502"/>
  </r>
  <r>
    <n v="104"/>
    <d v="2021-07-22T08:44:03"/>
    <x v="13"/>
    <n v="5"/>
    <x v="1"/>
    <m/>
    <m/>
    <m/>
    <m/>
    <m/>
    <x v="1"/>
    <m/>
    <m/>
    <m/>
    <m/>
    <m/>
    <m/>
    <m/>
    <m/>
    <m/>
    <m/>
    <m/>
    <m/>
    <m/>
    <m/>
    <m/>
    <s v="8eb3014d-8842-4ce6-8dbc-6852ec79a1da"/>
    <d v="2021-07-22T15:44:03"/>
    <s v="ccber_user"/>
    <d v="2021-07-22T15:44:03"/>
    <s v="ccber_user"/>
    <n v="-119.881870696685"/>
    <n v="34.420762613914299"/>
  </r>
  <r>
    <n v="105"/>
    <d v="2021-07-22T08:44:59"/>
    <x v="7"/>
    <n v="1"/>
    <x v="0"/>
    <s v="Fence"/>
    <m/>
    <m/>
    <m/>
    <m/>
    <x v="1"/>
    <m/>
    <m/>
    <m/>
    <m/>
    <m/>
    <m/>
    <m/>
    <m/>
    <m/>
    <m/>
    <m/>
    <m/>
    <m/>
    <m/>
    <m/>
    <s v="0ce71332-27c4-4c50-9531-cba66dd01366"/>
    <d v="2021-07-22T15:44:59"/>
    <s v="ccber_user"/>
    <d v="2021-07-22T15:44:59"/>
    <s v="ccber_user"/>
    <n v="-119.881720214502"/>
    <n v="34.420826179281001"/>
  </r>
  <r>
    <n v="106"/>
    <d v="2021-07-22T08:46:25"/>
    <x v="5"/>
    <n v="1"/>
    <x v="0"/>
    <s v="Vegetation - Tree"/>
    <m/>
    <m/>
    <m/>
    <m/>
    <x v="1"/>
    <m/>
    <m/>
    <m/>
    <m/>
    <m/>
    <m/>
    <m/>
    <m/>
    <m/>
    <m/>
    <m/>
    <m/>
    <m/>
    <m/>
    <m/>
    <s v="1285e688-f5b8-4646-ae16-09bdc578d74a"/>
    <d v="2021-07-22T15:46:25"/>
    <s v="ccber_user"/>
    <d v="2021-07-22T15:46:25"/>
    <s v="ccber_user"/>
    <n v="-119.88176368308"/>
    <n v="34.421029915663198"/>
  </r>
  <r>
    <n v="107"/>
    <d v="2021-07-22T08:47:42"/>
    <x v="38"/>
    <n v="1"/>
    <x v="0"/>
    <s v="Vegetation - Shrub"/>
    <m/>
    <m/>
    <m/>
    <m/>
    <x v="1"/>
    <m/>
    <m/>
    <m/>
    <m/>
    <m/>
    <m/>
    <m/>
    <m/>
    <m/>
    <m/>
    <m/>
    <m/>
    <m/>
    <m/>
    <m/>
    <s v="3976d85f-4193-4fcb-adea-869e7fdf455d"/>
    <d v="2021-07-22T15:47:42"/>
    <s v="ccber_user"/>
    <d v="2021-07-22T15:47:42"/>
    <s v="ccber_user"/>
    <n v="-119.881664890856"/>
    <n v="34.420989168129999"/>
  </r>
  <r>
    <n v="108"/>
    <d v="2021-07-22T08:47:59"/>
    <x v="6"/>
    <n v="1"/>
    <x v="0"/>
    <s v="Air"/>
    <m/>
    <m/>
    <m/>
    <m/>
    <x v="1"/>
    <m/>
    <m/>
    <m/>
    <m/>
    <m/>
    <m/>
    <m/>
    <m/>
    <m/>
    <m/>
    <m/>
    <m/>
    <m/>
    <m/>
    <m/>
    <s v="e8c1be0b-c5db-420a-9939-f61abddf73ed"/>
    <d v="2021-07-22T15:47:59"/>
    <s v="ccber_user"/>
    <d v="2021-07-22T15:47:59"/>
    <s v="ccber_user"/>
    <n v="-119.881836788876"/>
    <n v="34.420915823557799"/>
  </r>
  <r>
    <n v="109"/>
    <d v="2021-07-22T08:48:47"/>
    <x v="18"/>
    <n v="1"/>
    <x v="0"/>
    <s v="Vegetation - Shrub"/>
    <m/>
    <m/>
    <m/>
    <m/>
    <x v="1"/>
    <m/>
    <m/>
    <m/>
    <m/>
    <m/>
    <m/>
    <m/>
    <m/>
    <m/>
    <m/>
    <m/>
    <m/>
    <m/>
    <m/>
    <m/>
    <s v="b2252587-170c-41f4-894b-f77aacffc067"/>
    <d v="2021-07-22T15:48:47"/>
    <s v="ccber_user"/>
    <d v="2021-07-22T15:48:47"/>
    <s v="ccber_user"/>
    <n v="-119.881704407746"/>
    <n v="34.420935382215497"/>
  </r>
  <r>
    <n v="110"/>
    <d v="2021-07-22T08:48:59"/>
    <x v="1"/>
    <n v="1"/>
    <x v="0"/>
    <s v="Vegetation - Tree"/>
    <m/>
    <m/>
    <m/>
    <m/>
    <x v="1"/>
    <m/>
    <m/>
    <m/>
    <m/>
    <m/>
    <m/>
    <m/>
    <m/>
    <m/>
    <m/>
    <m/>
    <m/>
    <m/>
    <m/>
    <m/>
    <s v="c894cd92-e188-4301-adbf-1bfc8c6f8db9"/>
    <d v="2021-07-22T15:48:59"/>
    <s v="ccber_user"/>
    <d v="2021-07-22T15:48:59"/>
    <s v="ccber_user"/>
    <n v="-119.88184469225401"/>
    <n v="34.421010961704702"/>
  </r>
  <r>
    <n v="111"/>
    <d v="2021-07-22T08:53:30"/>
    <x v="21"/>
    <n v="1"/>
    <x v="0"/>
    <s v="Air"/>
    <m/>
    <m/>
    <m/>
    <m/>
    <x v="1"/>
    <m/>
    <m/>
    <m/>
    <m/>
    <m/>
    <m/>
    <m/>
    <m/>
    <m/>
    <m/>
    <m/>
    <m/>
    <m/>
    <m/>
    <m/>
    <s v="78eaae48-1568-4296-90e5-0bdc559fb76f"/>
    <d v="2021-07-22T15:53:30"/>
    <s v="ccber_user"/>
    <d v="2021-07-22T15:53:30"/>
    <s v="ccber_user"/>
    <n v="-119.88211143170599"/>
    <n v="34.420596969514698"/>
  </r>
  <r>
    <n v="112"/>
    <d v="2021-07-22T08:53:55"/>
    <x v="39"/>
    <n v="1"/>
    <x v="0"/>
    <s v="Fence"/>
    <m/>
    <m/>
    <m/>
    <m/>
    <x v="1"/>
    <m/>
    <m/>
    <m/>
    <m/>
    <m/>
    <m/>
    <m/>
    <m/>
    <m/>
    <m/>
    <m/>
    <m/>
    <m/>
    <m/>
    <m/>
    <s v="cf50214a-de53-4608-b81e-e03738d5d2dd"/>
    <d v="2021-07-22T15:53:55"/>
    <s v="ccber_user"/>
    <d v="2021-07-22T15:53:55"/>
    <s v="ccber_user"/>
    <n v="-119.88229518569101"/>
    <n v="34.420354114504001"/>
  </r>
  <r>
    <n v="113"/>
    <d v="2021-07-22T08:55:15"/>
    <x v="15"/>
    <n v="1"/>
    <x v="0"/>
    <s v="Fence"/>
    <m/>
    <m/>
    <m/>
    <m/>
    <x v="1"/>
    <m/>
    <m/>
    <m/>
    <m/>
    <m/>
    <m/>
    <m/>
    <m/>
    <m/>
    <m/>
    <m/>
    <m/>
    <m/>
    <m/>
    <m/>
    <s v="6d57f105-8b35-4954-b1c8-fe7dde50c5e9"/>
    <d v="2021-07-22T15:55:15"/>
    <s v="ccber_user"/>
    <d v="2021-07-22T15:55:15"/>
    <s v="ccber_user"/>
    <n v="-119.88228135433"/>
    <n v="34.420489395664397"/>
  </r>
  <r>
    <n v="114"/>
    <d v="2021-07-22T08:55:40"/>
    <x v="39"/>
    <n v="3"/>
    <x v="0"/>
    <s v="Air"/>
    <m/>
    <m/>
    <m/>
    <m/>
    <x v="1"/>
    <m/>
    <m/>
    <m/>
    <m/>
    <m/>
    <m/>
    <m/>
    <m/>
    <m/>
    <m/>
    <m/>
    <m/>
    <m/>
    <m/>
    <m/>
    <s v="014a4e3c-fc91-46e9-9cf8-68763af808db"/>
    <d v="2021-07-22T15:55:40"/>
    <s v="ccber_user"/>
    <d v="2021-07-22T15:55:40"/>
    <s v="ccber_user"/>
    <n v="-119.882301112775"/>
    <n v="34.420673574152801"/>
  </r>
  <r>
    <n v="115"/>
    <d v="2021-07-22T08:56:22"/>
    <x v="9"/>
    <n v="1"/>
    <x v="0"/>
    <s v="Air"/>
    <m/>
    <m/>
    <m/>
    <m/>
    <x v="1"/>
    <m/>
    <m/>
    <m/>
    <m/>
    <m/>
    <m/>
    <m/>
    <m/>
    <m/>
    <m/>
    <m/>
    <m/>
    <m/>
    <m/>
    <m/>
    <s v="dc0a3087-1d5f-45df-9a07-db944e0dd6bc"/>
    <d v="2021-07-22T15:56:22"/>
    <s v="ccber_user"/>
    <d v="2021-07-22T15:56:22"/>
    <s v="ccber_user"/>
    <n v="-119.882441398181"/>
    <n v="34.421038670140803"/>
  </r>
  <r>
    <n v="116"/>
    <d v="2021-07-22T08:57:36"/>
    <x v="6"/>
    <n v="1"/>
    <x v="0"/>
    <s v="Air"/>
    <m/>
    <m/>
    <m/>
    <m/>
    <x v="1"/>
    <m/>
    <m/>
    <m/>
    <m/>
    <m/>
    <m/>
    <m/>
    <m/>
    <m/>
    <m/>
    <m/>
    <m/>
    <m/>
    <m/>
    <m/>
    <s v="ea291e22-ebbf-4872-b0df-b58493a6bd4b"/>
    <d v="2021-07-22T15:57:36"/>
    <s v="ccber_user"/>
    <d v="2021-07-22T15:57:36"/>
    <s v="ccber_user"/>
    <n v="-119.88248289136401"/>
    <n v="34.420686613296198"/>
  </r>
  <r>
    <n v="117"/>
    <d v="2021-07-22T08:59:54"/>
    <x v="4"/>
    <n v="2"/>
    <x v="0"/>
    <s v="Fence"/>
    <m/>
    <m/>
    <m/>
    <m/>
    <x v="1"/>
    <m/>
    <m/>
    <m/>
    <m/>
    <m/>
    <m/>
    <m/>
    <m/>
    <m/>
    <m/>
    <m/>
    <m/>
    <m/>
    <m/>
    <m/>
    <s v="297cfbc2-9aa1-49ab-b48b-2958d9930dca"/>
    <d v="2021-07-22T15:59:54"/>
    <s v="ccber_user"/>
    <d v="2021-07-22T15:59:54"/>
    <s v="ccber_user"/>
    <n v="-119.882846446746"/>
    <n v="34.420634456710403"/>
  </r>
  <r>
    <n v="118"/>
    <d v="2021-07-22T09:00:11"/>
    <x v="1"/>
    <n v="5"/>
    <x v="0"/>
    <s v="Vegetation - Shrub"/>
    <m/>
    <m/>
    <m/>
    <m/>
    <x v="1"/>
    <m/>
    <m/>
    <m/>
    <m/>
    <m/>
    <m/>
    <m/>
    <m/>
    <m/>
    <m/>
    <m/>
    <m/>
    <m/>
    <m/>
    <m/>
    <s v="4a6b768b-b7fa-4594-a931-7fbb9518fa2f"/>
    <d v="2021-07-22T16:00:11"/>
    <s v="ccber_user"/>
    <d v="2021-07-22T16:01:08"/>
    <s v="ccber_user"/>
    <n v="-119.88287015688"/>
    <n v="34.420802335975402"/>
  </r>
  <r>
    <n v="119"/>
    <d v="2021-07-22T09:02:13"/>
    <x v="15"/>
    <n v="2"/>
    <x v="0"/>
    <s v="Vegetation - Shrub"/>
    <m/>
    <m/>
    <m/>
    <m/>
    <x v="1"/>
    <m/>
    <m/>
    <m/>
    <m/>
    <m/>
    <m/>
    <m/>
    <m/>
    <m/>
    <m/>
    <m/>
    <m/>
    <m/>
    <m/>
    <m/>
    <s v="2ffc9c78-dbf8-49f0-830a-887f56489488"/>
    <d v="2021-07-22T16:02:13"/>
    <s v="ccber_user"/>
    <d v="2021-07-22T16:02:13"/>
    <s v="ccber_user"/>
    <n v="-119.883313219453"/>
    <n v="34.420603489092699"/>
  </r>
  <r>
    <n v="120"/>
    <d v="2021-07-22T09:02:40"/>
    <x v="23"/>
    <n v="3"/>
    <x v="0"/>
    <s v="Vegetation - Herbaceous"/>
    <m/>
    <m/>
    <m/>
    <m/>
    <x v="1"/>
    <m/>
    <m/>
    <m/>
    <m/>
    <m/>
    <m/>
    <m/>
    <m/>
    <m/>
    <m/>
    <m/>
    <m/>
    <m/>
    <m/>
    <m/>
    <s v="200d6dfb-9659-43f0-9c4a-8d20be47f16e"/>
    <d v="2021-07-22T16:02:40"/>
    <s v="ccber_user"/>
    <d v="2021-07-22T16:05:22"/>
    <s v="ccber_user"/>
    <n v="-119.883423866743"/>
    <n v="34.420761588331402"/>
  </r>
  <r>
    <n v="121"/>
    <d v="2021-07-22T09:02:54"/>
    <x v="40"/>
    <n v="1"/>
    <x v="0"/>
    <s v="Vegetation - Tree"/>
    <m/>
    <m/>
    <m/>
    <m/>
    <x v="1"/>
    <m/>
    <m/>
    <m/>
    <m/>
    <m/>
    <m/>
    <m/>
    <m/>
    <m/>
    <m/>
    <m/>
    <m/>
    <m/>
    <m/>
    <m/>
    <s v="63ad39af-107e-491c-aa98-588d94471991"/>
    <d v="2021-07-22T16:02:54"/>
    <s v="ccber_user"/>
    <d v="2021-07-22T16:02:54"/>
    <s v="ccber_user"/>
    <n v="-119.884245819838"/>
    <n v="34.420640976285398"/>
  </r>
  <r>
    <n v="122"/>
    <d v="2021-07-22T09:03:43"/>
    <x v="1"/>
    <n v="5"/>
    <x v="0"/>
    <s v="Vegetation - Shrub"/>
    <m/>
    <m/>
    <m/>
    <m/>
    <x v="1"/>
    <m/>
    <m/>
    <m/>
    <m/>
    <m/>
    <m/>
    <m/>
    <m/>
    <m/>
    <m/>
    <m/>
    <m/>
    <m/>
    <m/>
    <m/>
    <s v="3a3fa484-660c-41dc-bfed-5a7bf4c87150"/>
    <d v="2021-07-22T16:03:43"/>
    <s v="ccber_user"/>
    <d v="2021-07-22T16:03:43"/>
    <s v="ccber_user"/>
    <n v="-119.883868433096"/>
    <n v="34.420869161831497"/>
  </r>
  <r>
    <n v="123"/>
    <d v="2021-07-22T09:05:52"/>
    <x v="16"/>
    <n v="2"/>
    <x v="0"/>
    <s v="Vegetation - Tree"/>
    <m/>
    <m/>
    <m/>
    <m/>
    <x v="1"/>
    <m/>
    <m/>
    <m/>
    <m/>
    <m/>
    <m/>
    <m/>
    <m/>
    <m/>
    <m/>
    <m/>
    <m/>
    <m/>
    <m/>
    <m/>
    <s v="603c24db-9b44-46f8-9699-1c5856eedba4"/>
    <d v="2021-07-22T16:05:52"/>
    <s v="ccber_user"/>
    <d v="2021-07-22T16:05:52"/>
    <s v="ccber_user"/>
    <n v="-119.88481288764901"/>
    <n v="34.420929467341203"/>
  </r>
  <r>
    <n v="124"/>
    <d v="2021-07-22T09:06:19"/>
    <x v="30"/>
    <n v="1"/>
    <x v="0"/>
    <s v="Bare ground"/>
    <m/>
    <m/>
    <m/>
    <m/>
    <x v="1"/>
    <m/>
    <m/>
    <m/>
    <m/>
    <m/>
    <m/>
    <m/>
    <m/>
    <m/>
    <m/>
    <m/>
    <m/>
    <m/>
    <m/>
    <m/>
    <s v="f8f80f5c-434f-4c20-9273-7c5904adec5e"/>
    <d v="2021-07-22T16:06:19"/>
    <s v="ccber_user"/>
    <d v="2021-07-22T16:06:19"/>
    <s v="ccber_user"/>
    <n v="-119.88293780900401"/>
    <n v="34.420458427992898"/>
  </r>
  <r>
    <n v="125"/>
    <d v="2021-07-22T09:09:06"/>
    <x v="15"/>
    <n v="2"/>
    <x v="0"/>
    <s v="Vegetation - Herbaceous"/>
    <m/>
    <m/>
    <m/>
    <m/>
    <x v="1"/>
    <m/>
    <m/>
    <m/>
    <m/>
    <m/>
    <m/>
    <m/>
    <m/>
    <m/>
    <m/>
    <m/>
    <m/>
    <m/>
    <m/>
    <m/>
    <s v="3f981340-9839-45de-9273-f8faada4f3b8"/>
    <d v="2021-07-22T16:09:06"/>
    <s v="ccber_user"/>
    <d v="2021-07-22T16:09:06"/>
    <s v="ccber_user"/>
    <n v="-119.88338830154299"/>
    <n v="34.421172320680803"/>
  </r>
  <r>
    <n v="126"/>
    <d v="2021-07-22T09:11:13"/>
    <x v="39"/>
    <n v="1"/>
    <x v="0"/>
    <s v="Vegetation - Tree"/>
    <m/>
    <m/>
    <m/>
    <m/>
    <x v="1"/>
    <m/>
    <m/>
    <m/>
    <m/>
    <m/>
    <m/>
    <m/>
    <m/>
    <m/>
    <m/>
    <m/>
    <m/>
    <m/>
    <m/>
    <m/>
    <s v="a532ef7b-216e-4263-bc5e-c5811a32dbe8"/>
    <d v="2021-07-22T16:11:13"/>
    <s v="ccber_user"/>
    <d v="2021-07-22T16:11:13"/>
    <s v="ccber_user"/>
    <n v="-119.884820791027"/>
    <n v="34.421108754836098"/>
  </r>
  <r>
    <n v="127"/>
    <d v="2021-07-22T09:11:27"/>
    <x v="4"/>
    <n v="2"/>
    <x v="0"/>
    <s v="Vegetation - Shrub"/>
    <m/>
    <m/>
    <m/>
    <m/>
    <x v="1"/>
    <m/>
    <m/>
    <m/>
    <m/>
    <m/>
    <m/>
    <m/>
    <m/>
    <m/>
    <m/>
    <m/>
    <m/>
    <m/>
    <m/>
    <m/>
    <s v="f0ad23c1-0630-4def-9c4e-03cfefe1a33e"/>
    <d v="2021-07-22T16:11:27"/>
    <s v="ccber_user"/>
    <d v="2021-07-22T16:11:27"/>
    <s v="ccber_user"/>
    <n v="-119.884540221113"/>
    <n v="34.421131573216996"/>
  </r>
  <r>
    <n v="128"/>
    <d v="2021-07-22T09:12:33"/>
    <x v="15"/>
    <n v="2"/>
    <x v="0"/>
    <s v="Vegetation - Shrub"/>
    <m/>
    <m/>
    <m/>
    <m/>
    <x v="1"/>
    <m/>
    <m/>
    <m/>
    <m/>
    <m/>
    <m/>
    <m/>
    <m/>
    <m/>
    <m/>
    <m/>
    <m/>
    <m/>
    <m/>
    <m/>
    <s v="facae414-e509-458f-9437-78c3a814f09b"/>
    <d v="2021-07-22T16:12:33"/>
    <s v="ccber_user"/>
    <d v="2021-07-22T16:12:33"/>
    <s v="ccber_user"/>
    <n v="-119.88470816744299"/>
    <n v="34.4212098083595"/>
  </r>
  <r>
    <n v="129"/>
    <d v="2021-07-22T09:14:27"/>
    <x v="39"/>
    <n v="2"/>
    <x v="0"/>
    <s v="Vegetation - Tree"/>
    <m/>
    <s v="Feeding/Begging"/>
    <m/>
    <m/>
    <x v="1"/>
    <m/>
    <m/>
    <m/>
    <m/>
    <m/>
    <m/>
    <m/>
    <m/>
    <m/>
    <m/>
    <m/>
    <m/>
    <m/>
    <m/>
    <m/>
    <s v="118b72ea-8c5a-4f20-9a65-8124c8376cca"/>
    <d v="2021-07-22T16:14:27"/>
    <s v="ccber_user"/>
    <d v="2021-07-22T16:14:27"/>
    <s v="ccber_user"/>
    <n v="-119.884666675159"/>
    <n v="34.421050078971"/>
  </r>
  <r>
    <n v="130"/>
    <d v="2021-07-22T09:20:53"/>
    <x v="3"/>
    <n v="2"/>
    <x v="0"/>
    <s v="Fence"/>
    <m/>
    <m/>
    <m/>
    <m/>
    <x v="1"/>
    <m/>
    <m/>
    <m/>
    <m/>
    <m/>
    <m/>
    <m/>
    <m/>
    <m/>
    <m/>
    <m/>
    <m/>
    <m/>
    <m/>
    <m/>
    <s v="59ad0d49-11f6-4f85-a04a-3c4286864d5c"/>
    <d v="2021-07-22T16:20:53"/>
    <s v="ccber_user"/>
    <d v="2021-07-22T16:20:53"/>
    <s v="ccber_user"/>
    <n v="-119.883900183151"/>
    <n v="34.421546233384198"/>
  </r>
  <r>
    <n v="131"/>
    <d v="2021-07-22T09:21:19"/>
    <x v="7"/>
    <n v="1"/>
    <x v="0"/>
    <s v="Air"/>
    <m/>
    <m/>
    <m/>
    <m/>
    <x v="1"/>
    <m/>
    <m/>
    <m/>
    <m/>
    <m/>
    <m/>
    <m/>
    <m/>
    <m/>
    <m/>
    <m/>
    <m/>
    <m/>
    <m/>
    <m/>
    <s v="bc3ca8cc-a6c3-46de-8bb3-3cc8f01e7bba"/>
    <d v="2021-07-22T16:21:19"/>
    <s v="ccber_user"/>
    <d v="2021-07-22T16:21:19"/>
    <s v="ccber_user"/>
    <n v="-119.885090986298"/>
    <n v="34.421522745233197"/>
  </r>
  <r>
    <n v="132"/>
    <d v="2021-07-22T09:22:28"/>
    <x v="8"/>
    <n v="1"/>
    <x v="0"/>
    <s v="Vegetation - Tree"/>
    <m/>
    <m/>
    <m/>
    <m/>
    <x v="1"/>
    <m/>
    <s v="930"/>
    <m/>
    <m/>
    <m/>
    <m/>
    <m/>
    <m/>
    <n v="75"/>
    <n v="15"/>
    <s v="High"/>
    <s v="Light"/>
    <m/>
    <m/>
    <m/>
    <s v="e314985f-5ebd-4494-a094-87e0361e7104"/>
    <d v="2021-07-22T16:22:28"/>
    <s v="ccber_user"/>
    <d v="2021-07-22T16:30:00"/>
    <s v="ccber_user"/>
    <n v="-119.883500429256"/>
    <n v="34.421721590670799"/>
  </r>
  <r>
    <n v="133"/>
    <d v="2021-07-22T09:33:05"/>
    <x v="10"/>
    <n v="2"/>
    <x v="0"/>
    <s v="Vegetation - Tree"/>
    <m/>
    <m/>
    <m/>
    <m/>
    <x v="1"/>
    <m/>
    <m/>
    <m/>
    <m/>
    <m/>
    <m/>
    <m/>
    <m/>
    <m/>
    <m/>
    <m/>
    <m/>
    <m/>
    <m/>
    <m/>
    <s v="0b2432a1-aa6b-4917-92c2-14a7485d57db"/>
    <d v="2021-07-22T16:33:05"/>
    <s v="ccber_user"/>
    <d v="2021-07-22T16:33:05"/>
    <s v="ccber_user"/>
    <n v="-119.88240587699801"/>
    <n v="34.421720545833203"/>
  </r>
  <r>
    <n v="134"/>
    <d v="2021-07-22T09:35:52"/>
    <x v="34"/>
    <n v="1"/>
    <x v="0"/>
    <s v="Flyover"/>
    <m/>
    <m/>
    <m/>
    <m/>
    <x v="1"/>
    <m/>
    <m/>
    <m/>
    <m/>
    <m/>
    <m/>
    <m/>
    <m/>
    <m/>
    <m/>
    <m/>
    <m/>
    <m/>
    <m/>
    <m/>
    <s v="2a1bba71-f2ca-48fe-9d42-bc9ad4a6a11f"/>
    <d v="2021-07-22T16:35:52"/>
    <s v="ccber_user"/>
    <d v="2021-07-22T16:35:52"/>
    <s v="ccber_user"/>
    <n v="-119.878553909145"/>
    <n v="34.421327582948599"/>
  </r>
  <r>
    <m/>
    <m/>
    <x v="41"/>
    <m/>
    <x v="2"/>
    <m/>
    <m/>
    <m/>
    <m/>
    <m/>
    <x v="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7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J48" firstHeaderRow="1" firstDataRow="3" firstDataCol="1"/>
  <pivotFields count="33">
    <pivotField showAll="0"/>
    <pivotField showAll="0"/>
    <pivotField axis="axisRow" showAll="0">
      <items count="43">
        <item x="38"/>
        <item x="11"/>
        <item x="6"/>
        <item x="17"/>
        <item x="7"/>
        <item x="32"/>
        <item x="0"/>
        <item x="29"/>
        <item x="22"/>
        <item x="12"/>
        <item x="26"/>
        <item x="34"/>
        <item x="13"/>
        <item x="18"/>
        <item x="20"/>
        <item x="16"/>
        <item x="36"/>
        <item x="35"/>
        <item x="31"/>
        <item x="4"/>
        <item x="23"/>
        <item x="30"/>
        <item x="15"/>
        <item x="2"/>
        <item x="21"/>
        <item x="19"/>
        <item x="40"/>
        <item x="8"/>
        <item x="28"/>
        <item x="14"/>
        <item x="25"/>
        <item x="33"/>
        <item x="5"/>
        <item x="10"/>
        <item x="1"/>
        <item x="27"/>
        <item x="37"/>
        <item x="3"/>
        <item x="9"/>
        <item x="39"/>
        <item x="24"/>
        <item x="41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2">
    <field x="4"/>
    <field x="10"/>
  </colFields>
  <col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 v="2"/>
    </i>
    <i t="default">
      <x v="2"/>
    </i>
    <i t="grand">
      <x/>
    </i>
  </colItems>
  <dataFields count="1">
    <dataField name="Sum of Count" fld="3" baseField="0" baseItem="0"/>
  </dataFields>
  <formats count="20">
    <format dxfId="19">
      <pivotArea outline="0" collapsedLevelsAreSubtotals="1" fieldPosition="0">
        <references count="1">
          <reference field="4" count="1" selected="0" defaultSubtotal="1">
            <x v="0"/>
          </reference>
        </references>
      </pivotArea>
    </format>
    <format dxfId="18">
      <pivotArea type="topRight" dataOnly="0" labelOnly="1" outline="0" offset="A1" fieldPosition="0"/>
    </format>
    <format dxfId="17">
      <pivotArea dataOnly="0" labelOnly="1" fieldPosition="0">
        <references count="1">
          <reference field="4" count="1" defaultSubtotal="1">
            <x v="0"/>
          </reference>
        </references>
      </pivotArea>
    </format>
    <format dxfId="16">
      <pivotArea outline="0" collapsedLevelsAreSubtotals="1" fieldPosition="0">
        <references count="1">
          <reference field="4" count="1" selected="0" defaultSubtotal="1">
            <x v="0"/>
          </reference>
        </references>
      </pivotArea>
    </format>
    <format dxfId="15">
      <pivotArea type="topRight" dataOnly="0" labelOnly="1" outline="0" offset="A1" fieldPosition="0"/>
    </format>
    <format dxfId="14">
      <pivotArea dataOnly="0" labelOnly="1" fieldPosition="0">
        <references count="1">
          <reference field="4" count="1" defaultSubtotal="1">
            <x v="0"/>
          </reference>
        </references>
      </pivotArea>
    </format>
    <format dxfId="13">
      <pivotArea collapsedLevelsAreSubtotals="1" fieldPosition="0">
        <references count="2">
          <reference field="2" count="3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</reference>
          <reference field="4" count="1" selected="0" defaultSubtotal="1">
            <x v="1"/>
          </reference>
        </references>
      </pivotArea>
    </format>
    <format dxfId="12">
      <pivotArea type="topRight" dataOnly="0" labelOnly="1" outline="0" offset="B1:D1" fieldPosition="0"/>
    </format>
    <format dxfId="11">
      <pivotArea dataOnly="0" labelOnly="1" fieldPosition="0">
        <references count="1">
          <reference field="4" count="1">
            <x v="1"/>
          </reference>
        </references>
      </pivotArea>
    </format>
    <format dxfId="10">
      <pivotArea dataOnly="0" labelOnly="1" fieldPosition="0">
        <references count="1">
          <reference field="4" count="1" defaultSubtotal="1">
            <x v="1"/>
          </reference>
        </references>
      </pivotArea>
    </format>
    <format dxfId="9">
      <pivotArea dataOnly="0" labelOnly="1" fieldPosition="0">
        <references count="2">
          <reference field="4" count="1" selected="0">
            <x v="1"/>
          </reference>
          <reference field="10" count="2">
            <x v="0"/>
            <x v="1"/>
          </reference>
        </references>
      </pivotArea>
    </format>
    <format dxfId="8">
      <pivotArea collapsedLevelsAreSubtotals="1" fieldPosition="0">
        <references count="2">
          <reference field="2" count="3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</reference>
          <reference field="4" count="1" selected="0" defaultSubtotal="1">
            <x v="1"/>
          </reference>
        </references>
      </pivotArea>
    </format>
    <format dxfId="7">
      <pivotArea type="topRight" dataOnly="0" labelOnly="1" outline="0" offset="B1:D1" fieldPosition="0"/>
    </format>
    <format dxfId="6">
      <pivotArea dataOnly="0" labelOnly="1" fieldPosition="0">
        <references count="1">
          <reference field="4" count="1">
            <x v="1"/>
          </reference>
        </references>
      </pivotArea>
    </format>
    <format dxfId="5">
      <pivotArea dataOnly="0" labelOnly="1" fieldPosition="0">
        <references count="1">
          <reference field="4" count="1" defaultSubtotal="1">
            <x v="1"/>
          </reference>
        </references>
      </pivotArea>
    </format>
    <format dxfId="4">
      <pivotArea dataOnly="0" labelOnly="1" fieldPosition="0">
        <references count="2">
          <reference field="4" count="1" selected="0">
            <x v="1"/>
          </reference>
          <reference field="10" count="2">
            <x v="0"/>
            <x v="1"/>
          </reference>
        </references>
      </pivotArea>
    </format>
    <format dxfId="3">
      <pivotArea collapsedLevelsAreSubtotals="1" fieldPosition="0">
        <references count="2">
          <reference field="2" count="6">
            <x v="36"/>
            <x v="37"/>
            <x v="38"/>
            <x v="39"/>
            <x v="40"/>
            <x v="41"/>
          </reference>
          <reference field="4" count="1" selected="0" defaultSubtotal="1">
            <x v="1"/>
          </reference>
        </references>
      </pivotArea>
    </format>
    <format dxfId="2">
      <pivotArea field="4" grandRow="1" outline="0" collapsedLevelsAreSubtotals="1" axis="axisCol" fieldPosition="0">
        <references count="1">
          <reference field="4" count="1" selected="0" defaultSubtotal="1">
            <x v="1"/>
          </reference>
        </references>
      </pivotArea>
    </format>
    <format dxfId="1">
      <pivotArea collapsedLevelsAreSubtotals="1" fieldPosition="0">
        <references count="2">
          <reference field="2" count="0"/>
          <reference field="4" count="2" selected="0" defaultSubtotal="1">
            <x v="0"/>
            <x v="1"/>
          </reference>
        </references>
      </pivotArea>
    </format>
    <format dxfId="0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activeCell="A18" sqref="A18:XFD18"/>
    </sheetView>
  </sheetViews>
  <sheetFormatPr baseColWidth="10" defaultColWidth="8.83203125" defaultRowHeight="14" x14ac:dyDescent="0"/>
  <cols>
    <col min="1" max="1" width="27.5" bestFit="1" customWidth="1"/>
    <col min="2" max="2" width="18.33203125" bestFit="1" customWidth="1"/>
    <col min="3" max="3" width="21.6640625" bestFit="1" customWidth="1"/>
    <col min="4" max="4" width="8.5" bestFit="1" customWidth="1"/>
    <col min="5" max="5" width="18.33203125" bestFit="1" customWidth="1"/>
    <col min="6" max="6" width="21.6640625" bestFit="1" customWidth="1"/>
    <col min="7" max="7" width="9" bestFit="1" customWidth="1"/>
    <col min="8" max="8" width="0.6640625" customWidth="1"/>
    <col min="9" max="9" width="0.5" customWidth="1"/>
    <col min="10" max="10" width="0.33203125" customWidth="1"/>
  </cols>
  <sheetData>
    <row r="1" spans="1:10">
      <c r="D1" s="6"/>
      <c r="E1" s="5"/>
      <c r="F1" s="5"/>
      <c r="G1" s="5"/>
    </row>
    <row r="2" spans="1:10" ht="28">
      <c r="D2" s="7" t="s">
        <v>242</v>
      </c>
      <c r="E2" s="9" t="s">
        <v>243</v>
      </c>
      <c r="F2" s="5"/>
      <c r="G2" s="5"/>
    </row>
    <row r="3" spans="1:10">
      <c r="A3" s="3" t="s">
        <v>241</v>
      </c>
      <c r="B3" s="3" t="s">
        <v>237</v>
      </c>
      <c r="D3" s="8"/>
      <c r="E3" s="5"/>
      <c r="F3" s="5"/>
      <c r="G3" s="5"/>
    </row>
    <row r="4" spans="1:10">
      <c r="B4" t="s">
        <v>33</v>
      </c>
      <c r="D4" s="8" t="s">
        <v>238</v>
      </c>
      <c r="E4" s="5" t="s">
        <v>94</v>
      </c>
      <c r="F4" s="5"/>
      <c r="G4" s="5" t="s">
        <v>239</v>
      </c>
      <c r="H4" t="s">
        <v>235</v>
      </c>
      <c r="I4" t="s">
        <v>240</v>
      </c>
      <c r="J4" t="s">
        <v>236</v>
      </c>
    </row>
    <row r="5" spans="1:10">
      <c r="A5" s="3" t="s">
        <v>234</v>
      </c>
      <c r="B5" t="s">
        <v>232</v>
      </c>
      <c r="C5" t="s">
        <v>233</v>
      </c>
      <c r="D5" s="8"/>
      <c r="E5" s="5" t="s">
        <v>232</v>
      </c>
      <c r="F5" s="5" t="s">
        <v>233</v>
      </c>
      <c r="G5" s="5"/>
      <c r="H5" t="s">
        <v>235</v>
      </c>
    </row>
    <row r="6" spans="1:10">
      <c r="A6" s="10" t="s">
        <v>197</v>
      </c>
      <c r="B6" s="11"/>
      <c r="C6" s="11">
        <v>1</v>
      </c>
      <c r="D6" s="12">
        <v>1</v>
      </c>
      <c r="E6" s="13"/>
      <c r="F6" s="13"/>
      <c r="G6" s="13"/>
      <c r="J6">
        <v>1</v>
      </c>
    </row>
    <row r="7" spans="1:10">
      <c r="A7" s="10" t="s">
        <v>65</v>
      </c>
      <c r="B7" s="11">
        <v>1</v>
      </c>
      <c r="C7" s="11">
        <v>5</v>
      </c>
      <c r="D7" s="12">
        <v>6</v>
      </c>
      <c r="E7" s="13"/>
      <c r="F7" s="13"/>
      <c r="G7" s="13"/>
      <c r="J7">
        <v>6</v>
      </c>
    </row>
    <row r="8" spans="1:10">
      <c r="A8" s="10" t="s">
        <v>51</v>
      </c>
      <c r="B8" s="11">
        <v>9</v>
      </c>
      <c r="C8" s="11">
        <v>9</v>
      </c>
      <c r="D8" s="12">
        <v>18</v>
      </c>
      <c r="E8" s="13"/>
      <c r="F8" s="13"/>
      <c r="G8" s="13"/>
      <c r="J8">
        <v>18</v>
      </c>
    </row>
    <row r="9" spans="1:10">
      <c r="A9" s="10" t="s">
        <v>93</v>
      </c>
      <c r="B9" s="11"/>
      <c r="C9" s="11">
        <v>2</v>
      </c>
      <c r="D9" s="12">
        <v>2</v>
      </c>
      <c r="E9" s="13">
        <v>1</v>
      </c>
      <c r="F9" s="13"/>
      <c r="G9" s="13">
        <v>1</v>
      </c>
      <c r="J9">
        <v>3</v>
      </c>
    </row>
    <row r="10" spans="1:10">
      <c r="A10" s="10" t="s">
        <v>53</v>
      </c>
      <c r="B10" s="11">
        <v>3</v>
      </c>
      <c r="C10" s="11">
        <v>2</v>
      </c>
      <c r="D10" s="12">
        <v>5</v>
      </c>
      <c r="E10" s="13"/>
      <c r="F10" s="13"/>
      <c r="G10" s="13"/>
      <c r="J10">
        <v>5</v>
      </c>
    </row>
    <row r="11" spans="1:10">
      <c r="A11" s="10" t="s">
        <v>172</v>
      </c>
      <c r="B11" s="11"/>
      <c r="C11" s="11">
        <v>1</v>
      </c>
      <c r="D11" s="12">
        <v>1</v>
      </c>
      <c r="E11" s="13"/>
      <c r="F11" s="13"/>
      <c r="G11" s="13"/>
      <c r="J11">
        <v>1</v>
      </c>
    </row>
    <row r="12" spans="1:10">
      <c r="A12" s="10" t="s">
        <v>32</v>
      </c>
      <c r="B12" s="11">
        <v>4</v>
      </c>
      <c r="C12" s="11"/>
      <c r="D12" s="12">
        <v>4</v>
      </c>
      <c r="E12" s="13"/>
      <c r="F12" s="13"/>
      <c r="G12" s="13"/>
      <c r="J12">
        <v>4</v>
      </c>
    </row>
    <row r="13" spans="1:10">
      <c r="A13" s="10" t="s">
        <v>142</v>
      </c>
      <c r="B13" s="11"/>
      <c r="C13" s="11">
        <v>25</v>
      </c>
      <c r="D13" s="12">
        <v>25</v>
      </c>
      <c r="E13" s="13"/>
      <c r="F13" s="13"/>
      <c r="G13" s="13"/>
      <c r="J13">
        <v>25</v>
      </c>
    </row>
    <row r="14" spans="1:10">
      <c r="A14" s="10" t="s">
        <v>107</v>
      </c>
      <c r="B14" s="11">
        <v>1</v>
      </c>
      <c r="C14" s="11"/>
      <c r="D14" s="12">
        <v>1</v>
      </c>
      <c r="E14" s="13"/>
      <c r="F14" s="13"/>
      <c r="G14" s="13"/>
      <c r="J14">
        <v>1</v>
      </c>
    </row>
    <row r="15" spans="1:10">
      <c r="A15" s="10" t="s">
        <v>67</v>
      </c>
      <c r="B15" s="11">
        <v>5</v>
      </c>
      <c r="C15" s="11">
        <v>4</v>
      </c>
      <c r="D15" s="12">
        <v>9</v>
      </c>
      <c r="E15" s="13">
        <v>2</v>
      </c>
      <c r="F15" s="13"/>
      <c r="G15" s="13">
        <v>2</v>
      </c>
      <c r="J15">
        <v>11</v>
      </c>
    </row>
    <row r="16" spans="1:10">
      <c r="A16" s="10" t="s">
        <v>129</v>
      </c>
      <c r="B16" s="11">
        <v>8</v>
      </c>
      <c r="C16" s="11"/>
      <c r="D16" s="12">
        <v>8</v>
      </c>
      <c r="E16" s="13"/>
      <c r="F16" s="13"/>
      <c r="G16" s="13"/>
      <c r="J16">
        <v>8</v>
      </c>
    </row>
    <row r="17" spans="1:10">
      <c r="A17" s="10" t="s">
        <v>182</v>
      </c>
      <c r="B17" s="11"/>
      <c r="C17" s="11">
        <v>2</v>
      </c>
      <c r="D17" s="12">
        <v>2</v>
      </c>
      <c r="E17" s="13"/>
      <c r="F17" s="13"/>
      <c r="G17" s="13"/>
      <c r="J17">
        <v>2</v>
      </c>
    </row>
    <row r="18" spans="1:10">
      <c r="A18" s="10" t="s">
        <v>79</v>
      </c>
      <c r="B18" s="11">
        <v>4</v>
      </c>
      <c r="C18" s="11">
        <v>10</v>
      </c>
      <c r="D18" s="12">
        <v>14</v>
      </c>
      <c r="E18" s="13">
        <v>18</v>
      </c>
      <c r="F18" s="13">
        <v>8</v>
      </c>
      <c r="G18" s="13">
        <v>26</v>
      </c>
      <c r="J18">
        <v>40</v>
      </c>
    </row>
    <row r="19" spans="1:10">
      <c r="A19" s="10" t="s">
        <v>96</v>
      </c>
      <c r="B19" s="11">
        <v>3</v>
      </c>
      <c r="C19" s="11">
        <v>1</v>
      </c>
      <c r="D19" s="12">
        <v>4</v>
      </c>
      <c r="E19" s="13"/>
      <c r="F19" s="13"/>
      <c r="G19" s="13"/>
      <c r="J19">
        <v>4</v>
      </c>
    </row>
    <row r="20" spans="1:10">
      <c r="A20" s="10" t="s">
        <v>101</v>
      </c>
      <c r="B20" s="11"/>
      <c r="C20" s="11">
        <v>1</v>
      </c>
      <c r="D20" s="12">
        <v>1</v>
      </c>
      <c r="E20" s="13">
        <v>1</v>
      </c>
      <c r="F20" s="13"/>
      <c r="G20" s="13">
        <v>1</v>
      </c>
      <c r="J20">
        <v>2</v>
      </c>
    </row>
    <row r="21" spans="1:10">
      <c r="A21" s="10" t="s">
        <v>90</v>
      </c>
      <c r="B21" s="11">
        <v>2</v>
      </c>
      <c r="C21" s="11">
        <v>2</v>
      </c>
      <c r="D21" s="12">
        <v>4</v>
      </c>
      <c r="E21" s="13"/>
      <c r="F21" s="13"/>
      <c r="G21" s="13"/>
      <c r="J21">
        <v>4</v>
      </c>
    </row>
    <row r="22" spans="1:10">
      <c r="A22" s="10" t="s">
        <v>190</v>
      </c>
      <c r="B22" s="11"/>
      <c r="C22" s="11">
        <v>1</v>
      </c>
      <c r="D22" s="12">
        <v>1</v>
      </c>
      <c r="E22" s="13"/>
      <c r="F22" s="13"/>
      <c r="G22" s="13"/>
      <c r="J22">
        <v>1</v>
      </c>
    </row>
    <row r="23" spans="1:10">
      <c r="A23" s="10" t="s">
        <v>187</v>
      </c>
      <c r="B23" s="11"/>
      <c r="C23" s="11">
        <v>1</v>
      </c>
      <c r="D23" s="12">
        <v>1</v>
      </c>
      <c r="E23" s="13"/>
      <c r="F23" s="13"/>
      <c r="G23" s="13"/>
      <c r="J23">
        <v>1</v>
      </c>
    </row>
    <row r="24" spans="1:10">
      <c r="A24" s="10" t="s">
        <v>162</v>
      </c>
      <c r="B24" s="11"/>
      <c r="C24" s="11">
        <v>1</v>
      </c>
      <c r="D24" s="12">
        <v>1</v>
      </c>
      <c r="E24" s="13"/>
      <c r="F24" s="13"/>
      <c r="G24" s="13"/>
      <c r="J24">
        <v>1</v>
      </c>
    </row>
    <row r="25" spans="1:10">
      <c r="A25" s="10" t="s">
        <v>45</v>
      </c>
      <c r="B25" s="11">
        <v>12</v>
      </c>
      <c r="C25" s="11">
        <v>7</v>
      </c>
      <c r="D25" s="12">
        <v>19</v>
      </c>
      <c r="E25" s="13">
        <v>3</v>
      </c>
      <c r="F25" s="13"/>
      <c r="G25" s="13">
        <v>3</v>
      </c>
      <c r="J25">
        <v>22</v>
      </c>
    </row>
    <row r="26" spans="1:10">
      <c r="A26" s="10" t="s">
        <v>109</v>
      </c>
      <c r="B26" s="11">
        <v>2</v>
      </c>
      <c r="C26" s="11">
        <v>11</v>
      </c>
      <c r="D26" s="12">
        <v>13</v>
      </c>
      <c r="E26" s="13">
        <v>6</v>
      </c>
      <c r="F26" s="13"/>
      <c r="G26" s="13">
        <v>6</v>
      </c>
      <c r="J26">
        <v>19</v>
      </c>
    </row>
    <row r="27" spans="1:10">
      <c r="A27" s="10" t="s">
        <v>155</v>
      </c>
      <c r="B27" s="11"/>
      <c r="C27" s="11">
        <v>14</v>
      </c>
      <c r="D27" s="12">
        <v>14</v>
      </c>
      <c r="E27" s="13"/>
      <c r="F27" s="13"/>
      <c r="G27" s="13"/>
      <c r="J27">
        <v>14</v>
      </c>
    </row>
    <row r="28" spans="1:10">
      <c r="A28" s="10" t="s">
        <v>86</v>
      </c>
      <c r="B28" s="11">
        <v>4</v>
      </c>
      <c r="C28" s="11">
        <v>25</v>
      </c>
      <c r="D28" s="12">
        <v>29</v>
      </c>
      <c r="E28" s="13"/>
      <c r="F28" s="13"/>
      <c r="G28" s="13"/>
      <c r="J28">
        <v>29</v>
      </c>
    </row>
    <row r="29" spans="1:10">
      <c r="A29" s="10" t="s">
        <v>41</v>
      </c>
      <c r="B29" s="11">
        <v>12</v>
      </c>
      <c r="C29" s="11"/>
      <c r="D29" s="12">
        <v>12</v>
      </c>
      <c r="E29" s="13"/>
      <c r="F29" s="13">
        <v>2</v>
      </c>
      <c r="G29" s="13">
        <v>2</v>
      </c>
      <c r="J29">
        <v>14</v>
      </c>
    </row>
    <row r="30" spans="1:10">
      <c r="A30" s="10" t="s">
        <v>104</v>
      </c>
      <c r="B30" s="11">
        <v>1</v>
      </c>
      <c r="C30" s="11">
        <v>3</v>
      </c>
      <c r="D30" s="12">
        <v>4</v>
      </c>
      <c r="E30" s="13"/>
      <c r="F30" s="13"/>
      <c r="G30" s="13"/>
      <c r="J30">
        <v>4</v>
      </c>
    </row>
    <row r="31" spans="1:10">
      <c r="A31" s="10" t="s">
        <v>98</v>
      </c>
      <c r="B31" s="11">
        <v>1</v>
      </c>
      <c r="C31" s="11"/>
      <c r="D31" s="12">
        <v>1</v>
      </c>
      <c r="E31" s="13"/>
      <c r="F31" s="13"/>
      <c r="G31" s="13"/>
      <c r="J31">
        <v>1</v>
      </c>
    </row>
    <row r="32" spans="1:10">
      <c r="A32" s="10" t="s">
        <v>213</v>
      </c>
      <c r="B32" s="11"/>
      <c r="C32" s="11">
        <v>1</v>
      </c>
      <c r="D32" s="12">
        <v>1</v>
      </c>
      <c r="E32" s="13"/>
      <c r="F32" s="13"/>
      <c r="G32" s="13"/>
      <c r="J32">
        <v>1</v>
      </c>
    </row>
    <row r="33" spans="1:10">
      <c r="A33" s="10" t="s">
        <v>55</v>
      </c>
      <c r="B33" s="11">
        <v>3</v>
      </c>
      <c r="C33" s="11">
        <v>4</v>
      </c>
      <c r="D33" s="12">
        <v>7</v>
      </c>
      <c r="E33" s="13"/>
      <c r="F33" s="13"/>
      <c r="G33" s="13"/>
      <c r="J33">
        <v>7</v>
      </c>
    </row>
    <row r="34" spans="1:10">
      <c r="A34" s="10" t="s">
        <v>139</v>
      </c>
      <c r="B34" s="11"/>
      <c r="C34" s="11">
        <v>1</v>
      </c>
      <c r="D34" s="12">
        <v>1</v>
      </c>
      <c r="E34" s="13"/>
      <c r="F34" s="13"/>
      <c r="G34" s="13"/>
      <c r="J34">
        <v>1</v>
      </c>
    </row>
    <row r="35" spans="1:10">
      <c r="A35" s="10" t="s">
        <v>84</v>
      </c>
      <c r="B35" s="11">
        <v>2</v>
      </c>
      <c r="C35" s="11">
        <v>2</v>
      </c>
      <c r="D35" s="12">
        <v>4</v>
      </c>
      <c r="E35" s="13"/>
      <c r="F35" s="13"/>
      <c r="G35" s="13"/>
      <c r="J35">
        <v>4</v>
      </c>
    </row>
    <row r="36" spans="1:10">
      <c r="A36" s="10" t="s">
        <v>121</v>
      </c>
      <c r="B36" s="11"/>
      <c r="C36" s="11"/>
      <c r="D36" s="12"/>
      <c r="E36" s="13">
        <v>2</v>
      </c>
      <c r="F36" s="13"/>
      <c r="G36" s="13">
        <v>2</v>
      </c>
      <c r="J36">
        <v>2</v>
      </c>
    </row>
    <row r="37" spans="1:10">
      <c r="A37" s="10" t="s">
        <v>179</v>
      </c>
      <c r="B37" s="11"/>
      <c r="C37" s="11">
        <v>1</v>
      </c>
      <c r="D37" s="12">
        <v>1</v>
      </c>
      <c r="E37" s="13"/>
      <c r="F37" s="13"/>
      <c r="G37" s="13"/>
      <c r="J37">
        <v>1</v>
      </c>
    </row>
    <row r="38" spans="1:10">
      <c r="A38" s="10" t="s">
        <v>48</v>
      </c>
      <c r="B38" s="11">
        <v>2</v>
      </c>
      <c r="C38" s="11">
        <v>4</v>
      </c>
      <c r="D38" s="12">
        <v>6</v>
      </c>
      <c r="E38" s="13"/>
      <c r="F38" s="13"/>
      <c r="G38" s="13"/>
      <c r="J38">
        <v>6</v>
      </c>
    </row>
    <row r="39" spans="1:10">
      <c r="A39" s="10" t="s">
        <v>63</v>
      </c>
      <c r="B39" s="11">
        <v>8</v>
      </c>
      <c r="C39" s="11">
        <v>2</v>
      </c>
      <c r="D39" s="12">
        <v>10</v>
      </c>
      <c r="E39" s="13"/>
      <c r="F39" s="13"/>
      <c r="G39" s="13"/>
      <c r="J39">
        <v>10</v>
      </c>
    </row>
    <row r="40" spans="1:10">
      <c r="A40" s="10" t="s">
        <v>37</v>
      </c>
      <c r="B40" s="11">
        <v>6</v>
      </c>
      <c r="C40" s="11">
        <v>19</v>
      </c>
      <c r="D40" s="12">
        <v>25</v>
      </c>
      <c r="E40" s="13">
        <v>2</v>
      </c>
      <c r="F40" s="13"/>
      <c r="G40" s="13">
        <v>2</v>
      </c>
      <c r="J40">
        <v>27</v>
      </c>
    </row>
    <row r="41" spans="1:10">
      <c r="A41" s="10" t="s">
        <v>137</v>
      </c>
      <c r="B41" s="11"/>
      <c r="C41" s="11">
        <v>1</v>
      </c>
      <c r="D41" s="12">
        <v>1</v>
      </c>
      <c r="E41" s="13"/>
      <c r="F41" s="13"/>
      <c r="G41" s="13"/>
      <c r="J41">
        <v>1</v>
      </c>
    </row>
    <row r="42" spans="1:10">
      <c r="A42" s="10" t="s">
        <v>192</v>
      </c>
      <c r="B42" s="11"/>
      <c r="C42" s="11">
        <v>1</v>
      </c>
      <c r="D42" s="12">
        <v>1</v>
      </c>
      <c r="E42" s="13"/>
      <c r="F42" s="13"/>
      <c r="G42" s="13"/>
      <c r="J42">
        <v>1</v>
      </c>
    </row>
    <row r="43" spans="1:10">
      <c r="A43" s="10" t="s">
        <v>43</v>
      </c>
      <c r="B43" s="11">
        <v>2</v>
      </c>
      <c r="C43" s="11">
        <v>2</v>
      </c>
      <c r="D43" s="12">
        <v>4</v>
      </c>
      <c r="E43" s="13"/>
      <c r="F43" s="13"/>
      <c r="G43" s="13"/>
      <c r="J43">
        <v>4</v>
      </c>
    </row>
    <row r="44" spans="1:10">
      <c r="A44" s="10" t="s">
        <v>61</v>
      </c>
      <c r="B44" s="11">
        <v>1</v>
      </c>
      <c r="C44" s="11">
        <v>1</v>
      </c>
      <c r="D44" s="12">
        <v>2</v>
      </c>
      <c r="E44" s="13"/>
      <c r="F44" s="13"/>
      <c r="G44" s="13"/>
      <c r="J44">
        <v>2</v>
      </c>
    </row>
    <row r="45" spans="1:10">
      <c r="A45" s="10" t="s">
        <v>203</v>
      </c>
      <c r="B45" s="11"/>
      <c r="C45" s="11">
        <v>7</v>
      </c>
      <c r="D45" s="12">
        <v>7</v>
      </c>
      <c r="E45" s="13"/>
      <c r="F45" s="13"/>
      <c r="G45" s="13"/>
      <c r="J45">
        <v>7</v>
      </c>
    </row>
    <row r="46" spans="1:10">
      <c r="A46" s="10" t="s">
        <v>114</v>
      </c>
      <c r="B46" s="11">
        <v>1</v>
      </c>
      <c r="C46" s="11">
        <v>2</v>
      </c>
      <c r="D46" s="12">
        <v>3</v>
      </c>
      <c r="E46" s="13"/>
      <c r="F46" s="13"/>
      <c r="G46" s="13"/>
      <c r="J46">
        <v>3</v>
      </c>
    </row>
    <row r="47" spans="1:10">
      <c r="A47" s="10" t="s">
        <v>235</v>
      </c>
      <c r="B47" s="11"/>
      <c r="C47" s="11"/>
      <c r="D47" s="12"/>
      <c r="E47" s="13"/>
      <c r="F47" s="13"/>
      <c r="G47" s="13"/>
    </row>
    <row r="48" spans="1:10">
      <c r="A48" s="4" t="s">
        <v>236</v>
      </c>
      <c r="B48">
        <v>97</v>
      </c>
      <c r="C48">
        <v>176</v>
      </c>
      <c r="D48" s="8">
        <v>273</v>
      </c>
      <c r="E48" s="5">
        <v>35</v>
      </c>
      <c r="F48" s="5">
        <v>10</v>
      </c>
      <c r="G48" s="5">
        <v>45</v>
      </c>
      <c r="J48">
        <v>318</v>
      </c>
    </row>
  </sheetData>
  <pageMargins left="0.7" right="0.7" top="0.75" bottom="0.75" header="0.3" footer="0.3"/>
  <pageSetup orientation="portrait" horizontalDpi="360" verticalDpi="36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5"/>
  <sheetViews>
    <sheetView tabSelected="1" workbookViewId="0">
      <selection activeCell="T31" sqref="T31"/>
    </sheetView>
  </sheetViews>
  <sheetFormatPr baseColWidth="10" defaultColWidth="8.83203125" defaultRowHeight="14" x14ac:dyDescent="0"/>
  <cols>
    <col min="2" max="2" width="12.6640625" bestFit="1" customWidth="1"/>
  </cols>
  <sheetData>
    <row r="1" spans="1:33">
      <c r="A1" t="s">
        <v>0</v>
      </c>
      <c r="B1" t="s">
        <v>231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>
      <c r="A2">
        <v>1</v>
      </c>
      <c r="B2" s="2">
        <f>AB2-(7/24)</f>
        <v>44399.292847222234</v>
      </c>
      <c r="C2" t="s">
        <v>32</v>
      </c>
      <c r="D2">
        <v>1</v>
      </c>
      <c r="E2" t="s">
        <v>33</v>
      </c>
      <c r="F2" t="s">
        <v>34</v>
      </c>
      <c r="K2" t="s">
        <v>232</v>
      </c>
      <c r="AA2" t="s">
        <v>35</v>
      </c>
      <c r="AB2" s="1">
        <v>44399.584513888898</v>
      </c>
      <c r="AC2" t="s">
        <v>36</v>
      </c>
      <c r="AD2" s="1">
        <v>44399.584513888898</v>
      </c>
      <c r="AE2" t="s">
        <v>36</v>
      </c>
      <c r="AF2">
        <v>-119.873551849793</v>
      </c>
      <c r="AG2">
        <v>34.417881066842099</v>
      </c>
    </row>
    <row r="3" spans="1:33">
      <c r="A3">
        <v>2</v>
      </c>
      <c r="B3" s="2">
        <f t="shared" ref="B3:B66" si="0">AB3-(7/24)</f>
        <v>44399.294143518535</v>
      </c>
      <c r="C3" t="s">
        <v>37</v>
      </c>
      <c r="D3">
        <v>1</v>
      </c>
      <c r="E3" t="s">
        <v>33</v>
      </c>
      <c r="F3" t="s">
        <v>38</v>
      </c>
      <c r="K3" t="s">
        <v>232</v>
      </c>
      <c r="AA3" t="s">
        <v>39</v>
      </c>
      <c r="AB3" s="1">
        <v>44399.585810185199</v>
      </c>
      <c r="AC3" t="s">
        <v>36</v>
      </c>
      <c r="AD3" s="1">
        <v>44399.585810185199</v>
      </c>
      <c r="AE3" t="s">
        <v>36</v>
      </c>
      <c r="AF3">
        <v>-119.87407651622399</v>
      </c>
      <c r="AG3">
        <v>34.419015066863999</v>
      </c>
    </row>
    <row r="4" spans="1:33">
      <c r="A4">
        <v>3</v>
      </c>
      <c r="B4" s="2">
        <f t="shared" si="0"/>
        <v>44399.294826388934</v>
      </c>
      <c r="C4" t="s">
        <v>37</v>
      </c>
      <c r="D4">
        <v>1</v>
      </c>
      <c r="E4" t="s">
        <v>33</v>
      </c>
      <c r="F4" t="s">
        <v>38</v>
      </c>
      <c r="K4" t="s">
        <v>232</v>
      </c>
      <c r="AA4" t="s">
        <v>40</v>
      </c>
      <c r="AB4" s="1">
        <v>44399.586493055598</v>
      </c>
      <c r="AC4" t="s">
        <v>36</v>
      </c>
      <c r="AD4" s="1">
        <v>44399.586493055598</v>
      </c>
      <c r="AE4" t="s">
        <v>36</v>
      </c>
      <c r="AF4">
        <v>-119.874168800153</v>
      </c>
      <c r="AG4">
        <v>34.4191497002966</v>
      </c>
    </row>
    <row r="5" spans="1:33">
      <c r="A5">
        <v>4</v>
      </c>
      <c r="B5" s="2">
        <f t="shared" si="0"/>
        <v>44399.295023148137</v>
      </c>
      <c r="C5" t="s">
        <v>41</v>
      </c>
      <c r="D5">
        <v>2</v>
      </c>
      <c r="E5" t="s">
        <v>33</v>
      </c>
      <c r="F5" t="s">
        <v>34</v>
      </c>
      <c r="K5" t="s">
        <v>232</v>
      </c>
      <c r="AA5" t="s">
        <v>42</v>
      </c>
      <c r="AB5" s="1">
        <v>44399.586689814802</v>
      </c>
      <c r="AC5" t="s">
        <v>36</v>
      </c>
      <c r="AD5" s="1">
        <v>44399.586689814802</v>
      </c>
      <c r="AE5" t="s">
        <v>36</v>
      </c>
      <c r="AF5">
        <v>-119.87530866792601</v>
      </c>
      <c r="AG5">
        <v>34.4189232218706</v>
      </c>
    </row>
    <row r="6" spans="1:33">
      <c r="A6">
        <v>5</v>
      </c>
      <c r="B6" s="2">
        <f t="shared" si="0"/>
        <v>44399.295775462939</v>
      </c>
      <c r="C6" t="s">
        <v>43</v>
      </c>
      <c r="D6">
        <v>1</v>
      </c>
      <c r="E6" t="s">
        <v>33</v>
      </c>
      <c r="F6" t="s">
        <v>34</v>
      </c>
      <c r="K6" t="s">
        <v>232</v>
      </c>
      <c r="AA6" t="s">
        <v>44</v>
      </c>
      <c r="AB6" s="1">
        <v>44399.587442129603</v>
      </c>
      <c r="AC6" t="s">
        <v>36</v>
      </c>
      <c r="AD6" s="1">
        <v>44399.587442129603</v>
      </c>
      <c r="AE6" t="s">
        <v>36</v>
      </c>
      <c r="AF6">
        <v>-119.87447441509801</v>
      </c>
      <c r="AG6">
        <v>34.418810992842999</v>
      </c>
    </row>
    <row r="7" spans="1:33">
      <c r="A7">
        <v>6</v>
      </c>
      <c r="B7" s="2">
        <f t="shared" si="0"/>
        <v>44399.297962962934</v>
      </c>
      <c r="C7" t="s">
        <v>45</v>
      </c>
      <c r="D7">
        <v>3</v>
      </c>
      <c r="E7" t="s">
        <v>33</v>
      </c>
      <c r="F7" t="s">
        <v>46</v>
      </c>
      <c r="K7" t="s">
        <v>232</v>
      </c>
      <c r="AA7" t="s">
        <v>47</v>
      </c>
      <c r="AB7" s="1">
        <v>44399.589629629598</v>
      </c>
      <c r="AC7" t="s">
        <v>36</v>
      </c>
      <c r="AD7" s="1">
        <v>44399.589629629598</v>
      </c>
      <c r="AE7" t="s">
        <v>36</v>
      </c>
      <c r="AF7">
        <v>-119.873545186988</v>
      </c>
      <c r="AG7">
        <v>34.420039152455402</v>
      </c>
    </row>
    <row r="8" spans="1:33">
      <c r="A8">
        <v>7</v>
      </c>
      <c r="B8" s="2">
        <f t="shared" si="0"/>
        <v>44399.299363425933</v>
      </c>
      <c r="C8" t="s">
        <v>48</v>
      </c>
      <c r="D8">
        <v>2</v>
      </c>
      <c r="E8" t="s">
        <v>33</v>
      </c>
      <c r="F8" t="s">
        <v>49</v>
      </c>
      <c r="K8" t="s">
        <v>232</v>
      </c>
      <c r="AA8" t="s">
        <v>50</v>
      </c>
      <c r="AB8" s="1">
        <v>44399.591030092597</v>
      </c>
      <c r="AC8" t="s">
        <v>36</v>
      </c>
      <c r="AD8" s="1">
        <v>44399.591030092597</v>
      </c>
      <c r="AE8" t="s">
        <v>36</v>
      </c>
      <c r="AF8">
        <v>-119.87283671447</v>
      </c>
      <c r="AG8">
        <v>34.421106365771401</v>
      </c>
    </row>
    <row r="9" spans="1:33">
      <c r="A9">
        <v>8</v>
      </c>
      <c r="B9" s="2">
        <f t="shared" si="0"/>
        <v>44399.299768518533</v>
      </c>
      <c r="C9" t="s">
        <v>51</v>
      </c>
      <c r="D9">
        <v>1</v>
      </c>
      <c r="E9" t="s">
        <v>33</v>
      </c>
      <c r="F9" t="s">
        <v>34</v>
      </c>
      <c r="K9" t="s">
        <v>232</v>
      </c>
      <c r="AA9" t="s">
        <v>52</v>
      </c>
      <c r="AB9" s="1">
        <v>44399.591435185197</v>
      </c>
      <c r="AC9" t="s">
        <v>36</v>
      </c>
      <c r="AD9" s="1">
        <v>44399.591435185197</v>
      </c>
      <c r="AE9" t="s">
        <v>36</v>
      </c>
      <c r="AF9">
        <v>-119.87309084067699</v>
      </c>
      <c r="AG9">
        <v>34.421110600729499</v>
      </c>
    </row>
    <row r="10" spans="1:33">
      <c r="A10">
        <v>9</v>
      </c>
      <c r="B10" s="2">
        <f t="shared" si="0"/>
        <v>44399.300092592639</v>
      </c>
      <c r="C10" t="s">
        <v>53</v>
      </c>
      <c r="D10">
        <v>1</v>
      </c>
      <c r="E10" t="s">
        <v>33</v>
      </c>
      <c r="F10" t="s">
        <v>49</v>
      </c>
      <c r="K10" t="s">
        <v>232</v>
      </c>
      <c r="AA10" t="s">
        <v>54</v>
      </c>
      <c r="AB10" s="1">
        <v>44399.591759259303</v>
      </c>
      <c r="AC10" t="s">
        <v>36</v>
      </c>
      <c r="AD10" s="1">
        <v>44399.591759259303</v>
      </c>
      <c r="AE10" t="s">
        <v>36</v>
      </c>
      <c r="AF10">
        <v>-119.87315234832499</v>
      </c>
      <c r="AG10">
        <v>34.420960259955898</v>
      </c>
    </row>
    <row r="11" spans="1:33">
      <c r="A11">
        <v>10</v>
      </c>
      <c r="B11" s="2">
        <f t="shared" si="0"/>
        <v>44399.305462962933</v>
      </c>
      <c r="C11" t="s">
        <v>55</v>
      </c>
      <c r="D11">
        <v>3</v>
      </c>
      <c r="E11" t="s">
        <v>33</v>
      </c>
      <c r="F11" t="s">
        <v>56</v>
      </c>
      <c r="K11" t="s">
        <v>232</v>
      </c>
      <c r="AA11" t="s">
        <v>57</v>
      </c>
      <c r="AB11" s="1">
        <v>44399.597129629597</v>
      </c>
      <c r="AC11" t="s">
        <v>36</v>
      </c>
      <c r="AD11" s="1">
        <v>44399.597129629597</v>
      </c>
      <c r="AE11" t="s">
        <v>36</v>
      </c>
      <c r="AF11">
        <v>-119.871436805084</v>
      </c>
      <c r="AG11">
        <v>34.4214777437344</v>
      </c>
    </row>
    <row r="12" spans="1:33">
      <c r="A12">
        <v>11</v>
      </c>
      <c r="B12" s="2">
        <f t="shared" si="0"/>
        <v>44399.305648148133</v>
      </c>
      <c r="C12" t="s">
        <v>51</v>
      </c>
      <c r="D12">
        <v>2</v>
      </c>
      <c r="E12" t="s">
        <v>33</v>
      </c>
      <c r="F12" t="s">
        <v>56</v>
      </c>
      <c r="K12" t="s">
        <v>232</v>
      </c>
      <c r="AA12" t="s">
        <v>58</v>
      </c>
      <c r="AB12" s="1">
        <v>44399.597314814797</v>
      </c>
      <c r="AC12" t="s">
        <v>36</v>
      </c>
      <c r="AD12" s="1">
        <v>44399.597314814797</v>
      </c>
      <c r="AE12" t="s">
        <v>36</v>
      </c>
      <c r="AF12">
        <v>-119.871472514015</v>
      </c>
      <c r="AG12">
        <v>34.4214981418381</v>
      </c>
    </row>
    <row r="13" spans="1:33">
      <c r="A13">
        <v>12</v>
      </c>
      <c r="B13" s="2">
        <f t="shared" si="0"/>
        <v>44399.305856481536</v>
      </c>
      <c r="C13" t="s">
        <v>43</v>
      </c>
      <c r="D13">
        <v>1</v>
      </c>
      <c r="E13" t="s">
        <v>33</v>
      </c>
      <c r="F13" t="s">
        <v>59</v>
      </c>
      <c r="K13" t="s">
        <v>232</v>
      </c>
      <c r="AA13" t="s">
        <v>60</v>
      </c>
      <c r="AB13" s="1">
        <v>44399.597523148201</v>
      </c>
      <c r="AC13" t="s">
        <v>36</v>
      </c>
      <c r="AD13" s="1">
        <v>44399.597523148201</v>
      </c>
      <c r="AE13" t="s">
        <v>36</v>
      </c>
      <c r="AF13">
        <v>-119.87169583699099</v>
      </c>
      <c r="AG13">
        <v>34.421358389496199</v>
      </c>
    </row>
    <row r="14" spans="1:33">
      <c r="A14">
        <v>13</v>
      </c>
      <c r="B14" s="2">
        <f t="shared" si="0"/>
        <v>44399.306041666634</v>
      </c>
      <c r="C14" t="s">
        <v>61</v>
      </c>
      <c r="D14">
        <v>1</v>
      </c>
      <c r="E14" t="s">
        <v>33</v>
      </c>
      <c r="F14" t="s">
        <v>34</v>
      </c>
      <c r="K14" t="s">
        <v>232</v>
      </c>
      <c r="AA14" t="s">
        <v>62</v>
      </c>
      <c r="AB14" s="1">
        <v>44399.597708333298</v>
      </c>
      <c r="AC14" t="s">
        <v>36</v>
      </c>
      <c r="AD14" s="1">
        <v>44399.597708333298</v>
      </c>
      <c r="AE14" t="s">
        <v>36</v>
      </c>
      <c r="AF14">
        <v>-119.87169840347801</v>
      </c>
      <c r="AG14">
        <v>34.421178404491499</v>
      </c>
    </row>
    <row r="15" spans="1:33">
      <c r="A15">
        <v>14</v>
      </c>
      <c r="B15" s="2">
        <f t="shared" si="0"/>
        <v>44399.311620370339</v>
      </c>
      <c r="C15" t="s">
        <v>63</v>
      </c>
      <c r="D15">
        <v>5</v>
      </c>
      <c r="E15" t="s">
        <v>33</v>
      </c>
      <c r="F15" t="s">
        <v>49</v>
      </c>
      <c r="K15" t="s">
        <v>232</v>
      </c>
      <c r="AA15" t="s">
        <v>64</v>
      </c>
      <c r="AB15" s="1">
        <v>44399.603287037004</v>
      </c>
      <c r="AC15" t="s">
        <v>36</v>
      </c>
      <c r="AD15" s="1">
        <v>44399.603287037004</v>
      </c>
      <c r="AE15" t="s">
        <v>36</v>
      </c>
      <c r="AF15">
        <v>-119.87350249724901</v>
      </c>
      <c r="AG15">
        <v>34.421853726218501</v>
      </c>
    </row>
    <row r="16" spans="1:33">
      <c r="A16">
        <v>15</v>
      </c>
      <c r="B16" s="2">
        <f t="shared" si="0"/>
        <v>44399.311863425937</v>
      </c>
      <c r="C16" t="s">
        <v>65</v>
      </c>
      <c r="D16">
        <v>1</v>
      </c>
      <c r="E16" t="s">
        <v>33</v>
      </c>
      <c r="F16" t="s">
        <v>56</v>
      </c>
      <c r="K16" t="s">
        <v>232</v>
      </c>
      <c r="AA16" t="s">
        <v>66</v>
      </c>
      <c r="AB16" s="1">
        <v>44399.603530092601</v>
      </c>
      <c r="AC16" t="s">
        <v>36</v>
      </c>
      <c r="AD16" s="1">
        <v>44399.603530092601</v>
      </c>
      <c r="AE16" t="s">
        <v>36</v>
      </c>
      <c r="AF16">
        <v>-119.873697583481</v>
      </c>
      <c r="AG16">
        <v>34.421561516944301</v>
      </c>
    </row>
    <row r="17" spans="1:33">
      <c r="A17">
        <v>16</v>
      </c>
      <c r="B17" s="2">
        <f t="shared" si="0"/>
        <v>44399.315162037034</v>
      </c>
      <c r="C17" t="s">
        <v>67</v>
      </c>
      <c r="D17">
        <v>2</v>
      </c>
      <c r="E17" t="s">
        <v>33</v>
      </c>
      <c r="F17" t="s">
        <v>56</v>
      </c>
      <c r="K17" t="s">
        <v>232</v>
      </c>
      <c r="AA17" t="s">
        <v>68</v>
      </c>
      <c r="AB17" s="1">
        <v>44399.606828703698</v>
      </c>
      <c r="AC17" t="s">
        <v>36</v>
      </c>
      <c r="AD17" s="1">
        <v>44399.606828703698</v>
      </c>
      <c r="AE17" t="s">
        <v>36</v>
      </c>
      <c r="AF17">
        <v>-119.872100953828</v>
      </c>
      <c r="AG17">
        <v>34.422537661947402</v>
      </c>
    </row>
    <row r="18" spans="1:33">
      <c r="A18">
        <v>17</v>
      </c>
      <c r="B18" s="2">
        <f t="shared" si="0"/>
        <v>44399.316782407433</v>
      </c>
      <c r="C18" t="s">
        <v>67</v>
      </c>
      <c r="D18">
        <v>1</v>
      </c>
      <c r="E18" t="s">
        <v>33</v>
      </c>
      <c r="F18" t="s">
        <v>49</v>
      </c>
      <c r="K18" t="s">
        <v>232</v>
      </c>
      <c r="AA18" t="s">
        <v>69</v>
      </c>
      <c r="AB18" s="1">
        <v>44399.608449074098</v>
      </c>
      <c r="AC18" t="s">
        <v>36</v>
      </c>
      <c r="AD18" s="1">
        <v>44399.608449074098</v>
      </c>
      <c r="AE18" t="s">
        <v>36</v>
      </c>
      <c r="AF18">
        <v>-119.871883799583</v>
      </c>
      <c r="AG18">
        <v>34.421589897303697</v>
      </c>
    </row>
    <row r="19" spans="1:33">
      <c r="A19">
        <v>18</v>
      </c>
      <c r="B19" s="2">
        <f t="shared" si="0"/>
        <v>44399.317789351837</v>
      </c>
      <c r="C19" t="s">
        <v>37</v>
      </c>
      <c r="D19">
        <v>1</v>
      </c>
      <c r="E19" t="s">
        <v>33</v>
      </c>
      <c r="F19" t="s">
        <v>49</v>
      </c>
      <c r="K19" t="s">
        <v>232</v>
      </c>
      <c r="AA19" t="s">
        <v>70</v>
      </c>
      <c r="AB19" s="1">
        <v>44399.609456018501</v>
      </c>
      <c r="AC19" t="s">
        <v>36</v>
      </c>
      <c r="AD19" s="1">
        <v>44399.609456018501</v>
      </c>
      <c r="AE19" t="s">
        <v>36</v>
      </c>
      <c r="AF19">
        <v>-119.87275359964499</v>
      </c>
      <c r="AG19">
        <v>34.421753633093402</v>
      </c>
    </row>
    <row r="20" spans="1:33">
      <c r="A20">
        <v>19</v>
      </c>
      <c r="B20" s="2">
        <f t="shared" si="0"/>
        <v>44399.318125000034</v>
      </c>
      <c r="C20" t="s">
        <v>41</v>
      </c>
      <c r="D20">
        <v>10</v>
      </c>
      <c r="E20" t="s">
        <v>33</v>
      </c>
      <c r="F20" t="s">
        <v>71</v>
      </c>
      <c r="K20" t="s">
        <v>232</v>
      </c>
      <c r="AA20" t="s">
        <v>72</v>
      </c>
      <c r="AB20" s="1">
        <v>44399.609791666699</v>
      </c>
      <c r="AC20" t="s">
        <v>36</v>
      </c>
      <c r="AD20" s="1">
        <v>44399.609791666699</v>
      </c>
      <c r="AE20" t="s">
        <v>36</v>
      </c>
      <c r="AF20">
        <v>-119.873305617082</v>
      </c>
      <c r="AG20">
        <v>34.4216443497154</v>
      </c>
    </row>
    <row r="21" spans="1:33">
      <c r="A21">
        <v>20</v>
      </c>
      <c r="B21" s="2">
        <f t="shared" si="0"/>
        <v>44399.318356481439</v>
      </c>
      <c r="C21" t="s">
        <v>53</v>
      </c>
      <c r="D21">
        <v>1</v>
      </c>
      <c r="E21" t="s">
        <v>33</v>
      </c>
      <c r="F21" t="s">
        <v>59</v>
      </c>
      <c r="K21" t="s">
        <v>232</v>
      </c>
      <c r="AA21" t="s">
        <v>73</v>
      </c>
      <c r="AB21" s="1">
        <v>44399.610023148103</v>
      </c>
      <c r="AC21" t="s">
        <v>36</v>
      </c>
      <c r="AD21" s="1">
        <v>44399.610023148103</v>
      </c>
      <c r="AE21" t="s">
        <v>36</v>
      </c>
      <c r="AF21">
        <v>-119.87356707803301</v>
      </c>
      <c r="AG21">
        <v>34.421679522236097</v>
      </c>
    </row>
    <row r="22" spans="1:33">
      <c r="A22">
        <v>21</v>
      </c>
      <c r="B22" s="2">
        <f t="shared" si="0"/>
        <v>44399.318553240737</v>
      </c>
      <c r="C22" t="s">
        <v>37</v>
      </c>
      <c r="D22">
        <v>1</v>
      </c>
      <c r="E22" t="s">
        <v>33</v>
      </c>
      <c r="F22" t="s">
        <v>49</v>
      </c>
      <c r="K22" t="s">
        <v>232</v>
      </c>
      <c r="AA22" t="s">
        <v>74</v>
      </c>
      <c r="AB22" s="1">
        <v>44399.610219907401</v>
      </c>
      <c r="AC22" t="s">
        <v>36</v>
      </c>
      <c r="AD22" s="1">
        <v>44399.610219907401</v>
      </c>
      <c r="AE22" t="s">
        <v>36</v>
      </c>
      <c r="AF22">
        <v>-119.873713392932</v>
      </c>
      <c r="AG22">
        <v>34.421677405141999</v>
      </c>
    </row>
    <row r="23" spans="1:33">
      <c r="A23">
        <v>22</v>
      </c>
      <c r="B23" s="2">
        <f t="shared" si="0"/>
        <v>44399.318900462938</v>
      </c>
      <c r="C23" t="s">
        <v>32</v>
      </c>
      <c r="D23">
        <v>3</v>
      </c>
      <c r="E23" t="s">
        <v>33</v>
      </c>
      <c r="F23" t="s">
        <v>49</v>
      </c>
      <c r="I23" t="s">
        <v>75</v>
      </c>
      <c r="K23" t="s">
        <v>232</v>
      </c>
      <c r="AA23" t="s">
        <v>76</v>
      </c>
      <c r="AB23" s="1">
        <v>44399.610567129603</v>
      </c>
      <c r="AC23" t="s">
        <v>36</v>
      </c>
      <c r="AD23" s="1">
        <v>44399.611655092602</v>
      </c>
      <c r="AE23" t="s">
        <v>36</v>
      </c>
      <c r="AF23">
        <v>-119.873405361519</v>
      </c>
      <c r="AG23">
        <v>34.421734039799297</v>
      </c>
    </row>
    <row r="24" spans="1:33">
      <c r="A24">
        <v>23</v>
      </c>
      <c r="B24" s="2">
        <f t="shared" si="0"/>
        <v>44399.319074074039</v>
      </c>
      <c r="C24" t="s">
        <v>51</v>
      </c>
      <c r="D24">
        <v>1</v>
      </c>
      <c r="E24" t="s">
        <v>33</v>
      </c>
      <c r="F24" t="s">
        <v>77</v>
      </c>
      <c r="K24" t="s">
        <v>232</v>
      </c>
      <c r="AA24" t="s">
        <v>78</v>
      </c>
      <c r="AB24" s="1">
        <v>44399.610740740703</v>
      </c>
      <c r="AC24" t="s">
        <v>36</v>
      </c>
      <c r="AD24" s="1">
        <v>44399.610740740703</v>
      </c>
      <c r="AE24" t="s">
        <v>36</v>
      </c>
      <c r="AF24">
        <v>-119.87255057320399</v>
      </c>
      <c r="AG24">
        <v>34.4217594493539</v>
      </c>
    </row>
    <row r="25" spans="1:33">
      <c r="A25">
        <v>24</v>
      </c>
      <c r="B25" s="2">
        <f t="shared" si="0"/>
        <v>44399.319583333338</v>
      </c>
      <c r="C25" t="s">
        <v>79</v>
      </c>
      <c r="D25">
        <v>8</v>
      </c>
      <c r="E25" t="s">
        <v>33</v>
      </c>
      <c r="F25" t="s">
        <v>77</v>
      </c>
      <c r="I25" t="s">
        <v>244</v>
      </c>
      <c r="K25" t="s">
        <v>232</v>
      </c>
      <c r="AA25" t="s">
        <v>80</v>
      </c>
      <c r="AB25" s="1">
        <v>44399.611250000002</v>
      </c>
      <c r="AC25" t="s">
        <v>36</v>
      </c>
      <c r="AD25" s="1">
        <v>44399.611250000002</v>
      </c>
      <c r="AE25" t="s">
        <v>36</v>
      </c>
      <c r="AF25">
        <v>-119.873466967083</v>
      </c>
      <c r="AG25">
        <v>34.4217446267442</v>
      </c>
    </row>
    <row r="26" spans="1:33">
      <c r="A26">
        <v>25</v>
      </c>
      <c r="B26" s="2">
        <f t="shared" si="0"/>
        <v>44399.321400462934</v>
      </c>
      <c r="C26" t="s">
        <v>37</v>
      </c>
      <c r="D26">
        <v>1</v>
      </c>
      <c r="E26" t="s">
        <v>33</v>
      </c>
      <c r="F26" t="s">
        <v>46</v>
      </c>
      <c r="K26" t="s">
        <v>232</v>
      </c>
      <c r="AA26" t="s">
        <v>81</v>
      </c>
      <c r="AB26" s="1">
        <v>44399.613067129598</v>
      </c>
      <c r="AC26" t="s">
        <v>36</v>
      </c>
      <c r="AD26" s="1">
        <v>44399.613067129598</v>
      </c>
      <c r="AE26" t="s">
        <v>36</v>
      </c>
      <c r="AF26">
        <v>-119.873831383051</v>
      </c>
      <c r="AG26">
        <v>34.421520333208598</v>
      </c>
    </row>
    <row r="27" spans="1:33">
      <c r="A27">
        <v>26</v>
      </c>
      <c r="B27" s="2">
        <f t="shared" si="0"/>
        <v>44399.321701388937</v>
      </c>
      <c r="C27" t="s">
        <v>51</v>
      </c>
      <c r="D27">
        <v>1</v>
      </c>
      <c r="E27" t="s">
        <v>33</v>
      </c>
      <c r="F27" t="s">
        <v>77</v>
      </c>
      <c r="K27" t="s">
        <v>232</v>
      </c>
      <c r="AA27" t="s">
        <v>82</v>
      </c>
      <c r="AB27" s="1">
        <v>44399.613368055601</v>
      </c>
      <c r="AC27" t="s">
        <v>36</v>
      </c>
      <c r="AD27" s="1">
        <v>44399.613368055601</v>
      </c>
      <c r="AE27" t="s">
        <v>36</v>
      </c>
      <c r="AF27">
        <v>-119.873941229943</v>
      </c>
      <c r="AG27">
        <v>34.421716514686402</v>
      </c>
    </row>
    <row r="28" spans="1:33">
      <c r="A28">
        <v>27</v>
      </c>
      <c r="B28" s="2">
        <f t="shared" si="0"/>
        <v>44399.323194444434</v>
      </c>
      <c r="C28" t="s">
        <v>45</v>
      </c>
      <c r="D28">
        <v>1</v>
      </c>
      <c r="E28" t="s">
        <v>33</v>
      </c>
      <c r="F28" t="s">
        <v>38</v>
      </c>
      <c r="K28" t="s">
        <v>232</v>
      </c>
      <c r="AA28" t="s">
        <v>83</v>
      </c>
      <c r="AB28" s="1">
        <v>44399.614861111098</v>
      </c>
      <c r="AC28" t="s">
        <v>36</v>
      </c>
      <c r="AD28" s="1">
        <v>44399.614861111098</v>
      </c>
      <c r="AE28" t="s">
        <v>36</v>
      </c>
      <c r="AF28">
        <v>-119.874726840794</v>
      </c>
      <c r="AG28">
        <v>34.421317685102501</v>
      </c>
    </row>
    <row r="29" spans="1:33">
      <c r="A29">
        <v>28</v>
      </c>
      <c r="B29" s="2">
        <f t="shared" si="0"/>
        <v>44399.323437500039</v>
      </c>
      <c r="C29" t="s">
        <v>84</v>
      </c>
      <c r="D29">
        <v>2</v>
      </c>
      <c r="E29" t="s">
        <v>33</v>
      </c>
      <c r="F29" t="s">
        <v>34</v>
      </c>
      <c r="K29" t="s">
        <v>232</v>
      </c>
      <c r="AA29" t="s">
        <v>85</v>
      </c>
      <c r="AB29" s="1">
        <v>44399.615104166704</v>
      </c>
      <c r="AC29" t="s">
        <v>36</v>
      </c>
      <c r="AD29" s="1">
        <v>44399.615104166704</v>
      </c>
      <c r="AE29" t="s">
        <v>36</v>
      </c>
      <c r="AF29">
        <v>-119.874049171507</v>
      </c>
      <c r="AG29">
        <v>34.420945009632199</v>
      </c>
    </row>
    <row r="30" spans="1:33">
      <c r="A30">
        <v>29</v>
      </c>
      <c r="B30" s="2">
        <f t="shared" si="0"/>
        <v>44399.324710648136</v>
      </c>
      <c r="C30" t="s">
        <v>86</v>
      </c>
      <c r="D30">
        <v>2</v>
      </c>
      <c r="E30" t="s">
        <v>33</v>
      </c>
      <c r="F30" t="s">
        <v>49</v>
      </c>
      <c r="K30" t="s">
        <v>232</v>
      </c>
      <c r="AA30" t="s">
        <v>87</v>
      </c>
      <c r="AB30" s="1">
        <v>44399.6163773148</v>
      </c>
      <c r="AC30" t="s">
        <v>36</v>
      </c>
      <c r="AD30" s="1">
        <v>44399.6163773148</v>
      </c>
      <c r="AE30" t="s">
        <v>36</v>
      </c>
      <c r="AF30">
        <v>-119.875357810263</v>
      </c>
      <c r="AG30">
        <v>34.421224495456698</v>
      </c>
    </row>
    <row r="31" spans="1:33">
      <c r="A31">
        <v>30</v>
      </c>
      <c r="B31" s="2">
        <f t="shared" si="0"/>
        <v>44399.325497685233</v>
      </c>
      <c r="C31" t="s">
        <v>45</v>
      </c>
      <c r="D31">
        <v>3</v>
      </c>
      <c r="E31" t="s">
        <v>33</v>
      </c>
      <c r="F31" t="s">
        <v>56</v>
      </c>
      <c r="K31" t="s">
        <v>232</v>
      </c>
      <c r="AA31" t="s">
        <v>88</v>
      </c>
      <c r="AB31" s="1">
        <v>44399.617164351897</v>
      </c>
      <c r="AC31" t="s">
        <v>36</v>
      </c>
      <c r="AD31" s="1">
        <v>44399.617164351897</v>
      </c>
      <c r="AE31" t="s">
        <v>36</v>
      </c>
      <c r="AF31">
        <v>-119.87637753824799</v>
      </c>
      <c r="AG31">
        <v>34.420654169567896</v>
      </c>
    </row>
    <row r="32" spans="1:33">
      <c r="A32">
        <v>31</v>
      </c>
      <c r="B32" s="2">
        <f t="shared" si="0"/>
        <v>44399.325694444437</v>
      </c>
      <c r="C32" t="s">
        <v>51</v>
      </c>
      <c r="D32">
        <v>1</v>
      </c>
      <c r="E32" t="s">
        <v>33</v>
      </c>
      <c r="F32" t="s">
        <v>77</v>
      </c>
      <c r="K32" t="s">
        <v>232</v>
      </c>
      <c r="AA32" t="s">
        <v>89</v>
      </c>
      <c r="AB32" s="1">
        <v>44399.617361111101</v>
      </c>
      <c r="AC32" t="s">
        <v>36</v>
      </c>
      <c r="AD32" s="1">
        <v>44399.617361111101</v>
      </c>
      <c r="AE32" t="s">
        <v>36</v>
      </c>
      <c r="AF32">
        <v>-119.87597155274</v>
      </c>
      <c r="AG32">
        <v>34.420370425351798</v>
      </c>
    </row>
    <row r="33" spans="1:33">
      <c r="A33">
        <v>32</v>
      </c>
      <c r="B33" s="2">
        <f t="shared" si="0"/>
        <v>44399.327349537038</v>
      </c>
      <c r="C33" t="s">
        <v>90</v>
      </c>
      <c r="D33">
        <v>2</v>
      </c>
      <c r="E33" t="s">
        <v>33</v>
      </c>
      <c r="F33" t="s">
        <v>49</v>
      </c>
      <c r="K33" t="s">
        <v>232</v>
      </c>
      <c r="AA33" t="s">
        <v>91</v>
      </c>
      <c r="AB33" s="1">
        <v>44399.619016203702</v>
      </c>
      <c r="AC33" t="s">
        <v>36</v>
      </c>
      <c r="AD33" s="1">
        <v>44399.619016203702</v>
      </c>
      <c r="AE33" t="s">
        <v>36</v>
      </c>
      <c r="AF33">
        <v>-119.876809654849</v>
      </c>
      <c r="AG33">
        <v>34.420415952096597</v>
      </c>
    </row>
    <row r="34" spans="1:33">
      <c r="A34">
        <v>33</v>
      </c>
      <c r="B34" s="2">
        <f t="shared" si="0"/>
        <v>44399.327743055539</v>
      </c>
      <c r="C34" t="s">
        <v>86</v>
      </c>
      <c r="D34">
        <v>2</v>
      </c>
      <c r="E34" t="s">
        <v>33</v>
      </c>
      <c r="F34" t="s">
        <v>49</v>
      </c>
      <c r="K34" t="s">
        <v>232</v>
      </c>
      <c r="AA34" t="s">
        <v>92</v>
      </c>
      <c r="AB34" s="1">
        <v>44399.619409722203</v>
      </c>
      <c r="AC34" t="s">
        <v>36</v>
      </c>
      <c r="AD34" s="1">
        <v>44399.619409722203</v>
      </c>
      <c r="AE34" t="s">
        <v>36</v>
      </c>
      <c r="AF34">
        <v>-119.87645541859</v>
      </c>
      <c r="AG34">
        <v>34.420221142183401</v>
      </c>
    </row>
    <row r="35" spans="1:33">
      <c r="A35">
        <v>34</v>
      </c>
      <c r="B35" s="2">
        <f t="shared" si="0"/>
        <v>44399.329166666634</v>
      </c>
      <c r="C35" t="s">
        <v>93</v>
      </c>
      <c r="D35">
        <v>1</v>
      </c>
      <c r="E35" t="s">
        <v>94</v>
      </c>
      <c r="F35" t="s">
        <v>56</v>
      </c>
      <c r="K35" t="s">
        <v>232</v>
      </c>
      <c r="AA35" t="s">
        <v>95</v>
      </c>
      <c r="AB35" s="1">
        <v>44399.620833333298</v>
      </c>
      <c r="AC35" t="s">
        <v>36</v>
      </c>
      <c r="AD35" s="1">
        <v>44399.620833333298</v>
      </c>
      <c r="AE35" t="s">
        <v>36</v>
      </c>
      <c r="AF35">
        <v>-119.87775348148099</v>
      </c>
      <c r="AG35">
        <v>34.4194784379156</v>
      </c>
    </row>
    <row r="36" spans="1:33">
      <c r="A36">
        <v>35</v>
      </c>
      <c r="B36" s="2">
        <f t="shared" si="0"/>
        <v>44399.330983796339</v>
      </c>
      <c r="C36" t="s">
        <v>96</v>
      </c>
      <c r="D36">
        <v>1</v>
      </c>
      <c r="E36" t="s">
        <v>33</v>
      </c>
      <c r="F36" t="s">
        <v>38</v>
      </c>
      <c r="K36" t="s">
        <v>232</v>
      </c>
      <c r="AA36" t="s">
        <v>97</v>
      </c>
      <c r="AB36" s="1">
        <v>44399.622650463003</v>
      </c>
      <c r="AC36" t="s">
        <v>36</v>
      </c>
      <c r="AD36" s="1">
        <v>44399.622650463003</v>
      </c>
      <c r="AE36" t="s">
        <v>36</v>
      </c>
      <c r="AF36">
        <v>-119.876834911882</v>
      </c>
      <c r="AG36">
        <v>34.42083822987</v>
      </c>
    </row>
    <row r="37" spans="1:33">
      <c r="A37">
        <v>36</v>
      </c>
      <c r="B37" s="2">
        <f t="shared" si="0"/>
        <v>44399.332685185233</v>
      </c>
      <c r="C37" t="s">
        <v>98</v>
      </c>
      <c r="D37">
        <v>1</v>
      </c>
      <c r="E37" t="s">
        <v>33</v>
      </c>
      <c r="F37" t="s">
        <v>56</v>
      </c>
      <c r="K37" t="s">
        <v>232</v>
      </c>
      <c r="AA37" t="s">
        <v>99</v>
      </c>
      <c r="AB37" s="1">
        <v>44399.624351851897</v>
      </c>
      <c r="AC37" t="s">
        <v>36</v>
      </c>
      <c r="AD37" s="1">
        <v>44399.624351851897</v>
      </c>
      <c r="AE37" t="s">
        <v>36</v>
      </c>
      <c r="AF37">
        <v>-119.878089907741</v>
      </c>
      <c r="AG37">
        <v>34.421786236455297</v>
      </c>
    </row>
    <row r="38" spans="1:33">
      <c r="A38">
        <v>37</v>
      </c>
      <c r="B38" s="2">
        <f t="shared" si="0"/>
        <v>44399.332986111134</v>
      </c>
      <c r="C38" t="s">
        <v>51</v>
      </c>
      <c r="D38">
        <v>1</v>
      </c>
      <c r="E38" t="s">
        <v>33</v>
      </c>
      <c r="F38" t="s">
        <v>34</v>
      </c>
      <c r="K38" t="s">
        <v>232</v>
      </c>
      <c r="AA38" t="s">
        <v>100</v>
      </c>
      <c r="AB38" s="1">
        <v>44399.624652777798</v>
      </c>
      <c r="AC38" t="s">
        <v>36</v>
      </c>
      <c r="AD38" s="1">
        <v>44399.624652777798</v>
      </c>
      <c r="AE38" t="s">
        <v>36</v>
      </c>
      <c r="AF38">
        <v>-119.878069604917</v>
      </c>
      <c r="AG38">
        <v>34.421242667586498</v>
      </c>
    </row>
    <row r="39" spans="1:33">
      <c r="A39">
        <v>38</v>
      </c>
      <c r="B39" s="2">
        <f t="shared" si="0"/>
        <v>44399.333819444437</v>
      </c>
      <c r="C39" t="s">
        <v>101</v>
      </c>
      <c r="D39">
        <v>1</v>
      </c>
      <c r="E39" t="s">
        <v>94</v>
      </c>
      <c r="F39" t="s">
        <v>34</v>
      </c>
      <c r="K39" t="s">
        <v>232</v>
      </c>
      <c r="AA39" t="s">
        <v>102</v>
      </c>
      <c r="AB39" s="1">
        <v>44399.625486111101</v>
      </c>
      <c r="AC39" t="s">
        <v>36</v>
      </c>
      <c r="AD39" s="1">
        <v>44399.625486111101</v>
      </c>
      <c r="AE39" t="s">
        <v>36</v>
      </c>
      <c r="AF39">
        <v>-119.877516088192</v>
      </c>
      <c r="AG39">
        <v>34.419837136568603</v>
      </c>
    </row>
    <row r="40" spans="1:33">
      <c r="A40">
        <v>39</v>
      </c>
      <c r="B40" s="2">
        <f t="shared" si="0"/>
        <v>44399.334745370339</v>
      </c>
      <c r="C40" t="s">
        <v>45</v>
      </c>
      <c r="D40">
        <v>5</v>
      </c>
      <c r="E40" t="s">
        <v>33</v>
      </c>
      <c r="F40" t="s">
        <v>38</v>
      </c>
      <c r="K40" t="s">
        <v>232</v>
      </c>
      <c r="AA40" t="s">
        <v>103</v>
      </c>
      <c r="AB40" s="1">
        <v>44399.626412037003</v>
      </c>
      <c r="AC40" t="s">
        <v>36</v>
      </c>
      <c r="AD40" s="1">
        <v>44399.626412037003</v>
      </c>
      <c r="AE40" t="s">
        <v>36</v>
      </c>
      <c r="AF40">
        <v>-119.87825638353</v>
      </c>
      <c r="AG40">
        <v>34.4215194832571</v>
      </c>
    </row>
    <row r="41" spans="1:33">
      <c r="A41">
        <v>40</v>
      </c>
      <c r="B41" s="2">
        <f t="shared" si="0"/>
        <v>44399.334965277732</v>
      </c>
      <c r="C41" t="s">
        <v>104</v>
      </c>
      <c r="D41">
        <v>1</v>
      </c>
      <c r="E41" t="s">
        <v>33</v>
      </c>
      <c r="F41" t="s">
        <v>56</v>
      </c>
      <c r="K41" t="s">
        <v>232</v>
      </c>
      <c r="AA41" t="s">
        <v>105</v>
      </c>
      <c r="AB41" s="1">
        <v>44399.626631944397</v>
      </c>
      <c r="AC41" t="s">
        <v>36</v>
      </c>
      <c r="AD41" s="1">
        <v>44399.626631944397</v>
      </c>
      <c r="AE41" t="s">
        <v>36</v>
      </c>
      <c r="AF41">
        <v>-119.878666519254</v>
      </c>
      <c r="AG41">
        <v>34.421582135110697</v>
      </c>
    </row>
    <row r="42" spans="1:33">
      <c r="A42">
        <v>41</v>
      </c>
      <c r="B42" s="2">
        <f t="shared" si="0"/>
        <v>44399.336481481434</v>
      </c>
      <c r="C42" t="s">
        <v>63</v>
      </c>
      <c r="D42">
        <v>3</v>
      </c>
      <c r="E42" t="s">
        <v>33</v>
      </c>
      <c r="F42" t="s">
        <v>49</v>
      </c>
      <c r="K42" t="s">
        <v>232</v>
      </c>
      <c r="AA42" t="s">
        <v>106</v>
      </c>
      <c r="AB42" s="1">
        <v>44399.628148148098</v>
      </c>
      <c r="AC42" t="s">
        <v>36</v>
      </c>
      <c r="AD42" s="1">
        <v>44399.628148148098</v>
      </c>
      <c r="AE42" t="s">
        <v>36</v>
      </c>
      <c r="AF42">
        <v>-119.87900792128301</v>
      </c>
      <c r="AG42">
        <v>34.421359801144597</v>
      </c>
    </row>
    <row r="43" spans="1:33">
      <c r="A43">
        <v>42</v>
      </c>
      <c r="B43" s="2">
        <f t="shared" si="0"/>
        <v>44399.337557870334</v>
      </c>
      <c r="C43" t="s">
        <v>107</v>
      </c>
      <c r="D43">
        <v>1</v>
      </c>
      <c r="E43" t="s">
        <v>33</v>
      </c>
      <c r="F43" t="s">
        <v>56</v>
      </c>
      <c r="K43" t="s">
        <v>232</v>
      </c>
      <c r="AA43" t="s">
        <v>108</v>
      </c>
      <c r="AB43" s="1">
        <v>44399.629224536999</v>
      </c>
      <c r="AC43" t="s">
        <v>36</v>
      </c>
      <c r="AD43" s="1">
        <v>44399.629224536999</v>
      </c>
      <c r="AE43" t="s">
        <v>36</v>
      </c>
      <c r="AF43">
        <v>-119.878181369712</v>
      </c>
      <c r="AG43">
        <v>34.421819290343798</v>
      </c>
    </row>
    <row r="44" spans="1:33">
      <c r="A44">
        <v>43</v>
      </c>
      <c r="B44" s="2">
        <f t="shared" si="0"/>
        <v>44399.337951388938</v>
      </c>
      <c r="C44" t="s">
        <v>109</v>
      </c>
      <c r="D44">
        <v>2</v>
      </c>
      <c r="E44" t="s">
        <v>33</v>
      </c>
      <c r="F44" t="s">
        <v>38</v>
      </c>
      <c r="K44" t="s">
        <v>232</v>
      </c>
      <c r="AA44" t="s">
        <v>110</v>
      </c>
      <c r="AB44" s="1">
        <v>44399.629618055602</v>
      </c>
      <c r="AC44" t="s">
        <v>36</v>
      </c>
      <c r="AD44" s="1">
        <v>44399.629618055602</v>
      </c>
      <c r="AE44" t="s">
        <v>36</v>
      </c>
      <c r="AF44">
        <v>-119.87952517122299</v>
      </c>
      <c r="AG44">
        <v>34.4216218434442</v>
      </c>
    </row>
    <row r="45" spans="1:33">
      <c r="A45">
        <v>44</v>
      </c>
      <c r="B45" s="2">
        <f t="shared" si="0"/>
        <v>44399.338240740733</v>
      </c>
      <c r="C45" t="s">
        <v>67</v>
      </c>
      <c r="D45">
        <v>2</v>
      </c>
      <c r="E45" t="s">
        <v>33</v>
      </c>
      <c r="F45" t="s">
        <v>59</v>
      </c>
      <c r="K45" t="s">
        <v>232</v>
      </c>
      <c r="AA45" t="s">
        <v>111</v>
      </c>
      <c r="AB45" s="1">
        <v>44399.629907407398</v>
      </c>
      <c r="AC45" t="s">
        <v>36</v>
      </c>
      <c r="AD45" s="1">
        <v>44399.629907407398</v>
      </c>
      <c r="AE45" t="s">
        <v>36</v>
      </c>
      <c r="AF45">
        <v>-119.87893991073101</v>
      </c>
      <c r="AG45">
        <v>34.421450328888596</v>
      </c>
    </row>
    <row r="46" spans="1:33">
      <c r="A46">
        <v>45</v>
      </c>
      <c r="B46" s="2">
        <f t="shared" si="0"/>
        <v>44399.339050925933</v>
      </c>
      <c r="C46" t="s">
        <v>96</v>
      </c>
      <c r="D46">
        <v>1</v>
      </c>
      <c r="E46" t="s">
        <v>33</v>
      </c>
      <c r="F46" t="s">
        <v>49</v>
      </c>
      <c r="K46" t="s">
        <v>232</v>
      </c>
      <c r="AA46" t="s">
        <v>112</v>
      </c>
      <c r="AB46" s="1">
        <v>44399.630717592598</v>
      </c>
      <c r="AC46" t="s">
        <v>36</v>
      </c>
      <c r="AD46" s="1">
        <v>44399.630717592598</v>
      </c>
      <c r="AE46" t="s">
        <v>36</v>
      </c>
      <c r="AF46">
        <v>-119.878903973628</v>
      </c>
      <c r="AG46">
        <v>34.421255521385298</v>
      </c>
    </row>
    <row r="47" spans="1:33">
      <c r="A47">
        <v>46</v>
      </c>
      <c r="B47" s="2">
        <f t="shared" si="0"/>
        <v>44399.339467592639</v>
      </c>
      <c r="C47" t="s">
        <v>51</v>
      </c>
      <c r="D47">
        <v>2</v>
      </c>
      <c r="E47" t="s">
        <v>33</v>
      </c>
      <c r="F47" t="s">
        <v>49</v>
      </c>
      <c r="K47" t="s">
        <v>232</v>
      </c>
      <c r="AA47" t="s">
        <v>113</v>
      </c>
      <c r="AB47" s="1">
        <v>44399.631134259304</v>
      </c>
      <c r="AC47" t="s">
        <v>36</v>
      </c>
      <c r="AD47" s="1">
        <v>44399.631134259304</v>
      </c>
      <c r="AE47" t="s">
        <v>36</v>
      </c>
      <c r="AF47">
        <v>-119.878860336166</v>
      </c>
      <c r="AG47">
        <v>34.4213275155155</v>
      </c>
    </row>
    <row r="48" spans="1:33">
      <c r="A48">
        <v>47</v>
      </c>
      <c r="B48" s="2">
        <f t="shared" si="0"/>
        <v>44399.339814814834</v>
      </c>
      <c r="C48" t="s">
        <v>114</v>
      </c>
      <c r="D48">
        <v>1</v>
      </c>
      <c r="E48" t="s">
        <v>33</v>
      </c>
      <c r="F48" t="s">
        <v>56</v>
      </c>
      <c r="K48" t="s">
        <v>232</v>
      </c>
      <c r="AA48" t="s">
        <v>115</v>
      </c>
      <c r="AB48" s="1">
        <v>44399.631481481498</v>
      </c>
      <c r="AC48" t="s">
        <v>36</v>
      </c>
      <c r="AD48" s="1">
        <v>44399.631481481498</v>
      </c>
      <c r="AE48" t="s">
        <v>36</v>
      </c>
      <c r="AF48">
        <v>-119.87933443373601</v>
      </c>
      <c r="AG48">
        <v>34.422036864278098</v>
      </c>
    </row>
    <row r="49" spans="1:33">
      <c r="A49">
        <v>48</v>
      </c>
      <c r="B49" s="2">
        <f t="shared" si="0"/>
        <v>44399.340034722234</v>
      </c>
      <c r="C49" t="s">
        <v>37</v>
      </c>
      <c r="D49">
        <v>1</v>
      </c>
      <c r="E49" t="s">
        <v>33</v>
      </c>
      <c r="F49" t="s">
        <v>49</v>
      </c>
      <c r="K49" t="s">
        <v>232</v>
      </c>
      <c r="AA49" t="s">
        <v>116</v>
      </c>
      <c r="AB49" s="1">
        <v>44399.631701388898</v>
      </c>
      <c r="AC49" t="s">
        <v>36</v>
      </c>
      <c r="AD49" s="1">
        <v>44399.631701388898</v>
      </c>
      <c r="AE49" t="s">
        <v>36</v>
      </c>
      <c r="AF49">
        <v>-119.878825683654</v>
      </c>
      <c r="AG49">
        <v>34.421433683309502</v>
      </c>
    </row>
    <row r="50" spans="1:33">
      <c r="A50">
        <v>49</v>
      </c>
      <c r="B50" s="2">
        <f t="shared" si="0"/>
        <v>44399.342465277739</v>
      </c>
      <c r="C50" t="s">
        <v>53</v>
      </c>
      <c r="D50">
        <v>1</v>
      </c>
      <c r="E50" t="s">
        <v>33</v>
      </c>
      <c r="F50" t="s">
        <v>59</v>
      </c>
      <c r="K50" t="s">
        <v>232</v>
      </c>
      <c r="AA50" t="s">
        <v>117</v>
      </c>
      <c r="AB50" s="1">
        <v>44399.634131944404</v>
      </c>
      <c r="AC50" t="s">
        <v>36</v>
      </c>
      <c r="AD50" s="1">
        <v>44399.634131944404</v>
      </c>
      <c r="AE50" t="s">
        <v>36</v>
      </c>
      <c r="AF50">
        <v>-119.878833016602</v>
      </c>
      <c r="AG50">
        <v>34.421539016578798</v>
      </c>
    </row>
    <row r="51" spans="1:33">
      <c r="A51">
        <v>50</v>
      </c>
      <c r="B51" s="2">
        <f t="shared" si="0"/>
        <v>44399.342731481433</v>
      </c>
      <c r="C51" t="s">
        <v>96</v>
      </c>
      <c r="D51">
        <v>1</v>
      </c>
      <c r="E51" t="s">
        <v>33</v>
      </c>
      <c r="F51" t="s">
        <v>49</v>
      </c>
      <c r="K51" t="s">
        <v>232</v>
      </c>
      <c r="AA51" t="s">
        <v>118</v>
      </c>
      <c r="AB51" s="1">
        <v>44399.634398148097</v>
      </c>
      <c r="AC51" t="s">
        <v>36</v>
      </c>
      <c r="AD51" s="1">
        <v>44399.634398148097</v>
      </c>
      <c r="AE51" t="s">
        <v>36</v>
      </c>
      <c r="AF51">
        <v>-119.878901316411</v>
      </c>
      <c r="AG51">
        <v>34.421402183192598</v>
      </c>
    </row>
    <row r="52" spans="1:33">
      <c r="A52">
        <v>51</v>
      </c>
      <c r="B52" s="2">
        <f t="shared" si="0"/>
        <v>44399.344780092637</v>
      </c>
      <c r="C52" t="s">
        <v>37</v>
      </c>
      <c r="D52">
        <v>1</v>
      </c>
      <c r="E52" t="s">
        <v>94</v>
      </c>
      <c r="F52" t="s">
        <v>49</v>
      </c>
      <c r="K52" t="s">
        <v>232</v>
      </c>
      <c r="AA52" t="s">
        <v>119</v>
      </c>
      <c r="AB52" s="1">
        <v>44399.636446759301</v>
      </c>
      <c r="AC52" t="s">
        <v>36</v>
      </c>
      <c r="AD52" s="1">
        <v>44399.680416666699</v>
      </c>
      <c r="AE52" t="s">
        <v>36</v>
      </c>
      <c r="AF52">
        <v>-119.879731083053</v>
      </c>
      <c r="AG52">
        <v>34.421483606698402</v>
      </c>
    </row>
    <row r="53" spans="1:33">
      <c r="A53">
        <v>52</v>
      </c>
      <c r="B53" s="2">
        <f t="shared" si="0"/>
        <v>44399.344988425939</v>
      </c>
      <c r="C53" t="s">
        <v>109</v>
      </c>
      <c r="D53">
        <v>1</v>
      </c>
      <c r="E53" t="s">
        <v>94</v>
      </c>
      <c r="F53" t="s">
        <v>59</v>
      </c>
      <c r="K53" t="s">
        <v>232</v>
      </c>
      <c r="AA53" t="s">
        <v>120</v>
      </c>
      <c r="AB53" s="1">
        <v>44399.636655092603</v>
      </c>
      <c r="AC53" t="s">
        <v>36</v>
      </c>
      <c r="AD53" s="1">
        <v>44399.680289351898</v>
      </c>
      <c r="AE53" t="s">
        <v>36</v>
      </c>
      <c r="AF53">
        <v>-119.879820871462</v>
      </c>
      <c r="AG53">
        <v>34.421440401416099</v>
      </c>
    </row>
    <row r="54" spans="1:33">
      <c r="A54">
        <v>53</v>
      </c>
      <c r="B54" s="2">
        <f t="shared" si="0"/>
        <v>44399.345879629633</v>
      </c>
      <c r="C54" t="s">
        <v>121</v>
      </c>
      <c r="D54">
        <v>2</v>
      </c>
      <c r="E54" t="s">
        <v>94</v>
      </c>
      <c r="F54" t="s">
        <v>77</v>
      </c>
      <c r="K54" t="s">
        <v>232</v>
      </c>
      <c r="AA54" t="s">
        <v>122</v>
      </c>
      <c r="AB54" s="1">
        <v>44399.637546296297</v>
      </c>
      <c r="AC54" t="s">
        <v>36</v>
      </c>
      <c r="AD54" s="1">
        <v>44399.680173611101</v>
      </c>
      <c r="AE54" t="s">
        <v>36</v>
      </c>
      <c r="AF54">
        <v>-119.879976063512</v>
      </c>
      <c r="AG54">
        <v>34.421432741470298</v>
      </c>
    </row>
    <row r="55" spans="1:33">
      <c r="A55">
        <v>54</v>
      </c>
      <c r="B55" s="2">
        <f t="shared" si="0"/>
        <v>44399.347106481437</v>
      </c>
      <c r="C55" t="s">
        <v>109</v>
      </c>
      <c r="D55">
        <v>5</v>
      </c>
      <c r="E55" t="s">
        <v>94</v>
      </c>
      <c r="F55" t="s">
        <v>38</v>
      </c>
      <c r="K55" t="s">
        <v>232</v>
      </c>
      <c r="AA55" t="s">
        <v>123</v>
      </c>
      <c r="AB55" s="1">
        <v>44399.638773148101</v>
      </c>
      <c r="AC55" t="s">
        <v>36</v>
      </c>
      <c r="AD55" s="1">
        <v>44399.679560185199</v>
      </c>
      <c r="AE55" t="s">
        <v>36</v>
      </c>
      <c r="AF55">
        <v>-119.880443712974</v>
      </c>
      <c r="AG55">
        <v>34.421577789023402</v>
      </c>
    </row>
    <row r="56" spans="1:33">
      <c r="A56">
        <v>55</v>
      </c>
      <c r="B56" s="2">
        <f t="shared" si="0"/>
        <v>44399.348067129635</v>
      </c>
      <c r="C56" t="s">
        <v>45</v>
      </c>
      <c r="D56">
        <v>3</v>
      </c>
      <c r="E56" t="s">
        <v>94</v>
      </c>
      <c r="F56" t="s">
        <v>49</v>
      </c>
      <c r="K56" t="s">
        <v>232</v>
      </c>
      <c r="AA56" t="s">
        <v>124</v>
      </c>
      <c r="AB56" s="1">
        <v>44399.639733796299</v>
      </c>
      <c r="AC56" t="s">
        <v>36</v>
      </c>
      <c r="AD56" s="1">
        <v>44399.68</v>
      </c>
      <c r="AE56" t="s">
        <v>36</v>
      </c>
      <c r="AF56">
        <v>-119.88030903036</v>
      </c>
      <c r="AG56">
        <v>34.421324727045501</v>
      </c>
    </row>
    <row r="57" spans="1:33">
      <c r="A57">
        <v>56</v>
      </c>
      <c r="B57" s="2">
        <f t="shared" si="0"/>
        <v>44399.348344907434</v>
      </c>
      <c r="C57" t="s">
        <v>37</v>
      </c>
      <c r="D57">
        <v>1</v>
      </c>
      <c r="E57" t="s">
        <v>94</v>
      </c>
      <c r="F57" t="s">
        <v>59</v>
      </c>
      <c r="K57" t="s">
        <v>232</v>
      </c>
      <c r="AA57" t="s">
        <v>125</v>
      </c>
      <c r="AB57" s="1">
        <v>44399.640011574098</v>
      </c>
      <c r="AC57" t="s">
        <v>36</v>
      </c>
      <c r="AD57" s="1">
        <v>44399.679745370398</v>
      </c>
      <c r="AE57" t="s">
        <v>36</v>
      </c>
      <c r="AF57">
        <v>-119.88020120917</v>
      </c>
      <c r="AG57">
        <v>34.421454900253202</v>
      </c>
    </row>
    <row r="58" spans="1:33">
      <c r="A58">
        <v>57</v>
      </c>
      <c r="B58" s="2">
        <f t="shared" si="0"/>
        <v>44399.350335648138</v>
      </c>
      <c r="C58" t="s">
        <v>79</v>
      </c>
      <c r="D58">
        <v>3</v>
      </c>
      <c r="E58" t="s">
        <v>94</v>
      </c>
      <c r="F58" t="s">
        <v>77</v>
      </c>
      <c r="K58" t="s">
        <v>232</v>
      </c>
      <c r="AA58" t="s">
        <v>126</v>
      </c>
      <c r="AB58" s="1">
        <v>44399.642002314802</v>
      </c>
      <c r="AC58" t="s">
        <v>36</v>
      </c>
      <c r="AD58" s="1">
        <v>44399.679131944402</v>
      </c>
      <c r="AE58" t="s">
        <v>36</v>
      </c>
      <c r="AF58">
        <v>-119.88120656500899</v>
      </c>
      <c r="AG58">
        <v>34.421645595370499</v>
      </c>
    </row>
    <row r="59" spans="1:33">
      <c r="A59">
        <v>58</v>
      </c>
      <c r="B59" s="2">
        <f t="shared" si="0"/>
        <v>44399.370532407433</v>
      </c>
      <c r="C59" t="s">
        <v>67</v>
      </c>
      <c r="D59">
        <v>2</v>
      </c>
      <c r="E59" t="s">
        <v>94</v>
      </c>
      <c r="F59" t="s">
        <v>59</v>
      </c>
      <c r="K59" t="s">
        <v>232</v>
      </c>
      <c r="AA59" t="s">
        <v>127</v>
      </c>
      <c r="AB59" s="1">
        <v>44399.662199074097</v>
      </c>
      <c r="AC59" t="s">
        <v>36</v>
      </c>
      <c r="AD59" s="1">
        <v>44399.678981481498</v>
      </c>
      <c r="AE59" t="s">
        <v>36</v>
      </c>
      <c r="AF59">
        <v>-119.882665691338</v>
      </c>
      <c r="AG59">
        <v>34.421740871998701</v>
      </c>
    </row>
    <row r="60" spans="1:33">
      <c r="A60">
        <v>59</v>
      </c>
      <c r="B60" s="2">
        <f t="shared" si="0"/>
        <v>44399.371238425934</v>
      </c>
      <c r="C60" t="s">
        <v>79</v>
      </c>
      <c r="D60">
        <v>15</v>
      </c>
      <c r="E60" t="s">
        <v>94</v>
      </c>
      <c r="F60" t="s">
        <v>77</v>
      </c>
      <c r="K60" t="s">
        <v>232</v>
      </c>
      <c r="AA60" t="s">
        <v>128</v>
      </c>
      <c r="AB60" s="1">
        <v>44399.662905092599</v>
      </c>
      <c r="AC60" t="s">
        <v>36</v>
      </c>
      <c r="AD60" s="1">
        <v>44399.678842592599</v>
      </c>
      <c r="AE60" t="s">
        <v>36</v>
      </c>
      <c r="AF60">
        <v>-119.883120541604</v>
      </c>
      <c r="AG60">
        <v>34.421879413618697</v>
      </c>
    </row>
    <row r="61" spans="1:33">
      <c r="A61">
        <v>60</v>
      </c>
      <c r="B61" s="2">
        <f t="shared" si="0"/>
        <v>44399.404421296334</v>
      </c>
      <c r="C61" t="s">
        <v>129</v>
      </c>
      <c r="D61">
        <v>8</v>
      </c>
      <c r="E61" t="s">
        <v>33</v>
      </c>
      <c r="F61" t="s">
        <v>59</v>
      </c>
      <c r="K61" t="s">
        <v>232</v>
      </c>
      <c r="M61" t="s">
        <v>130</v>
      </c>
      <c r="T61">
        <v>75</v>
      </c>
      <c r="U61">
        <v>10</v>
      </c>
      <c r="AA61" t="s">
        <v>131</v>
      </c>
      <c r="AB61" s="1">
        <v>44399.696087962999</v>
      </c>
      <c r="AC61" t="s">
        <v>36</v>
      </c>
      <c r="AD61" s="1">
        <v>44399.7117939815</v>
      </c>
      <c r="AE61" t="s">
        <v>36</v>
      </c>
      <c r="AF61">
        <v>-119.875226157667</v>
      </c>
      <c r="AG61">
        <v>34.419507764548101</v>
      </c>
    </row>
    <row r="62" spans="1:33">
      <c r="A62">
        <v>61</v>
      </c>
      <c r="B62" s="2">
        <f t="shared" si="0"/>
        <v>44399.283402777735</v>
      </c>
      <c r="C62" t="s">
        <v>79</v>
      </c>
      <c r="D62">
        <v>5</v>
      </c>
      <c r="E62" t="s">
        <v>33</v>
      </c>
      <c r="F62" t="s">
        <v>77</v>
      </c>
      <c r="J62">
        <v>4.4000000000000004</v>
      </c>
      <c r="K62" t="s">
        <v>233</v>
      </c>
      <c r="L62" t="s">
        <v>132</v>
      </c>
      <c r="N62">
        <v>69</v>
      </c>
      <c r="O62">
        <v>15</v>
      </c>
      <c r="P62" t="s">
        <v>133</v>
      </c>
      <c r="Q62" t="s">
        <v>134</v>
      </c>
      <c r="S62" t="s">
        <v>134</v>
      </c>
      <c r="AA62" t="s">
        <v>135</v>
      </c>
      <c r="AB62" s="1">
        <v>44399.5750694444</v>
      </c>
      <c r="AC62" t="s">
        <v>36</v>
      </c>
      <c r="AD62" s="1">
        <v>44399.5750694444</v>
      </c>
      <c r="AE62" t="s">
        <v>36</v>
      </c>
      <c r="AF62">
        <v>-119.87424865678901</v>
      </c>
      <c r="AG62">
        <v>34.417674540865399</v>
      </c>
    </row>
    <row r="63" spans="1:33">
      <c r="A63">
        <v>62</v>
      </c>
      <c r="B63" s="2">
        <f t="shared" si="0"/>
        <v>44399.294583333336</v>
      </c>
      <c r="C63" t="s">
        <v>41</v>
      </c>
      <c r="D63">
        <v>2</v>
      </c>
      <c r="E63" t="s">
        <v>94</v>
      </c>
      <c r="F63" t="s">
        <v>77</v>
      </c>
      <c r="K63" t="s">
        <v>233</v>
      </c>
      <c r="AA63" t="s">
        <v>136</v>
      </c>
      <c r="AB63" s="1">
        <v>44399.58625</v>
      </c>
      <c r="AC63" t="s">
        <v>36</v>
      </c>
      <c r="AD63" s="1">
        <v>44399.58625</v>
      </c>
      <c r="AE63" t="s">
        <v>36</v>
      </c>
      <c r="AF63">
        <v>-119.87433593260999</v>
      </c>
      <c r="AG63">
        <v>34.417852998689597</v>
      </c>
    </row>
    <row r="64" spans="1:33">
      <c r="A64">
        <v>63</v>
      </c>
      <c r="B64" s="2">
        <f t="shared" si="0"/>
        <v>44399.295995370339</v>
      </c>
      <c r="C64" t="s">
        <v>137</v>
      </c>
      <c r="D64">
        <v>1</v>
      </c>
      <c r="E64" t="s">
        <v>33</v>
      </c>
      <c r="F64" t="s">
        <v>56</v>
      </c>
      <c r="K64" t="s">
        <v>233</v>
      </c>
      <c r="AA64" t="s">
        <v>138</v>
      </c>
      <c r="AB64" s="1">
        <v>44399.587662037004</v>
      </c>
      <c r="AC64" t="s">
        <v>36</v>
      </c>
      <c r="AD64" s="1">
        <v>44399.587662037004</v>
      </c>
      <c r="AE64" t="s">
        <v>36</v>
      </c>
      <c r="AF64">
        <v>-119.87635097237001</v>
      </c>
      <c r="AG64">
        <v>34.417670888202899</v>
      </c>
    </row>
    <row r="65" spans="1:33">
      <c r="A65">
        <v>64</v>
      </c>
      <c r="B65" s="2">
        <f t="shared" si="0"/>
        <v>44399.297511574034</v>
      </c>
      <c r="C65" t="s">
        <v>139</v>
      </c>
      <c r="D65">
        <v>1</v>
      </c>
      <c r="E65" t="s">
        <v>33</v>
      </c>
      <c r="F65" t="s">
        <v>56</v>
      </c>
      <c r="K65" t="s">
        <v>233</v>
      </c>
      <c r="AA65" t="s">
        <v>140</v>
      </c>
      <c r="AB65" s="1">
        <v>44399.589178240698</v>
      </c>
      <c r="AC65" t="s">
        <v>36</v>
      </c>
      <c r="AD65" s="1">
        <v>44399.589178240698</v>
      </c>
      <c r="AE65" t="s">
        <v>36</v>
      </c>
      <c r="AF65">
        <v>-119.87652295662799</v>
      </c>
      <c r="AG65">
        <v>34.417685711534901</v>
      </c>
    </row>
    <row r="66" spans="1:33">
      <c r="A66">
        <v>65</v>
      </c>
      <c r="B66" s="2">
        <f t="shared" si="0"/>
        <v>44399.298518518539</v>
      </c>
      <c r="C66" t="s">
        <v>67</v>
      </c>
      <c r="D66">
        <v>2</v>
      </c>
      <c r="E66" t="s">
        <v>33</v>
      </c>
      <c r="F66" t="s">
        <v>38</v>
      </c>
      <c r="K66" t="s">
        <v>233</v>
      </c>
      <c r="AA66" t="s">
        <v>141</v>
      </c>
      <c r="AB66" s="1">
        <v>44399.590185185203</v>
      </c>
      <c r="AC66" t="s">
        <v>36</v>
      </c>
      <c r="AD66" s="1">
        <v>44399.594212962998</v>
      </c>
      <c r="AE66" t="s">
        <v>36</v>
      </c>
      <c r="AF66">
        <v>-119.87711369325</v>
      </c>
      <c r="AG66">
        <v>34.417647354499898</v>
      </c>
    </row>
    <row r="67" spans="1:33">
      <c r="A67">
        <v>66</v>
      </c>
      <c r="B67" s="2">
        <f t="shared" ref="B67:B130" si="1">AB67-(7/24)</f>
        <v>44399.298854166635</v>
      </c>
      <c r="C67" t="s">
        <v>142</v>
      </c>
      <c r="D67">
        <v>12</v>
      </c>
      <c r="E67" t="s">
        <v>33</v>
      </c>
      <c r="F67" t="s">
        <v>56</v>
      </c>
      <c r="K67" t="s">
        <v>233</v>
      </c>
      <c r="AA67" t="s">
        <v>143</v>
      </c>
      <c r="AB67" s="1">
        <v>44399.590520833299</v>
      </c>
      <c r="AC67" t="s">
        <v>36</v>
      </c>
      <c r="AD67" s="1">
        <v>44399.590520833299</v>
      </c>
      <c r="AE67" t="s">
        <v>36</v>
      </c>
      <c r="AF67">
        <v>-119.87670007475801</v>
      </c>
      <c r="AG67">
        <v>34.417823352823497</v>
      </c>
    </row>
    <row r="68" spans="1:33">
      <c r="A68">
        <v>67</v>
      </c>
      <c r="B68" s="2">
        <f t="shared" si="1"/>
        <v>44399.299733796339</v>
      </c>
      <c r="C68" t="s">
        <v>93</v>
      </c>
      <c r="D68">
        <v>1</v>
      </c>
      <c r="E68" t="s">
        <v>33</v>
      </c>
      <c r="F68" t="s">
        <v>56</v>
      </c>
      <c r="K68" t="s">
        <v>233</v>
      </c>
      <c r="AA68" t="s">
        <v>144</v>
      </c>
      <c r="AB68" s="1">
        <v>44399.591400463003</v>
      </c>
      <c r="AC68" t="s">
        <v>36</v>
      </c>
      <c r="AD68" s="1">
        <v>44399.591400463003</v>
      </c>
      <c r="AE68" t="s">
        <v>36</v>
      </c>
      <c r="AF68">
        <v>-119.87652552311501</v>
      </c>
      <c r="AG68">
        <v>34.417840293319799</v>
      </c>
    </row>
    <row r="69" spans="1:33">
      <c r="A69">
        <v>68</v>
      </c>
      <c r="B69" s="2">
        <f t="shared" si="1"/>
        <v>44399.299953703732</v>
      </c>
      <c r="C69" t="s">
        <v>55</v>
      </c>
      <c r="D69">
        <v>1</v>
      </c>
      <c r="E69" t="s">
        <v>33</v>
      </c>
      <c r="F69" t="s">
        <v>56</v>
      </c>
      <c r="K69" t="s">
        <v>233</v>
      </c>
      <c r="AA69" t="s">
        <v>145</v>
      </c>
      <c r="AB69" s="1">
        <v>44399.591620370396</v>
      </c>
      <c r="AC69" t="s">
        <v>36</v>
      </c>
      <c r="AD69" s="1">
        <v>44399.591620370396</v>
      </c>
      <c r="AE69" t="s">
        <v>36</v>
      </c>
      <c r="AF69">
        <v>-119.87667440539801</v>
      </c>
      <c r="AG69">
        <v>34.417717474644299</v>
      </c>
    </row>
    <row r="70" spans="1:33">
      <c r="A70">
        <v>69</v>
      </c>
      <c r="B70" s="2">
        <f t="shared" si="1"/>
        <v>44399.301168981438</v>
      </c>
      <c r="C70" t="s">
        <v>84</v>
      </c>
      <c r="D70">
        <v>2</v>
      </c>
      <c r="E70" t="s">
        <v>33</v>
      </c>
      <c r="F70" t="s">
        <v>77</v>
      </c>
      <c r="K70" t="s">
        <v>233</v>
      </c>
      <c r="AA70" t="s">
        <v>146</v>
      </c>
      <c r="AB70" s="1">
        <v>44399.592835648102</v>
      </c>
      <c r="AC70" t="s">
        <v>36</v>
      </c>
      <c r="AD70" s="1">
        <v>44399.592835648102</v>
      </c>
      <c r="AE70" t="s">
        <v>36</v>
      </c>
      <c r="AF70">
        <v>-119.87705174363199</v>
      </c>
      <c r="AG70">
        <v>34.417999109934598</v>
      </c>
    </row>
    <row r="71" spans="1:33">
      <c r="A71">
        <v>70</v>
      </c>
      <c r="B71" s="2">
        <f t="shared" si="1"/>
        <v>44399.302731481439</v>
      </c>
      <c r="C71" t="s">
        <v>55</v>
      </c>
      <c r="D71">
        <v>2</v>
      </c>
      <c r="E71" t="s">
        <v>33</v>
      </c>
      <c r="F71" t="s">
        <v>56</v>
      </c>
      <c r="K71" t="s">
        <v>233</v>
      </c>
      <c r="AA71" t="s">
        <v>147</v>
      </c>
      <c r="AB71" s="1">
        <v>44399.594398148103</v>
      </c>
      <c r="AC71" t="s">
        <v>36</v>
      </c>
      <c r="AD71" s="1">
        <v>44399.594398148103</v>
      </c>
      <c r="AE71" t="s">
        <v>36</v>
      </c>
      <c r="AF71">
        <v>-119.876647036427</v>
      </c>
      <c r="AG71">
        <v>34.417938470319697</v>
      </c>
    </row>
    <row r="72" spans="1:33">
      <c r="A72">
        <v>71</v>
      </c>
      <c r="B72" s="2">
        <f t="shared" si="1"/>
        <v>44399.303240740737</v>
      </c>
      <c r="C72" t="s">
        <v>114</v>
      </c>
      <c r="D72">
        <v>2</v>
      </c>
      <c r="E72" t="s">
        <v>33</v>
      </c>
      <c r="F72" t="s">
        <v>56</v>
      </c>
      <c r="K72" t="s">
        <v>233</v>
      </c>
      <c r="AA72" t="s">
        <v>148</v>
      </c>
      <c r="AB72" s="1">
        <v>44399.594907407401</v>
      </c>
      <c r="AC72" t="s">
        <v>36</v>
      </c>
      <c r="AD72" s="1">
        <v>44399.594907407401</v>
      </c>
      <c r="AE72" t="s">
        <v>36</v>
      </c>
      <c r="AF72">
        <v>-119.876428798813</v>
      </c>
      <c r="AG72">
        <v>34.417610964951201</v>
      </c>
    </row>
    <row r="73" spans="1:33">
      <c r="A73">
        <v>72</v>
      </c>
      <c r="B73" s="2">
        <f t="shared" si="1"/>
        <v>44399.304259259239</v>
      </c>
      <c r="C73" t="s">
        <v>51</v>
      </c>
      <c r="D73">
        <v>2</v>
      </c>
      <c r="E73" t="s">
        <v>33</v>
      </c>
      <c r="F73" t="s">
        <v>56</v>
      </c>
      <c r="K73" t="s">
        <v>233</v>
      </c>
      <c r="AA73" t="s">
        <v>149</v>
      </c>
      <c r="AB73" s="1">
        <v>44399.595925925903</v>
      </c>
      <c r="AC73" t="s">
        <v>36</v>
      </c>
      <c r="AD73" s="1">
        <v>44399.595925925903</v>
      </c>
      <c r="AE73" t="s">
        <v>36</v>
      </c>
      <c r="AF73">
        <v>-119.87637772240301</v>
      </c>
      <c r="AG73">
        <v>34.417785251515497</v>
      </c>
    </row>
    <row r="74" spans="1:33">
      <c r="A74">
        <v>73</v>
      </c>
      <c r="B74" s="2">
        <f t="shared" si="1"/>
        <v>44399.306550925932</v>
      </c>
      <c r="C74" t="s">
        <v>37</v>
      </c>
      <c r="D74">
        <v>1</v>
      </c>
      <c r="E74" t="s">
        <v>33</v>
      </c>
      <c r="F74" t="s">
        <v>38</v>
      </c>
      <c r="K74" t="s">
        <v>233</v>
      </c>
      <c r="AA74" t="s">
        <v>150</v>
      </c>
      <c r="AB74" s="1">
        <v>44399.598217592596</v>
      </c>
      <c r="AC74" t="s">
        <v>36</v>
      </c>
      <c r="AD74" s="1">
        <v>44399.598217592596</v>
      </c>
      <c r="AE74" t="s">
        <v>36</v>
      </c>
      <c r="AF74">
        <v>-119.876512378966</v>
      </c>
      <c r="AG74">
        <v>34.418310418881298</v>
      </c>
    </row>
    <row r="75" spans="1:33">
      <c r="A75">
        <v>74</v>
      </c>
      <c r="B75" s="2">
        <f t="shared" si="1"/>
        <v>44399.310416666638</v>
      </c>
      <c r="C75" t="s">
        <v>93</v>
      </c>
      <c r="D75">
        <v>1</v>
      </c>
      <c r="E75" t="s">
        <v>33</v>
      </c>
      <c r="F75" t="s">
        <v>56</v>
      </c>
      <c r="K75" t="s">
        <v>233</v>
      </c>
      <c r="AA75" t="s">
        <v>151</v>
      </c>
      <c r="AB75" s="1">
        <v>44399.602083333302</v>
      </c>
      <c r="AC75" t="s">
        <v>36</v>
      </c>
      <c r="AD75" s="1">
        <v>44399.602083333302</v>
      </c>
      <c r="AE75" t="s">
        <v>36</v>
      </c>
      <c r="AF75">
        <v>-119.87773358020399</v>
      </c>
      <c r="AG75">
        <v>34.419239993300103</v>
      </c>
    </row>
    <row r="76" spans="1:33">
      <c r="A76">
        <v>75</v>
      </c>
      <c r="B76" s="2">
        <f t="shared" si="1"/>
        <v>44399.311319444438</v>
      </c>
      <c r="C76" t="s">
        <v>79</v>
      </c>
      <c r="D76">
        <v>3</v>
      </c>
      <c r="E76" t="s">
        <v>94</v>
      </c>
      <c r="F76" t="s">
        <v>77</v>
      </c>
      <c r="K76" t="s">
        <v>233</v>
      </c>
      <c r="AA76" t="s">
        <v>152</v>
      </c>
      <c r="AB76" s="1">
        <v>44399.602986111102</v>
      </c>
      <c r="AC76" t="s">
        <v>36</v>
      </c>
      <c r="AD76" s="1">
        <v>44399.602986111102</v>
      </c>
      <c r="AE76" t="s">
        <v>36</v>
      </c>
      <c r="AF76">
        <v>-119.87787984479699</v>
      </c>
      <c r="AG76">
        <v>34.418496195423003</v>
      </c>
    </row>
    <row r="77" spans="1:33">
      <c r="A77">
        <v>76</v>
      </c>
      <c r="B77" s="2">
        <f t="shared" si="1"/>
        <v>44399.319861111137</v>
      </c>
      <c r="C77" t="s">
        <v>104</v>
      </c>
      <c r="D77">
        <v>2</v>
      </c>
      <c r="E77" t="s">
        <v>33</v>
      </c>
      <c r="F77" t="s">
        <v>56</v>
      </c>
      <c r="K77" t="s">
        <v>233</v>
      </c>
      <c r="AA77" t="s">
        <v>153</v>
      </c>
      <c r="AB77" s="1">
        <v>44399.611527777801</v>
      </c>
      <c r="AC77" t="s">
        <v>36</v>
      </c>
      <c r="AD77" s="1">
        <v>44399.611527777801</v>
      </c>
      <c r="AE77" t="s">
        <v>36</v>
      </c>
      <c r="AF77">
        <v>-119.88100249742</v>
      </c>
      <c r="AG77">
        <v>34.418941221096297</v>
      </c>
    </row>
    <row r="78" spans="1:33">
      <c r="A78">
        <v>77</v>
      </c>
      <c r="B78" s="2">
        <f t="shared" si="1"/>
        <v>44399.320601851832</v>
      </c>
      <c r="C78" t="s">
        <v>67</v>
      </c>
      <c r="D78">
        <v>2</v>
      </c>
      <c r="E78" t="s">
        <v>33</v>
      </c>
      <c r="F78" t="s">
        <v>49</v>
      </c>
      <c r="K78" t="s">
        <v>233</v>
      </c>
      <c r="AA78" t="s">
        <v>154</v>
      </c>
      <c r="AB78" s="1">
        <v>44399.612268518496</v>
      </c>
      <c r="AC78" t="s">
        <v>36</v>
      </c>
      <c r="AD78" s="1">
        <v>44399.612268518496</v>
      </c>
      <c r="AE78" t="s">
        <v>36</v>
      </c>
      <c r="AF78">
        <v>-119.881246273239</v>
      </c>
      <c r="AG78">
        <v>34.418895255591103</v>
      </c>
    </row>
    <row r="79" spans="1:33">
      <c r="A79">
        <v>78</v>
      </c>
      <c r="B79" s="2">
        <f t="shared" si="1"/>
        <v>44399.320787037039</v>
      </c>
      <c r="C79" t="s">
        <v>155</v>
      </c>
      <c r="D79">
        <v>1</v>
      </c>
      <c r="E79" t="s">
        <v>33</v>
      </c>
      <c r="F79" t="s">
        <v>59</v>
      </c>
      <c r="K79" t="s">
        <v>233</v>
      </c>
      <c r="AA79" t="s">
        <v>156</v>
      </c>
      <c r="AB79" s="1">
        <v>44399.612453703703</v>
      </c>
      <c r="AC79" t="s">
        <v>36</v>
      </c>
      <c r="AD79" s="1">
        <v>44399.612453703703</v>
      </c>
      <c r="AE79" t="s">
        <v>36</v>
      </c>
      <c r="AF79">
        <v>-119.881432007111</v>
      </c>
      <c r="AG79">
        <v>34.419002507656202</v>
      </c>
    </row>
    <row r="80" spans="1:33">
      <c r="A80">
        <v>79</v>
      </c>
      <c r="B80" s="2">
        <f t="shared" si="1"/>
        <v>44399.321944444433</v>
      </c>
      <c r="C80" t="s">
        <v>51</v>
      </c>
      <c r="D80">
        <v>2</v>
      </c>
      <c r="E80" t="s">
        <v>33</v>
      </c>
      <c r="F80" t="s">
        <v>77</v>
      </c>
      <c r="K80" t="s">
        <v>233</v>
      </c>
      <c r="AA80" t="s">
        <v>157</v>
      </c>
      <c r="AB80" s="1">
        <v>44399.613611111097</v>
      </c>
      <c r="AC80" t="s">
        <v>36</v>
      </c>
      <c r="AD80" s="1">
        <v>44399.613611111097</v>
      </c>
      <c r="AE80" t="s">
        <v>36</v>
      </c>
      <c r="AF80">
        <v>-119.881285741619</v>
      </c>
      <c r="AG80">
        <v>34.419169130426098</v>
      </c>
    </row>
    <row r="81" spans="1:33">
      <c r="A81">
        <v>80</v>
      </c>
      <c r="B81" s="2">
        <f t="shared" si="1"/>
        <v>44399.324282407433</v>
      </c>
      <c r="C81" t="s">
        <v>155</v>
      </c>
      <c r="D81">
        <v>12</v>
      </c>
      <c r="E81" t="s">
        <v>33</v>
      </c>
      <c r="F81" t="s">
        <v>46</v>
      </c>
      <c r="I81" t="s">
        <v>158</v>
      </c>
      <c r="K81" t="s">
        <v>233</v>
      </c>
      <c r="AA81" t="s">
        <v>159</v>
      </c>
      <c r="AB81" s="1">
        <v>44399.615949074097</v>
      </c>
      <c r="AC81" t="s">
        <v>36</v>
      </c>
      <c r="AD81" s="1">
        <v>44399.622835648202</v>
      </c>
      <c r="AE81" t="s">
        <v>36</v>
      </c>
      <c r="AF81">
        <v>-119.880141155895</v>
      </c>
      <c r="AG81">
        <v>34.419661337376297</v>
      </c>
    </row>
    <row r="82" spans="1:33">
      <c r="A82">
        <v>81</v>
      </c>
      <c r="B82" s="2">
        <f t="shared" si="1"/>
        <v>44399.327106481433</v>
      </c>
      <c r="C82" t="s">
        <v>86</v>
      </c>
      <c r="D82">
        <v>12</v>
      </c>
      <c r="E82" t="s">
        <v>33</v>
      </c>
      <c r="F82" t="s">
        <v>49</v>
      </c>
      <c r="I82" t="s">
        <v>160</v>
      </c>
      <c r="K82" t="s">
        <v>233</v>
      </c>
      <c r="AA82" t="s">
        <v>161</v>
      </c>
      <c r="AB82" s="1">
        <v>44399.618773148097</v>
      </c>
      <c r="AC82" t="s">
        <v>36</v>
      </c>
      <c r="AD82" s="1">
        <v>44399.622418981497</v>
      </c>
      <c r="AE82" t="s">
        <v>36</v>
      </c>
      <c r="AF82">
        <v>-119.879532264321</v>
      </c>
      <c r="AG82">
        <v>34.419718792986501</v>
      </c>
    </row>
    <row r="83" spans="1:33">
      <c r="A83">
        <v>82</v>
      </c>
      <c r="B83" s="2">
        <f t="shared" si="1"/>
        <v>44399.328414351832</v>
      </c>
      <c r="C83" t="s">
        <v>162</v>
      </c>
      <c r="D83">
        <v>1</v>
      </c>
      <c r="E83" t="s">
        <v>33</v>
      </c>
      <c r="F83" t="s">
        <v>77</v>
      </c>
      <c r="K83" t="s">
        <v>233</v>
      </c>
      <c r="AA83" t="s">
        <v>163</v>
      </c>
      <c r="AB83" s="1">
        <v>44399.620081018496</v>
      </c>
      <c r="AC83" t="s">
        <v>36</v>
      </c>
      <c r="AD83" s="1">
        <v>44399.620081018496</v>
      </c>
      <c r="AE83" t="s">
        <v>36</v>
      </c>
      <c r="AF83">
        <v>-119.880716318425</v>
      </c>
      <c r="AG83">
        <v>34.417803577790998</v>
      </c>
    </row>
    <row r="84" spans="1:33">
      <c r="A84">
        <v>83</v>
      </c>
      <c r="B84" s="2">
        <f t="shared" si="1"/>
        <v>44399.334074074039</v>
      </c>
      <c r="C84" t="s">
        <v>101</v>
      </c>
      <c r="D84">
        <v>1</v>
      </c>
      <c r="E84" t="s">
        <v>33</v>
      </c>
      <c r="F84" t="s">
        <v>46</v>
      </c>
      <c r="K84" t="s">
        <v>233</v>
      </c>
      <c r="AA84" t="s">
        <v>164</v>
      </c>
      <c r="AB84" s="1">
        <v>44399.625740740703</v>
      </c>
      <c r="AC84" t="s">
        <v>36</v>
      </c>
      <c r="AD84" s="1">
        <v>44399.625740740703</v>
      </c>
      <c r="AE84" t="s">
        <v>36</v>
      </c>
      <c r="AF84">
        <v>-119.87766439914699</v>
      </c>
      <c r="AG84">
        <v>34.419625683813898</v>
      </c>
    </row>
    <row r="85" spans="1:33">
      <c r="A85">
        <v>84</v>
      </c>
      <c r="B85" s="2">
        <f t="shared" si="1"/>
        <v>44399.335509259239</v>
      </c>
      <c r="C85" t="s">
        <v>51</v>
      </c>
      <c r="D85">
        <v>3</v>
      </c>
      <c r="E85" t="s">
        <v>33</v>
      </c>
      <c r="F85" t="s">
        <v>77</v>
      </c>
      <c r="K85" t="s">
        <v>233</v>
      </c>
      <c r="AA85" t="s">
        <v>165</v>
      </c>
      <c r="AB85" s="1">
        <v>44399.627175925903</v>
      </c>
      <c r="AC85" t="s">
        <v>36</v>
      </c>
      <c r="AD85" s="1">
        <v>44399.627175925903</v>
      </c>
      <c r="AE85" t="s">
        <v>36</v>
      </c>
      <c r="AF85">
        <v>-119.877852612369</v>
      </c>
      <c r="AG85">
        <v>34.419354611607801</v>
      </c>
    </row>
    <row r="86" spans="1:33">
      <c r="A86">
        <v>85</v>
      </c>
      <c r="B86" s="2">
        <f t="shared" si="1"/>
        <v>44399.337268518539</v>
      </c>
      <c r="C86" t="s">
        <v>79</v>
      </c>
      <c r="D86">
        <v>5</v>
      </c>
      <c r="E86" t="s">
        <v>33</v>
      </c>
      <c r="F86" t="s">
        <v>77</v>
      </c>
      <c r="K86" t="s">
        <v>233</v>
      </c>
      <c r="AA86" t="s">
        <v>166</v>
      </c>
      <c r="AB86" s="1">
        <v>44399.628935185203</v>
      </c>
      <c r="AC86" t="s">
        <v>36</v>
      </c>
      <c r="AD86" s="1">
        <v>44399.628935185203</v>
      </c>
      <c r="AE86" t="s">
        <v>36</v>
      </c>
      <c r="AF86">
        <v>-119.877743284704</v>
      </c>
      <c r="AG86">
        <v>34.418996156170401</v>
      </c>
    </row>
    <row r="87" spans="1:33">
      <c r="A87">
        <v>86</v>
      </c>
      <c r="B87" s="2">
        <f t="shared" si="1"/>
        <v>44399.337488425939</v>
      </c>
      <c r="C87" t="s">
        <v>86</v>
      </c>
      <c r="D87">
        <v>6</v>
      </c>
      <c r="E87" t="s">
        <v>33</v>
      </c>
      <c r="F87" t="s">
        <v>56</v>
      </c>
      <c r="K87" t="s">
        <v>233</v>
      </c>
      <c r="AA87" t="s">
        <v>167</v>
      </c>
      <c r="AB87" s="1">
        <v>44399.629155092603</v>
      </c>
      <c r="AC87" t="s">
        <v>36</v>
      </c>
      <c r="AD87" s="1">
        <v>44399.629155092603</v>
      </c>
      <c r="AE87" t="s">
        <v>36</v>
      </c>
      <c r="AF87">
        <v>-119.877637935677</v>
      </c>
      <c r="AG87">
        <v>34.419345894747003</v>
      </c>
    </row>
    <row r="88" spans="1:33">
      <c r="A88">
        <v>87</v>
      </c>
      <c r="B88" s="2">
        <f t="shared" si="1"/>
        <v>44399.338391203739</v>
      </c>
      <c r="C88" t="s">
        <v>142</v>
      </c>
      <c r="D88">
        <v>13</v>
      </c>
      <c r="E88" t="s">
        <v>33</v>
      </c>
      <c r="F88" t="s">
        <v>38</v>
      </c>
      <c r="K88" t="s">
        <v>233</v>
      </c>
      <c r="AA88" t="s">
        <v>168</v>
      </c>
      <c r="AB88" s="1">
        <v>44399.630057870403</v>
      </c>
      <c r="AC88" t="s">
        <v>36</v>
      </c>
      <c r="AD88" s="1">
        <v>44399.630057870403</v>
      </c>
      <c r="AE88" t="s">
        <v>36</v>
      </c>
      <c r="AF88">
        <v>-119.877980003358</v>
      </c>
      <c r="AG88">
        <v>34.419428559273904</v>
      </c>
    </row>
    <row r="89" spans="1:33">
      <c r="A89">
        <v>88</v>
      </c>
      <c r="B89" s="2">
        <f t="shared" si="1"/>
        <v>44399.338888888939</v>
      </c>
      <c r="C89" t="s">
        <v>45</v>
      </c>
      <c r="D89">
        <v>1</v>
      </c>
      <c r="E89" t="s">
        <v>33</v>
      </c>
      <c r="F89" t="s">
        <v>56</v>
      </c>
      <c r="K89" t="s">
        <v>233</v>
      </c>
      <c r="AA89" t="s">
        <v>169</v>
      </c>
      <c r="AB89" s="1">
        <v>44399.630555555603</v>
      </c>
      <c r="AC89" t="s">
        <v>36</v>
      </c>
      <c r="AD89" s="1">
        <v>44399.630555555603</v>
      </c>
      <c r="AE89" t="s">
        <v>36</v>
      </c>
      <c r="AF89">
        <v>-119.87776930620301</v>
      </c>
      <c r="AG89">
        <v>34.4194137221711</v>
      </c>
    </row>
    <row r="90" spans="1:33">
      <c r="A90">
        <v>89</v>
      </c>
      <c r="B90" s="2">
        <f t="shared" si="1"/>
        <v>44399.339988425934</v>
      </c>
      <c r="C90" t="s">
        <v>48</v>
      </c>
      <c r="D90">
        <v>1</v>
      </c>
      <c r="E90" t="s">
        <v>33</v>
      </c>
      <c r="F90" t="s">
        <v>46</v>
      </c>
      <c r="K90" t="s">
        <v>233</v>
      </c>
      <c r="AA90" t="s">
        <v>170</v>
      </c>
      <c r="AB90" s="1">
        <v>44399.631655092599</v>
      </c>
      <c r="AC90" t="s">
        <v>36</v>
      </c>
      <c r="AD90" s="1">
        <v>44399.631655092599</v>
      </c>
      <c r="AE90" t="s">
        <v>36</v>
      </c>
      <c r="AF90">
        <v>-119.877129506294</v>
      </c>
      <c r="AG90">
        <v>34.419390406083501</v>
      </c>
    </row>
    <row r="91" spans="1:33">
      <c r="A91">
        <v>90</v>
      </c>
      <c r="B91" s="2">
        <f t="shared" si="1"/>
        <v>44399.340405092633</v>
      </c>
      <c r="C91" t="s">
        <v>65</v>
      </c>
      <c r="D91">
        <v>3</v>
      </c>
      <c r="E91" t="s">
        <v>33</v>
      </c>
      <c r="F91" t="s">
        <v>77</v>
      </c>
      <c r="K91" t="s">
        <v>233</v>
      </c>
      <c r="AA91" t="s">
        <v>171</v>
      </c>
      <c r="AB91" s="1">
        <v>44399.632071759297</v>
      </c>
      <c r="AC91" t="s">
        <v>36</v>
      </c>
      <c r="AD91" s="1">
        <v>44399.632071759297</v>
      </c>
      <c r="AE91" t="s">
        <v>36</v>
      </c>
      <c r="AF91">
        <v>-119.877589442822</v>
      </c>
      <c r="AG91">
        <v>34.419820687783997</v>
      </c>
    </row>
    <row r="92" spans="1:33">
      <c r="A92">
        <v>91</v>
      </c>
      <c r="B92" s="2">
        <f t="shared" si="1"/>
        <v>44399.341562500034</v>
      </c>
      <c r="C92" t="s">
        <v>172</v>
      </c>
      <c r="D92">
        <v>1</v>
      </c>
      <c r="E92" t="s">
        <v>33</v>
      </c>
      <c r="F92" t="s">
        <v>56</v>
      </c>
      <c r="K92" t="s">
        <v>233</v>
      </c>
      <c r="AA92" t="s">
        <v>173</v>
      </c>
      <c r="AB92" s="1">
        <v>44399.633229166699</v>
      </c>
      <c r="AC92" t="s">
        <v>36</v>
      </c>
      <c r="AD92" s="1">
        <v>44399.633229166699</v>
      </c>
      <c r="AE92" t="s">
        <v>36</v>
      </c>
      <c r="AF92">
        <v>-119.877486663875</v>
      </c>
      <c r="AG92">
        <v>34.419377689090503</v>
      </c>
    </row>
    <row r="93" spans="1:33">
      <c r="A93">
        <v>92</v>
      </c>
      <c r="B93" s="2">
        <f t="shared" si="1"/>
        <v>44399.345520833333</v>
      </c>
      <c r="C93" t="s">
        <v>37</v>
      </c>
      <c r="D93">
        <v>4</v>
      </c>
      <c r="E93" t="s">
        <v>33</v>
      </c>
      <c r="F93" t="s">
        <v>38</v>
      </c>
      <c r="H93" t="s">
        <v>174</v>
      </c>
      <c r="I93" t="s">
        <v>175</v>
      </c>
      <c r="K93" t="s">
        <v>233</v>
      </c>
      <c r="AA93" t="s">
        <v>176</v>
      </c>
      <c r="AB93" s="1">
        <v>44399.637187499997</v>
      </c>
      <c r="AC93" t="s">
        <v>36</v>
      </c>
      <c r="AD93" s="1">
        <v>44399.639837962997</v>
      </c>
      <c r="AE93" t="s">
        <v>36</v>
      </c>
      <c r="AF93">
        <v>-119.877527775274</v>
      </c>
      <c r="AG93">
        <v>34.420087758377299</v>
      </c>
    </row>
    <row r="94" spans="1:33">
      <c r="A94">
        <v>93</v>
      </c>
      <c r="B94" s="2">
        <f t="shared" si="1"/>
        <v>44399.347581018534</v>
      </c>
      <c r="C94" t="s">
        <v>45</v>
      </c>
      <c r="D94">
        <v>2</v>
      </c>
      <c r="E94" t="s">
        <v>33</v>
      </c>
      <c r="F94" t="s">
        <v>38</v>
      </c>
      <c r="K94" t="s">
        <v>233</v>
      </c>
      <c r="AA94" t="s">
        <v>177</v>
      </c>
      <c r="AB94" s="1">
        <v>44399.639247685198</v>
      </c>
      <c r="AC94" t="s">
        <v>36</v>
      </c>
      <c r="AD94" s="1">
        <v>44399.639247685198</v>
      </c>
      <c r="AE94" t="s">
        <v>36</v>
      </c>
      <c r="AF94">
        <v>-119.87740957944</v>
      </c>
      <c r="AG94">
        <v>34.419998734940997</v>
      </c>
    </row>
    <row r="95" spans="1:33">
      <c r="A95">
        <v>94</v>
      </c>
      <c r="B95" s="2">
        <f t="shared" si="1"/>
        <v>44399.353900462935</v>
      </c>
      <c r="C95" t="s">
        <v>65</v>
      </c>
      <c r="D95">
        <v>2</v>
      </c>
      <c r="E95" t="s">
        <v>33</v>
      </c>
      <c r="F95" t="s">
        <v>77</v>
      </c>
      <c r="K95" t="s">
        <v>233</v>
      </c>
      <c r="AA95" t="s">
        <v>178</v>
      </c>
      <c r="AB95" s="1">
        <v>44399.645567129599</v>
      </c>
      <c r="AC95" t="s">
        <v>36</v>
      </c>
      <c r="AD95" s="1">
        <v>44399.645567129599</v>
      </c>
      <c r="AE95" t="s">
        <v>36</v>
      </c>
      <c r="AF95">
        <v>-119.879005168845</v>
      </c>
      <c r="AG95">
        <v>34.420824028819098</v>
      </c>
    </row>
    <row r="96" spans="1:33">
      <c r="A96">
        <v>95</v>
      </c>
      <c r="B96" s="2">
        <f t="shared" si="1"/>
        <v>44399.354085648134</v>
      </c>
      <c r="C96" t="s">
        <v>179</v>
      </c>
      <c r="D96">
        <v>1</v>
      </c>
      <c r="E96" t="s">
        <v>33</v>
      </c>
      <c r="F96" t="s">
        <v>49</v>
      </c>
      <c r="K96" t="s">
        <v>233</v>
      </c>
      <c r="AA96" t="s">
        <v>180</v>
      </c>
      <c r="AB96" s="1">
        <v>44399.645752314798</v>
      </c>
      <c r="AC96" t="s">
        <v>36</v>
      </c>
      <c r="AD96" s="1">
        <v>44399.645752314798</v>
      </c>
      <c r="AE96" t="s">
        <v>36</v>
      </c>
      <c r="AF96">
        <v>-119.879308366423</v>
      </c>
      <c r="AG96">
        <v>34.421180118480898</v>
      </c>
    </row>
    <row r="97" spans="1:33">
      <c r="A97">
        <v>96</v>
      </c>
      <c r="B97" s="2">
        <f t="shared" si="1"/>
        <v>44399.354664351835</v>
      </c>
      <c r="C97" t="s">
        <v>109</v>
      </c>
      <c r="D97">
        <v>8</v>
      </c>
      <c r="E97" t="s">
        <v>33</v>
      </c>
      <c r="F97" t="s">
        <v>38</v>
      </c>
      <c r="K97" t="s">
        <v>233</v>
      </c>
      <c r="AA97" t="s">
        <v>181</v>
      </c>
      <c r="AB97" s="1">
        <v>44399.646331018499</v>
      </c>
      <c r="AC97" t="s">
        <v>36</v>
      </c>
      <c r="AD97" s="1">
        <v>44399.651956018497</v>
      </c>
      <c r="AE97" t="s">
        <v>36</v>
      </c>
      <c r="AF97">
        <v>-119.879074544836</v>
      </c>
      <c r="AG97">
        <v>34.421148324822802</v>
      </c>
    </row>
    <row r="98" spans="1:33">
      <c r="A98">
        <v>97</v>
      </c>
      <c r="B98" s="2">
        <f t="shared" si="1"/>
        <v>44399.356168981438</v>
      </c>
      <c r="C98" t="s">
        <v>182</v>
      </c>
      <c r="D98">
        <v>1</v>
      </c>
      <c r="E98" t="s">
        <v>33</v>
      </c>
      <c r="F98" t="s">
        <v>46</v>
      </c>
      <c r="K98" t="s">
        <v>233</v>
      </c>
      <c r="AA98" t="s">
        <v>183</v>
      </c>
      <c r="AB98" s="1">
        <v>44399.647835648102</v>
      </c>
      <c r="AC98" t="s">
        <v>36</v>
      </c>
      <c r="AD98" s="1">
        <v>44399.647835648102</v>
      </c>
      <c r="AE98" t="s">
        <v>36</v>
      </c>
      <c r="AF98">
        <v>-119.87988906886299</v>
      </c>
      <c r="AG98">
        <v>34.420523048076902</v>
      </c>
    </row>
    <row r="99" spans="1:33">
      <c r="A99">
        <v>98</v>
      </c>
      <c r="B99" s="2">
        <f t="shared" si="1"/>
        <v>44399.356469907434</v>
      </c>
      <c r="C99" t="s">
        <v>48</v>
      </c>
      <c r="D99">
        <v>2</v>
      </c>
      <c r="E99" t="s">
        <v>33</v>
      </c>
      <c r="F99" t="s">
        <v>46</v>
      </c>
      <c r="I99" t="s">
        <v>184</v>
      </c>
      <c r="K99" t="s">
        <v>233</v>
      </c>
      <c r="AA99" t="s">
        <v>185</v>
      </c>
      <c r="AB99" s="1">
        <v>44399.648136574098</v>
      </c>
      <c r="AC99" t="s">
        <v>36</v>
      </c>
      <c r="AD99" s="1">
        <v>44399.648136574098</v>
      </c>
      <c r="AE99" t="s">
        <v>36</v>
      </c>
      <c r="AF99">
        <v>-119.87997386174099</v>
      </c>
      <c r="AG99">
        <v>34.420514569949603</v>
      </c>
    </row>
    <row r="100" spans="1:33">
      <c r="A100">
        <v>99</v>
      </c>
      <c r="B100" s="2">
        <f t="shared" si="1"/>
        <v>44399.357569444437</v>
      </c>
      <c r="C100" t="s">
        <v>37</v>
      </c>
      <c r="D100">
        <v>1</v>
      </c>
      <c r="E100" t="s">
        <v>33</v>
      </c>
      <c r="F100" t="s">
        <v>38</v>
      </c>
      <c r="K100" t="s">
        <v>233</v>
      </c>
      <c r="AA100" t="s">
        <v>186</v>
      </c>
      <c r="AB100" s="1">
        <v>44399.649236111101</v>
      </c>
      <c r="AC100" t="s">
        <v>36</v>
      </c>
      <c r="AD100" s="1">
        <v>44399.649236111101</v>
      </c>
      <c r="AE100" t="s">
        <v>36</v>
      </c>
      <c r="AF100">
        <v>-119.88006122380099</v>
      </c>
      <c r="AG100">
        <v>34.420650223588098</v>
      </c>
    </row>
    <row r="101" spans="1:33">
      <c r="A101">
        <v>100</v>
      </c>
      <c r="B101" s="2">
        <f t="shared" si="1"/>
        <v>44399.359027777733</v>
      </c>
      <c r="C101" t="s">
        <v>187</v>
      </c>
      <c r="D101">
        <v>1</v>
      </c>
      <c r="E101" t="s">
        <v>33</v>
      </c>
      <c r="F101" t="s">
        <v>77</v>
      </c>
      <c r="K101" t="s">
        <v>233</v>
      </c>
      <c r="AA101" t="s">
        <v>188</v>
      </c>
      <c r="AB101" s="1">
        <v>44399.650694444397</v>
      </c>
      <c r="AC101" t="s">
        <v>36</v>
      </c>
      <c r="AD101" s="1">
        <v>44399.650694444397</v>
      </c>
      <c r="AE101" t="s">
        <v>36</v>
      </c>
      <c r="AF101">
        <v>-119.88031817161701</v>
      </c>
      <c r="AG101">
        <v>34.420750903446297</v>
      </c>
    </row>
    <row r="102" spans="1:33">
      <c r="A102">
        <v>101</v>
      </c>
      <c r="B102" s="2">
        <f t="shared" si="1"/>
        <v>44399.361041666634</v>
      </c>
      <c r="C102" t="s">
        <v>37</v>
      </c>
      <c r="D102">
        <v>2</v>
      </c>
      <c r="E102" t="s">
        <v>33</v>
      </c>
      <c r="F102" t="s">
        <v>49</v>
      </c>
      <c r="K102" t="s">
        <v>233</v>
      </c>
      <c r="AA102" t="s">
        <v>189</v>
      </c>
      <c r="AB102" s="1">
        <v>44399.652708333299</v>
      </c>
      <c r="AC102" t="s">
        <v>36</v>
      </c>
      <c r="AD102" s="1">
        <v>44399.652708333299</v>
      </c>
      <c r="AE102" t="s">
        <v>36</v>
      </c>
      <c r="AF102">
        <v>-119.880184558896</v>
      </c>
      <c r="AG102">
        <v>34.421297754540497</v>
      </c>
    </row>
    <row r="103" spans="1:33">
      <c r="A103">
        <v>102</v>
      </c>
      <c r="B103" s="2">
        <f t="shared" si="1"/>
        <v>44399.362766203732</v>
      </c>
      <c r="C103" t="s">
        <v>190</v>
      </c>
      <c r="D103">
        <v>1</v>
      </c>
      <c r="E103" t="s">
        <v>33</v>
      </c>
      <c r="F103" t="s">
        <v>56</v>
      </c>
      <c r="K103" t="s">
        <v>233</v>
      </c>
      <c r="AA103" t="s">
        <v>191</v>
      </c>
      <c r="AB103" s="1">
        <v>44399.654432870397</v>
      </c>
      <c r="AC103" t="s">
        <v>36</v>
      </c>
      <c r="AD103" s="1">
        <v>44399.654432870397</v>
      </c>
      <c r="AE103" t="s">
        <v>36</v>
      </c>
      <c r="AF103">
        <v>-119.881789686612</v>
      </c>
      <c r="AG103">
        <v>34.420966350451302</v>
      </c>
    </row>
    <row r="104" spans="1:33">
      <c r="A104">
        <v>103</v>
      </c>
      <c r="B104" s="2">
        <f t="shared" si="1"/>
        <v>44399.363125000033</v>
      </c>
      <c r="C104" t="s">
        <v>192</v>
      </c>
      <c r="D104">
        <v>1</v>
      </c>
      <c r="E104" t="s">
        <v>33</v>
      </c>
      <c r="F104" t="s">
        <v>77</v>
      </c>
      <c r="K104" t="s">
        <v>233</v>
      </c>
      <c r="AA104" t="s">
        <v>193</v>
      </c>
      <c r="AB104" s="1">
        <v>44399.654791666697</v>
      </c>
      <c r="AC104" t="s">
        <v>36</v>
      </c>
      <c r="AD104" s="1">
        <v>44399.654791666697</v>
      </c>
      <c r="AE104" t="s">
        <v>36</v>
      </c>
      <c r="AF104">
        <v>-119.884703743241</v>
      </c>
      <c r="AG104">
        <v>34.421833446764502</v>
      </c>
    </row>
    <row r="105" spans="1:33">
      <c r="A105">
        <v>104</v>
      </c>
      <c r="B105" s="2">
        <f t="shared" si="1"/>
        <v>44399.363923611134</v>
      </c>
      <c r="C105" t="s">
        <v>79</v>
      </c>
      <c r="D105">
        <v>5</v>
      </c>
      <c r="E105" t="s">
        <v>94</v>
      </c>
      <c r="K105" t="s">
        <v>233</v>
      </c>
      <c r="AA105" t="s">
        <v>194</v>
      </c>
      <c r="AB105" s="1">
        <v>44399.655590277798</v>
      </c>
      <c r="AC105" t="s">
        <v>36</v>
      </c>
      <c r="AD105" s="1">
        <v>44399.655590277798</v>
      </c>
      <c r="AE105" t="s">
        <v>36</v>
      </c>
      <c r="AF105">
        <v>-119.881870696685</v>
      </c>
      <c r="AG105">
        <v>34.420762613914299</v>
      </c>
    </row>
    <row r="106" spans="1:33">
      <c r="A106">
        <v>105</v>
      </c>
      <c r="B106" s="2">
        <f t="shared" si="1"/>
        <v>44399.364571759237</v>
      </c>
      <c r="C106" t="s">
        <v>53</v>
      </c>
      <c r="D106">
        <v>1</v>
      </c>
      <c r="E106" t="s">
        <v>33</v>
      </c>
      <c r="F106" t="s">
        <v>46</v>
      </c>
      <c r="K106" t="s">
        <v>233</v>
      </c>
      <c r="AA106" t="s">
        <v>195</v>
      </c>
      <c r="AB106" s="1">
        <v>44399.656238425901</v>
      </c>
      <c r="AC106" t="s">
        <v>36</v>
      </c>
      <c r="AD106" s="1">
        <v>44399.656238425901</v>
      </c>
      <c r="AE106" t="s">
        <v>36</v>
      </c>
      <c r="AF106">
        <v>-119.881720214502</v>
      </c>
      <c r="AG106">
        <v>34.420826179281001</v>
      </c>
    </row>
    <row r="107" spans="1:33">
      <c r="A107">
        <v>106</v>
      </c>
      <c r="B107" s="2">
        <f t="shared" si="1"/>
        <v>44399.365567129636</v>
      </c>
      <c r="C107" t="s">
        <v>48</v>
      </c>
      <c r="D107">
        <v>1</v>
      </c>
      <c r="E107" t="s">
        <v>33</v>
      </c>
      <c r="F107" t="s">
        <v>56</v>
      </c>
      <c r="K107" t="s">
        <v>233</v>
      </c>
      <c r="AA107" t="s">
        <v>196</v>
      </c>
      <c r="AB107" s="1">
        <v>44399.657233796301</v>
      </c>
      <c r="AC107" t="s">
        <v>36</v>
      </c>
      <c r="AD107" s="1">
        <v>44399.657233796301</v>
      </c>
      <c r="AE107" t="s">
        <v>36</v>
      </c>
      <c r="AF107">
        <v>-119.88176368308</v>
      </c>
      <c r="AG107">
        <v>34.421029915663198</v>
      </c>
    </row>
    <row r="108" spans="1:33">
      <c r="A108">
        <v>107</v>
      </c>
      <c r="B108" s="2">
        <f t="shared" si="1"/>
        <v>44399.366458333338</v>
      </c>
      <c r="C108" t="s">
        <v>197</v>
      </c>
      <c r="D108">
        <v>1</v>
      </c>
      <c r="E108" t="s">
        <v>33</v>
      </c>
      <c r="F108" t="s">
        <v>38</v>
      </c>
      <c r="K108" t="s">
        <v>233</v>
      </c>
      <c r="AA108" t="s">
        <v>198</v>
      </c>
      <c r="AB108" s="1">
        <v>44399.658125000002</v>
      </c>
      <c r="AC108" t="s">
        <v>36</v>
      </c>
      <c r="AD108" s="1">
        <v>44399.658125000002</v>
      </c>
      <c r="AE108" t="s">
        <v>36</v>
      </c>
      <c r="AF108">
        <v>-119.881664890856</v>
      </c>
      <c r="AG108">
        <v>34.420989168129999</v>
      </c>
    </row>
    <row r="109" spans="1:33">
      <c r="A109">
        <v>108</v>
      </c>
      <c r="B109" s="2">
        <f t="shared" si="1"/>
        <v>44399.366655092635</v>
      </c>
      <c r="C109" t="s">
        <v>51</v>
      </c>
      <c r="D109">
        <v>1</v>
      </c>
      <c r="E109" t="s">
        <v>33</v>
      </c>
      <c r="F109" t="s">
        <v>77</v>
      </c>
      <c r="K109" t="s">
        <v>233</v>
      </c>
      <c r="AA109" t="s">
        <v>199</v>
      </c>
      <c r="AB109" s="1">
        <v>44399.6583217593</v>
      </c>
      <c r="AC109" t="s">
        <v>36</v>
      </c>
      <c r="AD109" s="1">
        <v>44399.6583217593</v>
      </c>
      <c r="AE109" t="s">
        <v>36</v>
      </c>
      <c r="AF109">
        <v>-119.881836788876</v>
      </c>
      <c r="AG109">
        <v>34.420915823557799</v>
      </c>
    </row>
    <row r="110" spans="1:33">
      <c r="A110">
        <v>109</v>
      </c>
      <c r="B110" s="2">
        <f t="shared" si="1"/>
        <v>44399.367210648139</v>
      </c>
      <c r="C110" t="s">
        <v>96</v>
      </c>
      <c r="D110">
        <v>1</v>
      </c>
      <c r="E110" t="s">
        <v>33</v>
      </c>
      <c r="F110" t="s">
        <v>38</v>
      </c>
      <c r="K110" t="s">
        <v>233</v>
      </c>
      <c r="AA110" t="s">
        <v>200</v>
      </c>
      <c r="AB110" s="1">
        <v>44399.658877314803</v>
      </c>
      <c r="AC110" t="s">
        <v>36</v>
      </c>
      <c r="AD110" s="1">
        <v>44399.658877314803</v>
      </c>
      <c r="AE110" t="s">
        <v>36</v>
      </c>
      <c r="AF110">
        <v>-119.881704407746</v>
      </c>
      <c r="AG110">
        <v>34.420935382215497</v>
      </c>
    </row>
    <row r="111" spans="1:33">
      <c r="A111">
        <v>110</v>
      </c>
      <c r="B111" s="2">
        <f t="shared" si="1"/>
        <v>44399.367349537039</v>
      </c>
      <c r="C111" t="s">
        <v>37</v>
      </c>
      <c r="D111">
        <v>1</v>
      </c>
      <c r="E111" t="s">
        <v>33</v>
      </c>
      <c r="F111" t="s">
        <v>56</v>
      </c>
      <c r="K111" t="s">
        <v>233</v>
      </c>
      <c r="AA111" t="s">
        <v>201</v>
      </c>
      <c r="AB111" s="1">
        <v>44399.659016203703</v>
      </c>
      <c r="AC111" t="s">
        <v>36</v>
      </c>
      <c r="AD111" s="1">
        <v>44399.659016203703</v>
      </c>
      <c r="AE111" t="s">
        <v>36</v>
      </c>
      <c r="AF111">
        <v>-119.88184469225401</v>
      </c>
      <c r="AG111">
        <v>34.421010961704702</v>
      </c>
    </row>
    <row r="112" spans="1:33">
      <c r="A112">
        <v>111</v>
      </c>
      <c r="B112" s="2">
        <f t="shared" si="1"/>
        <v>44399.370486111133</v>
      </c>
      <c r="C112" t="s">
        <v>104</v>
      </c>
      <c r="D112">
        <v>1</v>
      </c>
      <c r="E112" t="s">
        <v>33</v>
      </c>
      <c r="F112" t="s">
        <v>77</v>
      </c>
      <c r="K112" t="s">
        <v>233</v>
      </c>
      <c r="AA112" t="s">
        <v>202</v>
      </c>
      <c r="AB112" s="1">
        <v>44399.662152777797</v>
      </c>
      <c r="AC112" t="s">
        <v>36</v>
      </c>
      <c r="AD112" s="1">
        <v>44399.662152777797</v>
      </c>
      <c r="AE112" t="s">
        <v>36</v>
      </c>
      <c r="AF112">
        <v>-119.88211143170599</v>
      </c>
      <c r="AG112">
        <v>34.420596969514698</v>
      </c>
    </row>
    <row r="113" spans="1:33">
      <c r="A113">
        <v>112</v>
      </c>
      <c r="B113" s="2">
        <f t="shared" si="1"/>
        <v>44399.370775462936</v>
      </c>
      <c r="C113" t="s">
        <v>203</v>
      </c>
      <c r="D113">
        <v>1</v>
      </c>
      <c r="E113" t="s">
        <v>33</v>
      </c>
      <c r="F113" t="s">
        <v>46</v>
      </c>
      <c r="K113" t="s">
        <v>233</v>
      </c>
      <c r="AA113" t="s">
        <v>204</v>
      </c>
      <c r="AB113" s="1">
        <v>44399.6624421296</v>
      </c>
      <c r="AC113" t="s">
        <v>36</v>
      </c>
      <c r="AD113" s="1">
        <v>44399.6624421296</v>
      </c>
      <c r="AE113" t="s">
        <v>36</v>
      </c>
      <c r="AF113">
        <v>-119.88229518569101</v>
      </c>
      <c r="AG113">
        <v>34.420354114504001</v>
      </c>
    </row>
    <row r="114" spans="1:33">
      <c r="A114">
        <v>113</v>
      </c>
      <c r="B114" s="2">
        <f t="shared" si="1"/>
        <v>44399.371701388933</v>
      </c>
      <c r="C114" t="s">
        <v>86</v>
      </c>
      <c r="D114">
        <v>1</v>
      </c>
      <c r="E114" t="s">
        <v>33</v>
      </c>
      <c r="F114" t="s">
        <v>46</v>
      </c>
      <c r="K114" t="s">
        <v>233</v>
      </c>
      <c r="AA114" t="s">
        <v>205</v>
      </c>
      <c r="AB114" s="1">
        <v>44399.663368055597</v>
      </c>
      <c r="AC114" t="s">
        <v>36</v>
      </c>
      <c r="AD114" s="1">
        <v>44399.663368055597</v>
      </c>
      <c r="AE114" t="s">
        <v>36</v>
      </c>
      <c r="AF114">
        <v>-119.88228135433</v>
      </c>
      <c r="AG114">
        <v>34.420489395664397</v>
      </c>
    </row>
    <row r="115" spans="1:33">
      <c r="A115">
        <v>114</v>
      </c>
      <c r="B115" s="2">
        <f t="shared" si="1"/>
        <v>44399.371990740736</v>
      </c>
      <c r="C115" t="s">
        <v>203</v>
      </c>
      <c r="D115">
        <v>3</v>
      </c>
      <c r="E115" t="s">
        <v>33</v>
      </c>
      <c r="F115" t="s">
        <v>77</v>
      </c>
      <c r="K115" t="s">
        <v>233</v>
      </c>
      <c r="AA115" t="s">
        <v>206</v>
      </c>
      <c r="AB115" s="1">
        <v>44399.6636574074</v>
      </c>
      <c r="AC115" t="s">
        <v>36</v>
      </c>
      <c r="AD115" s="1">
        <v>44399.6636574074</v>
      </c>
      <c r="AE115" t="s">
        <v>36</v>
      </c>
      <c r="AF115">
        <v>-119.882301112775</v>
      </c>
      <c r="AG115">
        <v>34.420673574152801</v>
      </c>
    </row>
    <row r="116" spans="1:33">
      <c r="A116">
        <v>115</v>
      </c>
      <c r="B116" s="2">
        <f t="shared" si="1"/>
        <v>44399.372476851837</v>
      </c>
      <c r="C116" t="s">
        <v>61</v>
      </c>
      <c r="D116">
        <v>1</v>
      </c>
      <c r="E116" t="s">
        <v>33</v>
      </c>
      <c r="F116" t="s">
        <v>77</v>
      </c>
      <c r="K116" t="s">
        <v>233</v>
      </c>
      <c r="AA116" t="s">
        <v>207</v>
      </c>
      <c r="AB116" s="1">
        <v>44399.664143518501</v>
      </c>
      <c r="AC116" t="s">
        <v>36</v>
      </c>
      <c r="AD116" s="1">
        <v>44399.664143518501</v>
      </c>
      <c r="AE116" t="s">
        <v>36</v>
      </c>
      <c r="AF116">
        <v>-119.882441398181</v>
      </c>
      <c r="AG116">
        <v>34.421038670140803</v>
      </c>
    </row>
    <row r="117" spans="1:33">
      <c r="A117">
        <v>116</v>
      </c>
      <c r="B117" s="2">
        <f t="shared" si="1"/>
        <v>44399.373333333337</v>
      </c>
      <c r="C117" t="s">
        <v>51</v>
      </c>
      <c r="D117">
        <v>1</v>
      </c>
      <c r="E117" t="s">
        <v>33</v>
      </c>
      <c r="F117" t="s">
        <v>77</v>
      </c>
      <c r="K117" t="s">
        <v>233</v>
      </c>
      <c r="AA117" t="s">
        <v>208</v>
      </c>
      <c r="AB117" s="1">
        <v>44399.665000000001</v>
      </c>
      <c r="AC117" t="s">
        <v>36</v>
      </c>
      <c r="AD117" s="1">
        <v>44399.665000000001</v>
      </c>
      <c r="AE117" t="s">
        <v>36</v>
      </c>
      <c r="AF117">
        <v>-119.88248289136401</v>
      </c>
      <c r="AG117">
        <v>34.420686613296198</v>
      </c>
    </row>
    <row r="118" spans="1:33">
      <c r="A118">
        <v>117</v>
      </c>
      <c r="B118" s="2">
        <f t="shared" si="1"/>
        <v>44399.374930555539</v>
      </c>
      <c r="C118" t="s">
        <v>45</v>
      </c>
      <c r="D118">
        <v>2</v>
      </c>
      <c r="E118" t="s">
        <v>33</v>
      </c>
      <c r="F118" t="s">
        <v>46</v>
      </c>
      <c r="K118" t="s">
        <v>233</v>
      </c>
      <c r="AA118" t="s">
        <v>209</v>
      </c>
      <c r="AB118" s="1">
        <v>44399.666597222204</v>
      </c>
      <c r="AC118" t="s">
        <v>36</v>
      </c>
      <c r="AD118" s="1">
        <v>44399.666597222204</v>
      </c>
      <c r="AE118" t="s">
        <v>36</v>
      </c>
      <c r="AF118">
        <v>-119.882846446746</v>
      </c>
      <c r="AG118">
        <v>34.420634456710403</v>
      </c>
    </row>
    <row r="119" spans="1:33">
      <c r="A119">
        <v>118</v>
      </c>
      <c r="B119" s="2">
        <f t="shared" si="1"/>
        <v>44399.375127314837</v>
      </c>
      <c r="C119" t="s">
        <v>37</v>
      </c>
      <c r="D119">
        <v>5</v>
      </c>
      <c r="E119" t="s">
        <v>33</v>
      </c>
      <c r="F119" t="s">
        <v>38</v>
      </c>
      <c r="K119" t="s">
        <v>233</v>
      </c>
      <c r="AA119" t="s">
        <v>210</v>
      </c>
      <c r="AB119" s="1">
        <v>44399.666793981502</v>
      </c>
      <c r="AC119" t="s">
        <v>36</v>
      </c>
      <c r="AD119" s="1">
        <v>44399.667453703703</v>
      </c>
      <c r="AE119" t="s">
        <v>36</v>
      </c>
      <c r="AF119">
        <v>-119.88287015688</v>
      </c>
      <c r="AG119">
        <v>34.420802335975402</v>
      </c>
    </row>
    <row r="120" spans="1:33">
      <c r="A120">
        <v>119</v>
      </c>
      <c r="B120" s="2">
        <f t="shared" si="1"/>
        <v>44399.376539351833</v>
      </c>
      <c r="C120" t="s">
        <v>86</v>
      </c>
      <c r="D120">
        <v>2</v>
      </c>
      <c r="E120" t="s">
        <v>33</v>
      </c>
      <c r="F120" t="s">
        <v>38</v>
      </c>
      <c r="K120" t="s">
        <v>233</v>
      </c>
      <c r="AA120" t="s">
        <v>211</v>
      </c>
      <c r="AB120" s="1">
        <v>44399.668206018498</v>
      </c>
      <c r="AC120" t="s">
        <v>36</v>
      </c>
      <c r="AD120" s="1">
        <v>44399.668206018498</v>
      </c>
      <c r="AE120" t="s">
        <v>36</v>
      </c>
      <c r="AF120">
        <v>-119.883313219453</v>
      </c>
      <c r="AG120">
        <v>34.420603489092699</v>
      </c>
    </row>
    <row r="121" spans="1:33">
      <c r="A121">
        <v>120</v>
      </c>
      <c r="B121" s="2">
        <f t="shared" si="1"/>
        <v>44399.376851851834</v>
      </c>
      <c r="C121" t="s">
        <v>109</v>
      </c>
      <c r="D121">
        <v>3</v>
      </c>
      <c r="E121" t="s">
        <v>33</v>
      </c>
      <c r="F121" t="s">
        <v>49</v>
      </c>
      <c r="K121" t="s">
        <v>233</v>
      </c>
      <c r="AA121" t="s">
        <v>212</v>
      </c>
      <c r="AB121" s="1">
        <v>44399.668518518498</v>
      </c>
      <c r="AC121" t="s">
        <v>36</v>
      </c>
      <c r="AD121" s="1">
        <v>44399.6703935185</v>
      </c>
      <c r="AE121" t="s">
        <v>36</v>
      </c>
      <c r="AF121">
        <v>-119.883423866743</v>
      </c>
      <c r="AG121">
        <v>34.420761588331402</v>
      </c>
    </row>
    <row r="122" spans="1:33">
      <c r="A122">
        <v>121</v>
      </c>
      <c r="B122" s="2">
        <f t="shared" si="1"/>
        <v>44399.377013888938</v>
      </c>
      <c r="C122" t="s">
        <v>213</v>
      </c>
      <c r="D122">
        <v>1</v>
      </c>
      <c r="E122" t="s">
        <v>33</v>
      </c>
      <c r="F122" t="s">
        <v>56</v>
      </c>
      <c r="K122" t="s">
        <v>233</v>
      </c>
      <c r="AA122" t="s">
        <v>214</v>
      </c>
      <c r="AB122" s="1">
        <v>44399.668680555602</v>
      </c>
      <c r="AC122" t="s">
        <v>36</v>
      </c>
      <c r="AD122" s="1">
        <v>44399.668680555602</v>
      </c>
      <c r="AE122" t="s">
        <v>36</v>
      </c>
      <c r="AF122">
        <v>-119.884245819838</v>
      </c>
      <c r="AG122">
        <v>34.420640976285398</v>
      </c>
    </row>
    <row r="123" spans="1:33">
      <c r="A123">
        <v>122</v>
      </c>
      <c r="B123" s="2">
        <f t="shared" si="1"/>
        <v>44399.377581018533</v>
      </c>
      <c r="C123" t="s">
        <v>37</v>
      </c>
      <c r="D123">
        <v>5</v>
      </c>
      <c r="E123" t="s">
        <v>33</v>
      </c>
      <c r="F123" t="s">
        <v>38</v>
      </c>
      <c r="K123" t="s">
        <v>233</v>
      </c>
      <c r="AA123" t="s">
        <v>215</v>
      </c>
      <c r="AB123" s="1">
        <v>44399.669247685197</v>
      </c>
      <c r="AC123" t="s">
        <v>36</v>
      </c>
      <c r="AD123" s="1">
        <v>44399.669247685197</v>
      </c>
      <c r="AE123" t="s">
        <v>36</v>
      </c>
      <c r="AF123">
        <v>-119.883868433096</v>
      </c>
      <c r="AG123">
        <v>34.420869161831497</v>
      </c>
    </row>
    <row r="124" spans="1:33">
      <c r="A124">
        <v>123</v>
      </c>
      <c r="B124" s="2">
        <f t="shared" si="1"/>
        <v>44399.379074074037</v>
      </c>
      <c r="C124" t="s">
        <v>90</v>
      </c>
      <c r="D124">
        <v>2</v>
      </c>
      <c r="E124" t="s">
        <v>33</v>
      </c>
      <c r="F124" t="s">
        <v>56</v>
      </c>
      <c r="K124" t="s">
        <v>233</v>
      </c>
      <c r="AA124" t="s">
        <v>216</v>
      </c>
      <c r="AB124" s="1">
        <v>44399.670740740701</v>
      </c>
      <c r="AC124" t="s">
        <v>36</v>
      </c>
      <c r="AD124" s="1">
        <v>44399.670740740701</v>
      </c>
      <c r="AE124" t="s">
        <v>36</v>
      </c>
      <c r="AF124">
        <v>-119.88481288764901</v>
      </c>
      <c r="AG124">
        <v>34.420929467341203</v>
      </c>
    </row>
    <row r="125" spans="1:33">
      <c r="A125">
        <v>124</v>
      </c>
      <c r="B125" s="2">
        <f t="shared" si="1"/>
        <v>44399.379386574037</v>
      </c>
      <c r="C125" t="s">
        <v>155</v>
      </c>
      <c r="D125">
        <v>1</v>
      </c>
      <c r="E125" t="s">
        <v>33</v>
      </c>
      <c r="F125" t="s">
        <v>59</v>
      </c>
      <c r="K125" t="s">
        <v>233</v>
      </c>
      <c r="AA125" t="s">
        <v>217</v>
      </c>
      <c r="AB125" s="1">
        <v>44399.671053240701</v>
      </c>
      <c r="AC125" t="s">
        <v>36</v>
      </c>
      <c r="AD125" s="1">
        <v>44399.671053240701</v>
      </c>
      <c r="AE125" t="s">
        <v>36</v>
      </c>
      <c r="AF125">
        <v>-119.88293780900401</v>
      </c>
      <c r="AG125">
        <v>34.420458427992898</v>
      </c>
    </row>
    <row r="126" spans="1:33">
      <c r="A126">
        <v>125</v>
      </c>
      <c r="B126" s="2">
        <f t="shared" si="1"/>
        <v>44399.381319444437</v>
      </c>
      <c r="C126" t="s">
        <v>86</v>
      </c>
      <c r="D126">
        <v>2</v>
      </c>
      <c r="E126" t="s">
        <v>33</v>
      </c>
      <c r="F126" t="s">
        <v>49</v>
      </c>
      <c r="K126" t="s">
        <v>233</v>
      </c>
      <c r="AA126" t="s">
        <v>218</v>
      </c>
      <c r="AB126" s="1">
        <v>44399.672986111102</v>
      </c>
      <c r="AC126" t="s">
        <v>36</v>
      </c>
      <c r="AD126" s="1">
        <v>44399.672986111102</v>
      </c>
      <c r="AE126" t="s">
        <v>36</v>
      </c>
      <c r="AF126">
        <v>-119.88338830154299</v>
      </c>
      <c r="AG126">
        <v>34.421172320680803</v>
      </c>
    </row>
    <row r="127" spans="1:33">
      <c r="A127">
        <v>126</v>
      </c>
      <c r="B127" s="2">
        <f t="shared" si="1"/>
        <v>44399.382789351839</v>
      </c>
      <c r="C127" t="s">
        <v>203</v>
      </c>
      <c r="D127">
        <v>1</v>
      </c>
      <c r="E127" t="s">
        <v>33</v>
      </c>
      <c r="F127" t="s">
        <v>56</v>
      </c>
      <c r="K127" t="s">
        <v>233</v>
      </c>
      <c r="AA127" t="s">
        <v>219</v>
      </c>
      <c r="AB127" s="1">
        <v>44399.674456018503</v>
      </c>
      <c r="AC127" t="s">
        <v>36</v>
      </c>
      <c r="AD127" s="1">
        <v>44399.674456018503</v>
      </c>
      <c r="AE127" t="s">
        <v>36</v>
      </c>
      <c r="AF127">
        <v>-119.884820791027</v>
      </c>
      <c r="AG127">
        <v>34.421108754836098</v>
      </c>
    </row>
    <row r="128" spans="1:33">
      <c r="A128">
        <v>127</v>
      </c>
      <c r="B128" s="2">
        <f t="shared" si="1"/>
        <v>44399.382951388936</v>
      </c>
      <c r="C128" t="s">
        <v>45</v>
      </c>
      <c r="D128">
        <v>2</v>
      </c>
      <c r="E128" t="s">
        <v>33</v>
      </c>
      <c r="F128" t="s">
        <v>38</v>
      </c>
      <c r="K128" t="s">
        <v>233</v>
      </c>
      <c r="AA128" t="s">
        <v>220</v>
      </c>
      <c r="AB128" s="1">
        <v>44399.6746180556</v>
      </c>
      <c r="AC128" t="s">
        <v>36</v>
      </c>
      <c r="AD128" s="1">
        <v>44399.6746180556</v>
      </c>
      <c r="AE128" t="s">
        <v>36</v>
      </c>
      <c r="AF128">
        <v>-119.884540221113</v>
      </c>
      <c r="AG128">
        <v>34.421131573216996</v>
      </c>
    </row>
    <row r="129" spans="1:33">
      <c r="A129">
        <v>128</v>
      </c>
      <c r="B129" s="2">
        <f t="shared" si="1"/>
        <v>44399.383715277734</v>
      </c>
      <c r="C129" t="s">
        <v>86</v>
      </c>
      <c r="D129">
        <v>2</v>
      </c>
      <c r="E129" t="s">
        <v>33</v>
      </c>
      <c r="F129" t="s">
        <v>38</v>
      </c>
      <c r="K129" t="s">
        <v>233</v>
      </c>
      <c r="AA129" t="s">
        <v>221</v>
      </c>
      <c r="AB129" s="1">
        <v>44399.675381944398</v>
      </c>
      <c r="AC129" t="s">
        <v>36</v>
      </c>
      <c r="AD129" s="1">
        <v>44399.675381944398</v>
      </c>
      <c r="AE129" t="s">
        <v>36</v>
      </c>
      <c r="AF129">
        <v>-119.88470816744299</v>
      </c>
      <c r="AG129">
        <v>34.4212098083595</v>
      </c>
    </row>
    <row r="130" spans="1:33">
      <c r="A130">
        <v>129</v>
      </c>
      <c r="B130" s="2">
        <f t="shared" si="1"/>
        <v>44399.385034722232</v>
      </c>
      <c r="C130" t="s">
        <v>203</v>
      </c>
      <c r="D130">
        <v>2</v>
      </c>
      <c r="E130" t="s">
        <v>33</v>
      </c>
      <c r="F130" t="s">
        <v>56</v>
      </c>
      <c r="H130" t="s">
        <v>174</v>
      </c>
      <c r="K130" t="s">
        <v>233</v>
      </c>
      <c r="AA130" t="s">
        <v>222</v>
      </c>
      <c r="AB130" s="1">
        <v>44399.676701388897</v>
      </c>
      <c r="AC130" t="s">
        <v>36</v>
      </c>
      <c r="AD130" s="1">
        <v>44399.676701388897</v>
      </c>
      <c r="AE130" t="s">
        <v>36</v>
      </c>
      <c r="AF130">
        <v>-119.884666675159</v>
      </c>
      <c r="AG130">
        <v>34.421050078971</v>
      </c>
    </row>
    <row r="131" spans="1:33">
      <c r="A131">
        <v>130</v>
      </c>
      <c r="B131" s="2">
        <f t="shared" ref="B131:B135" si="2">AB131-(7/24)</f>
        <v>44399.389502314836</v>
      </c>
      <c r="C131" t="s">
        <v>43</v>
      </c>
      <c r="D131">
        <v>2</v>
      </c>
      <c r="E131" t="s">
        <v>33</v>
      </c>
      <c r="F131" t="s">
        <v>46</v>
      </c>
      <c r="K131" t="s">
        <v>233</v>
      </c>
      <c r="AA131" t="s">
        <v>223</v>
      </c>
      <c r="AB131" s="1">
        <v>44399.6811689815</v>
      </c>
      <c r="AC131" t="s">
        <v>36</v>
      </c>
      <c r="AD131" s="1">
        <v>44399.6811689815</v>
      </c>
      <c r="AE131" t="s">
        <v>36</v>
      </c>
      <c r="AF131">
        <v>-119.883900183151</v>
      </c>
      <c r="AG131">
        <v>34.421546233384198</v>
      </c>
    </row>
    <row r="132" spans="1:33">
      <c r="A132">
        <v>131</v>
      </c>
      <c r="B132" s="2">
        <f t="shared" si="2"/>
        <v>44399.389803240738</v>
      </c>
      <c r="C132" t="s">
        <v>53</v>
      </c>
      <c r="D132">
        <v>1</v>
      </c>
      <c r="E132" t="s">
        <v>33</v>
      </c>
      <c r="F132" t="s">
        <v>77</v>
      </c>
      <c r="K132" t="s">
        <v>233</v>
      </c>
      <c r="AA132" t="s">
        <v>224</v>
      </c>
      <c r="AB132" s="1">
        <v>44399.681469907402</v>
      </c>
      <c r="AC132" t="s">
        <v>36</v>
      </c>
      <c r="AD132" s="1">
        <v>44399.681469907402</v>
      </c>
      <c r="AE132" t="s">
        <v>36</v>
      </c>
      <c r="AF132">
        <v>-119.885090986298</v>
      </c>
      <c r="AG132">
        <v>34.421522745233197</v>
      </c>
    </row>
    <row r="133" spans="1:33">
      <c r="A133">
        <v>132</v>
      </c>
      <c r="B133" s="2">
        <f t="shared" si="2"/>
        <v>44399.390601851839</v>
      </c>
      <c r="C133" t="s">
        <v>55</v>
      </c>
      <c r="D133">
        <v>1</v>
      </c>
      <c r="E133" t="s">
        <v>33</v>
      </c>
      <c r="F133" t="s">
        <v>56</v>
      </c>
      <c r="K133" t="s">
        <v>233</v>
      </c>
      <c r="M133" t="s">
        <v>225</v>
      </c>
      <c r="T133">
        <v>75</v>
      </c>
      <c r="U133">
        <v>15</v>
      </c>
      <c r="V133" t="s">
        <v>226</v>
      </c>
      <c r="W133" t="s">
        <v>227</v>
      </c>
      <c r="AA133" t="s">
        <v>228</v>
      </c>
      <c r="AB133" s="1">
        <v>44399.682268518503</v>
      </c>
      <c r="AC133" t="s">
        <v>36</v>
      </c>
      <c r="AD133" s="1">
        <v>44399.6875</v>
      </c>
      <c r="AE133" t="s">
        <v>36</v>
      </c>
      <c r="AF133">
        <v>-119.883500429256</v>
      </c>
      <c r="AG133">
        <v>34.421721590670799</v>
      </c>
    </row>
    <row r="134" spans="1:33">
      <c r="A134">
        <v>133</v>
      </c>
      <c r="B134" s="2">
        <f t="shared" si="2"/>
        <v>44399.397974537038</v>
      </c>
      <c r="C134" t="s">
        <v>63</v>
      </c>
      <c r="D134">
        <v>2</v>
      </c>
      <c r="E134" t="s">
        <v>33</v>
      </c>
      <c r="F134" t="s">
        <v>56</v>
      </c>
      <c r="K134" t="s">
        <v>233</v>
      </c>
      <c r="AA134" t="s">
        <v>229</v>
      </c>
      <c r="AB134" s="1">
        <v>44399.689641203702</v>
      </c>
      <c r="AC134" t="s">
        <v>36</v>
      </c>
      <c r="AD134" s="1">
        <v>44399.689641203702</v>
      </c>
      <c r="AE134" t="s">
        <v>36</v>
      </c>
      <c r="AF134">
        <v>-119.88240587699801</v>
      </c>
      <c r="AG134">
        <v>34.421720545833203</v>
      </c>
    </row>
    <row r="135" spans="1:33">
      <c r="A135">
        <v>134</v>
      </c>
      <c r="B135" s="2">
        <f t="shared" si="2"/>
        <v>44399.399907407438</v>
      </c>
      <c r="C135" t="s">
        <v>182</v>
      </c>
      <c r="D135">
        <v>1</v>
      </c>
      <c r="E135" t="s">
        <v>33</v>
      </c>
      <c r="F135" t="s">
        <v>34</v>
      </c>
      <c r="K135" t="s">
        <v>233</v>
      </c>
      <c r="AA135" t="s">
        <v>230</v>
      </c>
      <c r="AB135" s="1">
        <v>44399.691574074102</v>
      </c>
      <c r="AC135" t="s">
        <v>36</v>
      </c>
      <c r="AD135" s="1">
        <v>44399.691574074102</v>
      </c>
      <c r="AE135" t="s">
        <v>36</v>
      </c>
      <c r="AF135">
        <v>-119.878553909145</v>
      </c>
      <c r="AG135">
        <v>34.421327582948599</v>
      </c>
    </row>
  </sheetData>
  <autoFilter ref="A1:AG1"/>
  <pageMargins left="0.75" right="0.75" top="0.75" bottom="0.5" header="0.5" footer="0.7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NCOS_Bird_Survey_Data_2021__0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Darwin Richardson</cp:lastModifiedBy>
  <dcterms:created xsi:type="dcterms:W3CDTF">2021-07-23T16:25:14Z</dcterms:created>
  <dcterms:modified xsi:type="dcterms:W3CDTF">2021-08-19T17:02:45Z</dcterms:modified>
</cp:coreProperties>
</file>