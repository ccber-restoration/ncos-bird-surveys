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7729"/>
  <workbookPr codeName="ThisWorkbook" autoCompressPictures="0"/>
  <bookViews>
    <workbookView xWindow="6640" yWindow="400" windowWidth="26900" windowHeight="21620"/>
  </bookViews>
  <sheets>
    <sheet name="Pivot Table" sheetId="5" r:id="rId1"/>
    <sheet name="NCOS Bird Survey Data 20210525" sheetId="2" r:id="rId2"/>
  </sheets>
  <definedNames>
    <definedName name="_xlnm._FilterDatabase" localSheetId="1" hidden="1">'NCOS Bird Survey Data 20210525'!$A$1:$AH$166</definedName>
  </definedNames>
  <calcPr calcId="140001" concurrentCalc="0"/>
  <pivotCaches>
    <pivotCache cacheId="60" r:id="rId3"/>
  </pivotCaches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38" i="2" l="1"/>
  <c r="C45" i="2"/>
  <c r="C134" i="2"/>
  <c r="C12" i="2"/>
  <c r="C98" i="2"/>
  <c r="C72" i="2"/>
  <c r="C2" i="2"/>
  <c r="C3" i="2"/>
  <c r="C99" i="2"/>
  <c r="C157" i="2"/>
  <c r="C39" i="2"/>
  <c r="C96" i="2"/>
  <c r="C46" i="2"/>
  <c r="C164" i="2"/>
  <c r="C135" i="2"/>
  <c r="C73" i="2"/>
  <c r="C97" i="2"/>
  <c r="C122" i="2"/>
  <c r="C100" i="2"/>
  <c r="C92" i="2"/>
  <c r="C44" i="2"/>
  <c r="C153" i="2"/>
  <c r="C74" i="2"/>
  <c r="C155" i="2"/>
  <c r="C93" i="2"/>
  <c r="C94" i="2"/>
  <c r="C47" i="2"/>
  <c r="C75" i="2"/>
  <c r="C13" i="2"/>
  <c r="C19" i="2"/>
  <c r="C76" i="2"/>
  <c r="C136" i="2"/>
  <c r="C95" i="2"/>
  <c r="C165" i="2"/>
  <c r="C51" i="2"/>
  <c r="C20" i="2"/>
  <c r="C126" i="2"/>
  <c r="C137" i="2"/>
  <c r="C69" i="2"/>
  <c r="C77" i="2"/>
  <c r="C52" i="2"/>
  <c r="C48" i="2"/>
  <c r="C78" i="2"/>
  <c r="C123" i="2"/>
  <c r="C40" i="2"/>
  <c r="C53" i="2"/>
  <c r="C138" i="2"/>
  <c r="C124" i="2"/>
  <c r="C118" i="2"/>
  <c r="C119" i="2"/>
  <c r="C120" i="2"/>
  <c r="C139" i="2"/>
  <c r="C127" i="2"/>
  <c r="C154" i="2"/>
  <c r="C79" i="2"/>
  <c r="C34" i="2"/>
  <c r="C104" i="2"/>
  <c r="C32" i="2"/>
  <c r="C60" i="2"/>
  <c r="C158" i="2"/>
  <c r="C21" i="2"/>
  <c r="C140" i="2"/>
  <c r="C132" i="2"/>
  <c r="C128" i="2"/>
  <c r="C105" i="2"/>
  <c r="C89" i="2"/>
  <c r="C4" i="2"/>
  <c r="C42" i="2"/>
  <c r="C106" i="2"/>
  <c r="C62" i="2"/>
  <c r="C29" i="2"/>
  <c r="C35" i="2"/>
  <c r="C107" i="2"/>
  <c r="C33" i="2"/>
  <c r="C17" i="2"/>
  <c r="C159" i="2"/>
  <c r="C141" i="2"/>
  <c r="C14" i="2"/>
  <c r="C22" i="2"/>
  <c r="C115" i="2"/>
  <c r="C5" i="2"/>
  <c r="C142" i="2"/>
  <c r="C49" i="2"/>
  <c r="C80" i="2"/>
  <c r="C41" i="2"/>
  <c r="C63" i="2"/>
  <c r="C108" i="2"/>
  <c r="C18" i="2"/>
  <c r="C109" i="2"/>
  <c r="C6" i="2"/>
  <c r="C129" i="2"/>
  <c r="C116" i="2"/>
  <c r="C125" i="2"/>
  <c r="C81" i="2"/>
  <c r="C7" i="2"/>
  <c r="C143" i="2"/>
  <c r="C23" i="2"/>
  <c r="C160" i="2"/>
  <c r="C82" i="2"/>
  <c r="C117" i="2"/>
  <c r="C161" i="2"/>
  <c r="C144" i="2"/>
  <c r="C8" i="2"/>
  <c r="C83" i="2"/>
  <c r="C36" i="2"/>
  <c r="C84" i="2"/>
  <c r="C50" i="2"/>
  <c r="C85" i="2"/>
  <c r="C15" i="2"/>
  <c r="C54" i="2"/>
  <c r="C145" i="2"/>
  <c r="C131" i="2"/>
  <c r="C156" i="2"/>
  <c r="C30" i="2"/>
  <c r="C110" i="2"/>
  <c r="C101" i="2"/>
  <c r="C146" i="2"/>
  <c r="C24" i="2"/>
  <c r="C68" i="2"/>
  <c r="C64" i="2"/>
  <c r="C162" i="2"/>
  <c r="C55" i="2"/>
  <c r="C9" i="2"/>
  <c r="C102" i="2"/>
  <c r="C163" i="2"/>
  <c r="C37" i="2"/>
  <c r="C25" i="2"/>
  <c r="C61" i="2"/>
  <c r="C31" i="2"/>
  <c r="C10" i="2"/>
  <c r="C16" i="2"/>
  <c r="C147" i="2"/>
  <c r="C148" i="2"/>
  <c r="C133" i="2"/>
  <c r="C11" i="2"/>
  <c r="C114" i="2"/>
  <c r="C26" i="2"/>
  <c r="C111" i="2"/>
  <c r="C65" i="2"/>
  <c r="C43" i="2"/>
  <c r="C166" i="2"/>
  <c r="C66" i="2"/>
  <c r="C27" i="2"/>
  <c r="C149" i="2"/>
  <c r="C86" i="2"/>
  <c r="C150" i="2"/>
  <c r="C121" i="2"/>
  <c r="C103" i="2"/>
  <c r="C112" i="2"/>
  <c r="C87" i="2"/>
  <c r="C56" i="2"/>
  <c r="C88" i="2"/>
  <c r="C113" i="2"/>
  <c r="C151" i="2"/>
  <c r="C28" i="2"/>
  <c r="C57" i="2"/>
  <c r="C70" i="2"/>
  <c r="C67" i="2"/>
  <c r="C90" i="2"/>
  <c r="C130" i="2"/>
  <c r="C152" i="2"/>
  <c r="C58" i="2"/>
  <c r="C71" i="2"/>
  <c r="C59" i="2"/>
  <c r="C91" i="2"/>
</calcChain>
</file>

<file path=xl/sharedStrings.xml><?xml version="1.0" encoding="utf-8"?>
<sst xmlns="http://schemas.openxmlformats.org/spreadsheetml/2006/main" count="1288" uniqueCount="296">
  <si>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</si>
  <si>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</si>
  <si>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</si>
  <si>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</si>
  <si>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</si>
  <si>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</si>
  <si>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</si>
  <si>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</si>
  <si>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</si>
  <si>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</si>
  <si>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</si>
  <si>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</si>
  <si>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</si>
  <si>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</si>
  <si>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</si>
  <si>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</si>
  <si>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</si>
  <si>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</si>
  <si>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</si>
  <si>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</si>
  <si>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</si>
  <si>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</si>
  <si>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</si>
  <si>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</si>
  <si>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</si>
  <si>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GlobalID</t>
  </si>
  <si>
    <t>CreationDate</t>
  </si>
  <si>
    <t>Creator</t>
  </si>
  <si>
    <t>EditDate</t>
  </si>
  <si>
    <t>Editor</t>
  </si>
  <si>
    <t>x</t>
  </si>
  <si>
    <t>y</t>
  </si>
  <si>
    <t>Killdeer</t>
  </si>
  <si>
    <t>No</t>
  </si>
  <si>
    <t>Bare ground</t>
  </si>
  <si>
    <t>a7f03fa8-f547-494d-bfe4-3dfc0a66b326</t>
  </si>
  <si>
    <t>ccber_user</t>
  </si>
  <si>
    <t>California Towhee</t>
  </si>
  <si>
    <t>9091556b-2a77-47c6-80bf-aee607c518aa</t>
  </si>
  <si>
    <t>Cliff Swallow</t>
  </si>
  <si>
    <t>Air</t>
  </si>
  <si>
    <t>c01bcfa1-ef1d-4f38-93a5-42cb2d4b2264</t>
  </si>
  <si>
    <t>Song Sparrow</t>
  </si>
  <si>
    <t>Vegetation - Tree</t>
  </si>
  <si>
    <t>6db13be0-bc52-4b46-9cc4-0ca9c095934e</t>
  </si>
  <si>
    <t>Anna's Hummingbird</t>
  </si>
  <si>
    <t>10cad3e6-43a3-4e54-9b88-0a1942011101</t>
  </si>
  <si>
    <t>Lesser Goldfinch</t>
  </si>
  <si>
    <t>8fddd884-2194-4c93-a16d-5abbb419de45</t>
  </si>
  <si>
    <t>House Finch</t>
  </si>
  <si>
    <t>4ae00a7c-568b-4455-8c30-0e9b99b2f5e8</t>
  </si>
  <si>
    <t>American Crow</t>
  </si>
  <si>
    <t>9b8e72b5-aadf-48af-93ca-d53444472e38</t>
  </si>
  <si>
    <t>31486ee1-68a1-4959-b499-036733130f93</t>
  </si>
  <si>
    <t>Vegetation - Herbaceous</t>
  </si>
  <si>
    <t>552efb04-9eac-4023-992e-b097baafebd2</t>
  </si>
  <si>
    <t>Western Bluebird</t>
  </si>
  <si>
    <t>881eacfc-9b3a-471f-add1-bd49185d530e</t>
  </si>
  <si>
    <t>Fence</t>
  </si>
  <si>
    <t>461b4a90-98df-4716-a528-c341e45ab4f5</t>
  </si>
  <si>
    <t>Lark Sparrow</t>
  </si>
  <si>
    <t>9b4ae401-9422-4ca4-be0e-1510c37c16c4</t>
  </si>
  <si>
    <t>d9d9a7e2-81a7-428f-9038-f2ca2351c740</t>
  </si>
  <si>
    <t>White-tailed Kite</t>
  </si>
  <si>
    <t>Flyover</t>
  </si>
  <si>
    <t>a4876adc-5cf4-4a2a-927d-66053d324f6b</t>
  </si>
  <si>
    <t>f82fc104-c869-4115-93ea-e6e3570311bf</t>
  </si>
  <si>
    <t>e09ee9e0-0358-4550-b687-63f39a381787</t>
  </si>
  <si>
    <t>81d01ed3-5d23-4359-a206-4dcc1156581f</t>
  </si>
  <si>
    <t>Red-winged Blackbird</t>
  </si>
  <si>
    <t>12251c94-4fe4-443f-9b62-b8d6954096d6</t>
  </si>
  <si>
    <t>9842c0bf-7851-4863-bc9d-4f2ca1d60777</t>
  </si>
  <si>
    <t>f9b2cdd9-1cf4-46c2-9aba-dd6a1f3dc3b6</t>
  </si>
  <si>
    <t>Cassin's Kingbird</t>
  </si>
  <si>
    <t>81e01ba8-bacb-48e8-9e18-ccf4c65bdea9</t>
  </si>
  <si>
    <t>Spotted Towhee</t>
  </si>
  <si>
    <t>3745a362-e9ff-4140-842f-922789d5a20a</t>
  </si>
  <si>
    <t>Vegetation - Shrub</t>
  </si>
  <si>
    <t>36a0be6d-72af-4447-9ad0-8f837657eab1</t>
  </si>
  <si>
    <t>Turkey Vulture</t>
  </si>
  <si>
    <t>ac1346e3-3e42-4a30-bf2e-ccf1c6a92f7b</t>
  </si>
  <si>
    <t xml:space="preserve">7am </t>
  </si>
  <si>
    <t>af86f1c5-90ec-4d7a-b2c3-1a51425f875d</t>
  </si>
  <si>
    <t>89c2f964-06ac-4de0-a370-0b0628afd8a9</t>
  </si>
  <si>
    <t>4640d59d-5694-4341-8d9e-fc1c48b455a3</t>
  </si>
  <si>
    <t>9b443586-366f-4b40-a50e-b42f4d0ccdbe</t>
  </si>
  <si>
    <t>12b94d9f-2ad8-4877-8cf3-fbdb88e74fee</t>
  </si>
  <si>
    <t>Black Phoebe</t>
  </si>
  <si>
    <t>3ddc143c-f2e0-4e28-9b32-6fe052c29ab3</t>
  </si>
  <si>
    <t>36fc42da-ca36-43a6-96e4-8a7755763c7d</t>
  </si>
  <si>
    <t>6e241dde-3768-43d7-af5e-8fd0b6dcad33</t>
  </si>
  <si>
    <t>a8b8cf95-777a-4438-a106-f0ea10101084</t>
  </si>
  <si>
    <t>be7a8a12-0cab-47ff-bd8e-039b90351601</t>
  </si>
  <si>
    <t>Common Yellowthroat</t>
  </si>
  <si>
    <t>7bba33a0-b55d-47ae-b0f5-fd37a9b58125</t>
  </si>
  <si>
    <t>Habitat Feature - Log</t>
  </si>
  <si>
    <t>1238bf7e-5f23-4c05-b00f-b0a9e5200743</t>
  </si>
  <si>
    <t>Say's Phoebe</t>
  </si>
  <si>
    <t>b28d8bbf-5f72-4fc1-a85b-61c6cd5b9b17</t>
  </si>
  <si>
    <t>a4cfe428-8fd6-402f-bbdf-c7ea69efc4b4</t>
  </si>
  <si>
    <t>Great Egret</t>
  </si>
  <si>
    <t>51987943-eadf-4f04-a616-770748d751f0</t>
  </si>
  <si>
    <t>b4c9d0d1-97cd-4f65-bd0e-87b0027cba8e</t>
  </si>
  <si>
    <t>8a56603a-fddf-43a9-be20-055d3352a494</t>
  </si>
  <si>
    <t>Other</t>
  </si>
  <si>
    <t>Nest Building</t>
  </si>
  <si>
    <t>house</t>
  </si>
  <si>
    <t>8671926d-2147-4053-ac5f-635629b90cce</t>
  </si>
  <si>
    <t>81c4ed98-2e57-4674-b6c8-cba9ec89456e</t>
  </si>
  <si>
    <t>82a5ea6d-7742-44d6-8a3c-5b245f18b489</t>
  </si>
  <si>
    <t>6764d66c-84f6-4c3f-9678-4f6fa519de9c</t>
  </si>
  <si>
    <t>719c7bce-605e-456c-8026-055a710f6a08</t>
  </si>
  <si>
    <t>410c0d3d-4c0e-4256-a555-7f1429535518</t>
  </si>
  <si>
    <t>456eda5c-bbf2-4973-93b8-a6cde9d5b01a</t>
  </si>
  <si>
    <t>Red-tailed Hawk</t>
  </si>
  <si>
    <t>1bac547f-a409-4842-97ac-921d65e093fe</t>
  </si>
  <si>
    <t>fec27520-e92e-471f-9941-94938e79c9b0</t>
  </si>
  <si>
    <t>28d0f8a3-8513-4f9e-ae73-3c4490dedd89</t>
  </si>
  <si>
    <t>8b0e7abe-8253-406f-a5b9-3de64eab80c3</t>
  </si>
  <si>
    <t>0462415e-0fd2-4a7f-bc16-c05f52f8b942</t>
  </si>
  <si>
    <t>3b2510de-35bd-4e81-b127-c32b7768d61e</t>
  </si>
  <si>
    <t>54fa0b13-f625-4c06-86fa-1ecdde9ac584</t>
  </si>
  <si>
    <t>Brant</t>
  </si>
  <si>
    <t>Water - Floating</t>
  </si>
  <si>
    <t>0bbdfd47-c42e-4b74-b1de-8a96a2f7a293</t>
  </si>
  <si>
    <t>Mallard</t>
  </si>
  <si>
    <t>5444177c-de45-4e41-8c42-b87f6fcac879</t>
  </si>
  <si>
    <t>Black-necked Stilt</t>
  </si>
  <si>
    <t>Water - Wading</t>
  </si>
  <si>
    <t>5b219988-6782-4d1c-9a6d-632b0141862d</t>
  </si>
  <si>
    <t>Eurasian Collared-Dove</t>
  </si>
  <si>
    <t>8fb4b6ae-ebfc-4bb0-9e61-56de763a5e08</t>
  </si>
  <si>
    <t>a6c97820-4682-45dd-92a7-2abcc21abfd2</t>
  </si>
  <si>
    <t>3d5e54ec-2113-49a6-b968-454cff73a8c5</t>
  </si>
  <si>
    <t>6fc6498b-2134-49ad-8ab9-069f6ab5f775</t>
  </si>
  <si>
    <t>Semipalmated Plover</t>
  </si>
  <si>
    <t>f47a2365-9fff-464d-b730-93941402e96e</t>
  </si>
  <si>
    <t>7201cf36-43ec-4cb9-820f-df6aff472df0</t>
  </si>
  <si>
    <t>317e9270-02e4-4c39-a043-589fe8020a58</t>
  </si>
  <si>
    <t>House Sparrow</t>
  </si>
  <si>
    <t>bffd1a4d-981c-4d9f-811d-2e81d5937dc4</t>
  </si>
  <si>
    <t>High</t>
  </si>
  <si>
    <t>Light</t>
  </si>
  <si>
    <t>Northwest</t>
  </si>
  <si>
    <t>None</t>
  </si>
  <si>
    <t>f9c2a084-4243-4179-ad9e-c2968b10b3a6</t>
  </si>
  <si>
    <t>Canada Goose</t>
  </si>
  <si>
    <t>two pair plus one chick each</t>
  </si>
  <si>
    <t>645</t>
  </si>
  <si>
    <t>9fe1082d-7505-4c4d-8368-bb52aca5f98d</t>
  </si>
  <si>
    <t>eating algae</t>
  </si>
  <si>
    <t>dd425194-2720-40f4-b271-2864329c92f5</t>
  </si>
  <si>
    <t>Gadwall</t>
  </si>
  <si>
    <t>9f4a1b9e-e3f5-48df-87f7-ba94e0d34ef0</t>
  </si>
  <si>
    <t>Black-crowned Night-Heron</t>
  </si>
  <si>
    <t>Bridge</t>
  </si>
  <si>
    <t>500181c0-e329-4a51-872c-968386e8a5b4</t>
  </si>
  <si>
    <t>Brown-headed Cowbird</t>
  </si>
  <si>
    <t>7a0ada61-02d3-4eaa-8038-76358fdf110a</t>
  </si>
  <si>
    <t>21e2ecb4-4f34-4344-9d19-104ec67c5dd4</t>
  </si>
  <si>
    <t>7f8391f7-53e9-42f9-b334-646a33ebf58c</t>
  </si>
  <si>
    <t>Barn Swallow</t>
  </si>
  <si>
    <t>540931b7-a0c8-4ced-9d1c-83f13f2a15b0</t>
  </si>
  <si>
    <t>9f3e73ce-4923-43b1-84e4-a54e58671c53</t>
  </si>
  <si>
    <t>1e70a3c3-f88e-45e0-9290-4be48ef6f7d4</t>
  </si>
  <si>
    <t>7811da30-4f36-495d-b772-0a84f7a074e0</t>
  </si>
  <si>
    <t>b7d7b9a4-a8a8-43a7-ae6d-f2b4c404c049</t>
  </si>
  <si>
    <t>Red-shouldered Hawk</t>
  </si>
  <si>
    <t>c0e809ca-4596-4812-b723-97558eeb6dfe</t>
  </si>
  <si>
    <t>052c9098-c794-4508-943c-9e6c60dc107d</t>
  </si>
  <si>
    <t>67f32884-0035-42dc-bb4f-86dd7204e621</t>
  </si>
  <si>
    <t>a0b321b7-5993-49ae-9626-ab2504fb063e</t>
  </si>
  <si>
    <t>066b9d25-6108-4389-875b-74c35d0a7cfd</t>
  </si>
  <si>
    <t>dd5eaa66-9091-44bd-82d3-21a1dedba659</t>
  </si>
  <si>
    <t>fe5062e8-9596-412c-aaa1-b780a61310a4</t>
  </si>
  <si>
    <t>75daf433-25f5-4bd6-b573-4cc2b27e36aa</t>
  </si>
  <si>
    <t>f6975f5b-8db3-45d7-b634-5e23096fa544</t>
  </si>
  <si>
    <t>a6842e84-6e7c-46f8-83df-1ad29defd429</t>
  </si>
  <si>
    <t>286c2e49-19c8-44a9-a46c-ccd3c0eb5aad</t>
  </si>
  <si>
    <t>Feeding/Begging</t>
  </si>
  <si>
    <t>3 juvenile baby and adult</t>
  </si>
  <si>
    <t>948b7a2a-9097-4aa8-8a6f-67f2a2147dea</t>
  </si>
  <si>
    <t>Yes</t>
  </si>
  <si>
    <t>f70093fc-4bd4-4f80-84da-f72b7328b33b</t>
  </si>
  <si>
    <t>Rock Pigeon (Feral Pigeon)</t>
  </si>
  <si>
    <t>48a61641-fc21-4d51-bca5-9ff96835a388</t>
  </si>
  <si>
    <t>fad62d29-5c32-40e9-8df1-4e2ff1007099</t>
  </si>
  <si>
    <t>e8ca2c86-9b0f-42d0-b8b4-9420ea6888fe</t>
  </si>
  <si>
    <t>75b7a415-4f2e-40b2-971d-eb2b2d5cc13d</t>
  </si>
  <si>
    <t>38edec44-af42-49d1-87b3-1b75c5aea7d2</t>
  </si>
  <si>
    <t>M</t>
  </si>
  <si>
    <t>05d39b41-7539-4182-913c-0951fe71005c</t>
  </si>
  <si>
    <t>3cfc5009-3de9-4d32-a0fc-6454dbbcf4c7</t>
  </si>
  <si>
    <t>d57cee8b-e8f5-44ab-a5e4-f35ba1e3ebda</t>
  </si>
  <si>
    <t>F</t>
  </si>
  <si>
    <t>b5bbc81b-1ae4-4b1e-8a90-6752a0112570</t>
  </si>
  <si>
    <t>efc021fa-6bf6-4445-a2ce-f57a95311a16</t>
  </si>
  <si>
    <t>263b6596-34be-439a-9d85-0cfcd819adb6</t>
  </si>
  <si>
    <t>2d117292-194a-4c47-a9e8-79c508a945e6</t>
  </si>
  <si>
    <t>Bushtit</t>
  </si>
  <si>
    <t>15b28c8b-4e60-45ca-bba3-a36ff3a31f58</t>
  </si>
  <si>
    <t>141fb23d-acba-41b4-9d65-9f398c4aaef6</t>
  </si>
  <si>
    <t>nesting in buildings</t>
  </si>
  <si>
    <t>7399378e-cd61-47f0-8135-ce98df6f0f25</t>
  </si>
  <si>
    <t>in willow one baby</t>
  </si>
  <si>
    <t>6111e819-6cd6-45ea-8dde-d78d94859517</t>
  </si>
  <si>
    <t>2082d626-cf8d-4a93-af69-1ecac3fec173</t>
  </si>
  <si>
    <t>8291a9c6-c0ea-41cc-bf1e-2a87e0d51c80</t>
  </si>
  <si>
    <t>71235061-4708-4efa-b6ad-cbd338d0a056</t>
  </si>
  <si>
    <t>Scaly-breasted Munia</t>
  </si>
  <si>
    <t>16d3a392-0517-4243-9b62-1c107ec6f5cb</t>
  </si>
  <si>
    <t>23ec57ff-94c7-4132-8ec9-2ae7612425c2</t>
  </si>
  <si>
    <t>b61e6453-41ca-4b97-a698-ca555bf6a930</t>
  </si>
  <si>
    <t>Mud</t>
  </si>
  <si>
    <t>6f79b56c-a5e0-4ef0-8430-70d9685c41d5</t>
  </si>
  <si>
    <t>8f411668-e199-4f41-b0a5-7d25d9115576</t>
  </si>
  <si>
    <t>16262055-6457-40b6-ac5c-9e0298618312</t>
  </si>
  <si>
    <t>Building</t>
  </si>
  <si>
    <t>34480eb9-6aec-457d-9f64-e2602975d4b6</t>
  </si>
  <si>
    <t>Great Blue Heron</t>
  </si>
  <si>
    <t>e748a98f-37af-4040-867c-15c809fa3493</t>
  </si>
  <si>
    <t>9557eb92-d027-41e4-9fde-4d1df10de26b</t>
  </si>
  <si>
    <t>Western Gull</t>
  </si>
  <si>
    <t>c2ea790d-d774-4e0e-bddb-68fbc149f5f8</t>
  </si>
  <si>
    <t>aad66694-707e-4188-9f38-902f9007edd6</t>
  </si>
  <si>
    <t>e52e7de5-1671-4ec5-a0a9-7ffa41247399</t>
  </si>
  <si>
    <t>5f1be52c-c6a0-42fe-895f-92df08d1a811</t>
  </si>
  <si>
    <t>fb808597-b7fa-4082-bbe9-928b058f4fff</t>
  </si>
  <si>
    <t>California Gull</t>
  </si>
  <si>
    <t>90893ee0-31d6-4dac-981d-68e11f8b5cf2</t>
  </si>
  <si>
    <t>242e275b-a00b-43bc-a11a-742a314e2487</t>
  </si>
  <si>
    <t>European Starling</t>
  </si>
  <si>
    <t>60526636-fab1-4ad5-9b2b-ac8d393b3fb6</t>
  </si>
  <si>
    <t>e1294744-89fc-4b68-a6f6-4841df8f6f72</t>
  </si>
  <si>
    <t>27f3c618-fb45-4f19-979d-2d00e07e5828</t>
  </si>
  <si>
    <t>cdd8ecc0-04ce-4e61-9cd6-aa14ed8c4037</t>
  </si>
  <si>
    <t>5aab6f2c-40f3-4ef1-b0e1-8129e736e452</t>
  </si>
  <si>
    <t>2778c4ec-225c-40db-a655-602ee1d65e33</t>
  </si>
  <si>
    <t>Snowy Egret</t>
  </si>
  <si>
    <t>daaabcbb-b30e-448e-aacc-b7e83147d61c</t>
  </si>
  <si>
    <t>30dac807-172a-4e8a-b6a9-61287045d674</t>
  </si>
  <si>
    <t>Purple Finch</t>
  </si>
  <si>
    <t>9f788ff5-b8a0-4f35-a578-580f4194d045</t>
  </si>
  <si>
    <t>d394d7c8-b344-4e9b-a723-62572a3aca5b</t>
  </si>
  <si>
    <t>e5d43f0c-24e3-4cdd-a201-7004e594e8fd</t>
  </si>
  <si>
    <t>d01592ca-bb81-4859-a74c-2053e8131875</t>
  </si>
  <si>
    <t>df974d67-a90f-43a2-9a96-a34b8c6dc7fd</t>
  </si>
  <si>
    <t>a808e796-8c11-44ee-b7ba-891c48da58e1</t>
  </si>
  <si>
    <t>f6195490-7700-469a-aff5-b30fc7e25b40</t>
  </si>
  <si>
    <t>164b6407-51d0-4777-ad07-8d98bb89f935</t>
  </si>
  <si>
    <t>26b7e9c3-5e23-4f0a-9ff2-1afd9dc563cb</t>
  </si>
  <si>
    <t>family</t>
  </si>
  <si>
    <t>c4feaffa-5570-4fea-bf25-32905ae9b761</t>
  </si>
  <si>
    <t>c5f231bf-4199-4af6-b58b-7d995e971526</t>
  </si>
  <si>
    <t>513d2fab-ea58-401d-b25b-6589e3e2858d</t>
  </si>
  <si>
    <t>12541060-e01f-4dee-be39-128fe553dd71</t>
  </si>
  <si>
    <t>60d3b96e-b1d2-4dc1-9a2d-8c6972f8587c</t>
  </si>
  <si>
    <t>5104509c-4622-4e3e-adc2-faa902a0e513</t>
  </si>
  <si>
    <t>9a2bcdae-1481-419d-9d57-76010236667f</t>
  </si>
  <si>
    <t>628fa47f-38e1-484c-b82a-6a0488f06688</t>
  </si>
  <si>
    <t>Northern Mockingbird</t>
  </si>
  <si>
    <t>75760f66-2583-4469-b74f-d8fb3da50422</t>
  </si>
  <si>
    <t>700137e8-fc07-400e-8500-c7392bdfdb3e</t>
  </si>
  <si>
    <t>f10017ed-9182-419f-b2e6-b83911834abb</t>
  </si>
  <si>
    <t>eafc50fe-fc66-41ab-b875-fe984f051e4e</t>
  </si>
  <si>
    <t>Green Heron</t>
  </si>
  <si>
    <t>7231535c-9413-4b90-a327-1e4439954a6f</t>
  </si>
  <si>
    <t>955744a3-2022-4533-8b24-3b2f4b488897</t>
  </si>
  <si>
    <t>c8912068-8b83-42e7-b6d5-f710bb6f732d</t>
  </si>
  <si>
    <t>a0f60125-b281-4e4e-a163-122f5a612a4a</t>
  </si>
  <si>
    <t>8ca36210-ae9a-47cc-96ca-ba496c836275</t>
  </si>
  <si>
    <t>48f2b13c-24dc-49ce-a703-662e934085b3</t>
  </si>
  <si>
    <t>two in creek. one from bridge</t>
  </si>
  <si>
    <t>629635c8-8360-4d02-87aa-d2bcc310becb</t>
  </si>
  <si>
    <t>Cooper's Hawk</t>
  </si>
  <si>
    <t>two courting in air</t>
  </si>
  <si>
    <t>8de9cfea-6ea0-4e0b-a5ec-99496a5ed476</t>
  </si>
  <si>
    <t>Date</t>
  </si>
  <si>
    <t>Time</t>
  </si>
  <si>
    <t>WEST: Steven, Darwin, Conor</t>
  </si>
  <si>
    <t>EAST: Lisa, Beau, Mark</t>
  </si>
  <si>
    <t>Row Labels</t>
  </si>
  <si>
    <t>Grand Total</t>
  </si>
  <si>
    <t>Sum of Count</t>
  </si>
  <si>
    <t>Column Labels</t>
  </si>
  <si>
    <t>No Total</t>
  </si>
  <si>
    <t>Yes Total</t>
  </si>
  <si>
    <t>REPEATS</t>
  </si>
  <si>
    <t>TRUE TOTAL</t>
  </si>
  <si>
    <t>Changed to repeat after review</t>
  </si>
  <si>
    <t>number increased to 12 after review</t>
  </si>
  <si>
    <t>number increased to 3 after review</t>
  </si>
  <si>
    <t>Savannah Sparrow (Belding's)</t>
  </si>
  <si>
    <t>Added after review of data, bird was heard near venoco bridge</t>
  </si>
  <si>
    <t>(blank)</t>
  </si>
  <si>
    <t>(blank)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</si>
</sst>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h:mm;@"/>
  </numFmts>
  <fonts count="4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u/>
      <sz val="11"/>
      <color theme="10"/>
      <name val="Calibri"/>
      <family val="2"/>
    </font>
    <font>
      <u/>
      <sz val="11"/>
      <color theme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8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7">
    <xf numFmtId="0" fontId="0" fillId="0" borderId="0" applyBorder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5">
    <xf numFmtId="0" fontId="0" fillId="0" borderId="0" xfId="0" applyNumberFormat="1" applyFill="1" applyAlignment="1" applyProtection="1"/>
    <xf numFmtId="22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horizontal="left"/>
    </xf>
    <xf numFmtId="14" fontId="0" fillId="0" borderId="0" xfId="0" applyNumberFormat="1" applyFill="1" applyAlignment="1" applyProtection="1">
      <alignment horizontal="left"/>
    </xf>
    <xf numFmtId="0" fontId="0" fillId="0" borderId="0" xfId="0" applyNumberFormat="1" applyFill="1" applyAlignment="1" applyProtection="1">
      <alignment horizontal="center"/>
    </xf>
    <xf numFmtId="164" fontId="0" fillId="0" borderId="0" xfId="0" applyNumberFormat="1" applyFill="1" applyAlignment="1" applyProtection="1">
      <alignment horizontal="center"/>
    </xf>
    <xf numFmtId="0" fontId="0" fillId="0" borderId="0" xfId="0" pivotButton="1" applyNumberFormat="1" applyFill="1" applyAlignment="1" applyProtection="1"/>
    <xf numFmtId="0" fontId="0" fillId="3" borderId="0" xfId="0" applyNumberFormat="1" applyFill="1" applyAlignment="1" applyProtection="1"/>
    <xf numFmtId="0" fontId="1" fillId="3" borderId="0" xfId="0" applyNumberFormat="1" applyFont="1" applyFill="1" applyAlignment="1" applyProtection="1">
      <alignment wrapText="1"/>
    </xf>
    <xf numFmtId="0" fontId="0" fillId="2" borderId="0" xfId="0" applyNumberFormat="1" applyFill="1" applyAlignment="1" applyProtection="1"/>
    <xf numFmtId="0" fontId="1" fillId="2" borderId="0" xfId="0" applyNumberFormat="1" applyFont="1" applyFill="1" applyAlignment="1" applyProtection="1"/>
    <xf numFmtId="0" fontId="0" fillId="0" borderId="1" xfId="0" applyNumberFormat="1" applyFill="1" applyBorder="1" applyAlignment="1" applyProtection="1">
      <alignment horizontal="left"/>
    </xf>
    <xf numFmtId="0" fontId="0" fillId="0" borderId="1" xfId="0" applyNumberFormat="1" applyFill="1" applyBorder="1" applyAlignment="1" applyProtection="1"/>
    <xf numFmtId="0" fontId="0" fillId="3" borderId="1" xfId="0" applyNumberFormat="1" applyFill="1" applyBorder="1" applyAlignment="1" applyProtection="1"/>
    <xf numFmtId="0" fontId="0" fillId="2" borderId="1" xfId="0" applyNumberFormat="1" applyFill="1" applyBorder="1" applyAlignment="1" applyProtection="1"/>
  </cellXfs>
  <cellStyles count="1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Normal" xfId="0" builtinId="0"/>
  </cellStyles>
  <dxfs count="1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008000"/>
        </patternFill>
      </fill>
    </dxf>
    <dxf>
      <fill>
        <patternFill patternType="solid">
          <fgColor indexed="64"/>
          <bgColor rgb="FF008000"/>
        </patternFill>
      </fill>
    </dxf>
    <dxf>
      <fill>
        <patternFill patternType="solid">
          <fgColor indexed="64"/>
          <bgColor rgb="FF008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arwin Richardson" refreshedDate="44385.593114930554" createdVersion="4" refreshedVersion="4" minRefreshableVersion="3" recordCount="167">
  <cacheSource type="worksheet">
    <worksheetSource ref="A1:AH1048576" sheet="NCOS Bird Survey Data 20210525"/>
  </cacheSource>
  <cacheFields count="34">
    <cacheField name="OBJECTID" numFmtId="0">
      <sharedItems containsString="0" containsBlank="1" containsNumber="1" containsInteger="1" minValue="6" maxValue="171"/>
    </cacheField>
    <cacheField name="Date" numFmtId="0">
      <sharedItems containsNonDate="0" containsDate="1" containsString="0" containsBlank="1" minDate="2021-05-25T00:00:00" maxDate="2021-05-26T00:00:00"/>
    </cacheField>
    <cacheField name="Time" numFmtId="0">
      <sharedItems containsNonDate="0" containsDate="1" containsString="0" containsBlank="1" minDate="2021-05-25T06:49:19" maxDate="2021-05-25T09:45:06"/>
    </cacheField>
    <cacheField name="Species" numFmtId="0">
      <sharedItems containsBlank="1" count="46">
        <s v="American Crow"/>
        <s v="Anna's Hummingbird"/>
        <s v="Barn Swallow"/>
        <s v="Black Phoebe"/>
        <s v="Black-crowned Night-Heron"/>
        <s v="Black-necked Stilt"/>
        <s v="Brant"/>
        <s v="Brown-headed Cowbird"/>
        <s v="Bushtit"/>
        <s v="California Gull"/>
        <s v="California Towhee"/>
        <s v="Canada Goose"/>
        <s v="Cassin's Kingbird"/>
        <s v="Cliff Swallow"/>
        <s v="Common Yellowthroat"/>
        <s v="Cooper's Hawk"/>
        <s v="Eurasian Collared-Dove"/>
        <s v="European Starling"/>
        <s v="Gadwall"/>
        <s v="Great Blue Heron"/>
        <s v="Great Egret"/>
        <s v="Green Heron"/>
        <s v="House Finch"/>
        <s v="House Sparrow"/>
        <s v="Killdeer"/>
        <s v="Lark Sparrow"/>
        <s v="Lesser Goldfinch"/>
        <s v="Mallard"/>
        <s v="Northern Mockingbird"/>
        <s v="Purple Finch"/>
        <s v="Red-shouldered Hawk"/>
        <s v="Red-tailed Hawk"/>
        <s v="Red-winged Blackbird"/>
        <s v="Rock Pigeon (Feral Pigeon)"/>
        <s v="Say's Phoebe"/>
        <s v="Scaly-breasted Munia"/>
        <s v="Semipalmated Plover"/>
        <s v="Snowy Egret"/>
        <s v="Song Sparrow"/>
        <s v="Spotted Towhee"/>
        <s v="Turkey Vulture"/>
        <s v="Western Bluebird"/>
        <s v="Western Gull"/>
        <s v="White-tailed Kite"/>
        <s v="Savannah Sparrow (Belding's)"/>
        <m/>
      </sharedItems>
    </cacheField>
    <cacheField name="Count" numFmtId="0">
      <sharedItems containsString="0" containsBlank="1" containsNumber="1" containsInteger="1" minValue="1" maxValue="100" count="13">
        <n v="1"/>
        <n v="5"/>
        <n v="4"/>
        <n v="2"/>
        <n v="18"/>
        <n v="6"/>
        <n v="100"/>
        <n v="10"/>
        <n v="3"/>
        <n v="20"/>
        <n v="12"/>
        <n v="8"/>
        <m/>
      </sharedItems>
    </cacheField>
    <cacheField name="Repeat Observation" numFmtId="0">
      <sharedItems containsBlank="1" count="3">
        <s v="No"/>
        <s v="Yes"/>
        <m/>
      </sharedItems>
    </cacheField>
    <cacheField name="Substrate" numFmtId="0">
      <sharedItems containsBlank="1"/>
    </cacheField>
    <cacheField name="Sex" numFmtId="0">
      <sharedItems containsBlank="1"/>
    </cacheField>
    <cacheField name="Breeding Activity" numFmtId="0">
      <sharedItems containsBlank="1"/>
    </cacheField>
    <cacheField name="Observation Notes" numFmtId="0">
      <sharedItems containsBlank="1"/>
    </cacheField>
    <cacheField name="Water Level" numFmtId="0">
      <sharedItems containsString="0" containsBlank="1" containsNumber="1" containsInteger="1" minValue="5" maxValue="5"/>
    </cacheField>
    <cacheField name="Observers" numFmtId="0">
      <sharedItems containsBlank="1" count="3">
        <s v="WEST: Steven, Darwin, Conor"/>
        <s v="EAST: Lisa, Beau, Mark"/>
        <m/>
      </sharedItems>
    </cacheField>
    <cacheField name="Starting Time" numFmtId="0">
      <sharedItems containsBlank="1"/>
    </cacheField>
    <cacheField name="Ending Time" numFmtId="0">
      <sharedItems containsNonDate="0" containsString="0" containsBlank="1"/>
    </cacheField>
    <cacheField name="Starting Temp (F)" numFmtId="0">
      <sharedItems containsString="0" containsBlank="1" containsNumber="1" containsInteger="1" minValue="65" maxValue="65"/>
    </cacheField>
    <cacheField name="Starting % Cloud Cover" numFmtId="0">
      <sharedItems containsString="0" containsBlank="1" containsNumber="1" containsInteger="1" minValue="0" maxValue="0"/>
    </cacheField>
    <cacheField name="Starting Cloud Height" numFmtId="0">
      <sharedItems containsNonDate="0" containsString="0" containsBlank="1"/>
    </cacheField>
    <cacheField name="Starting Wind Speed" numFmtId="0">
      <sharedItems containsNonDate="0" containsString="0" containsBlank="1"/>
    </cacheField>
    <cacheField name="Starting Wind Direction" numFmtId="0">
      <sharedItems containsNonDate="0" containsString="0" containsBlank="1"/>
    </cacheField>
    <cacheField name="Starting Rain" numFmtId="0">
      <sharedItems containsNonDate="0" containsString="0" containsBlank="1"/>
    </cacheField>
    <cacheField name="Ending Temp (F)" numFmtId="0">
      <sharedItems containsString="0" containsBlank="1" containsNumber="1" containsInteger="1" minValue="65" maxValue="65"/>
    </cacheField>
    <cacheField name="Ending % Cloud Cover" numFmtId="0">
      <sharedItems containsString="0" containsBlank="1" containsNumber="1" containsInteger="1" minValue="20" maxValue="20"/>
    </cacheField>
    <cacheField name="Ending Cloud Height" numFmtId="0">
      <sharedItems containsBlank="1"/>
    </cacheField>
    <cacheField name="Ending Wind Speed" numFmtId="0">
      <sharedItems containsBlank="1"/>
    </cacheField>
    <cacheField name="Ending Wind Direction" numFmtId="0">
      <sharedItems containsBlank="1"/>
    </cacheField>
    <cacheField name="Ending Rain" numFmtId="0">
      <sharedItems containsBlank="1"/>
    </cacheField>
    <cacheField name="Weather Note" numFmtId="0">
      <sharedItems containsNonDate="0" containsString="0" containsBlank="1"/>
    </cacheField>
    <cacheField name="GlobalID" numFmtId="0">
      <sharedItems containsBlank="1"/>
    </cacheField>
    <cacheField name="CreationDate" numFmtId="0">
      <sharedItems containsNonDate="0" containsDate="1" containsString="0" containsBlank="1" minDate="2021-05-25T13:49:19" maxDate="2021-05-25T16:45:06"/>
    </cacheField>
    <cacheField name="Creator" numFmtId="0">
      <sharedItems containsBlank="1"/>
    </cacheField>
    <cacheField name="EditDate" numFmtId="0">
      <sharedItems containsNonDate="0" containsDate="1" containsString="0" containsBlank="1" minDate="2021-05-25T13:49:19" maxDate="2021-05-25T16:45:06"/>
    </cacheField>
    <cacheField name="Editor" numFmtId="0">
      <sharedItems containsBlank="1"/>
    </cacheField>
    <cacheField name="x" numFmtId="0">
      <sharedItems containsString="0" containsBlank="1" containsNumber="1" minValue="-119.88478583937599" maxValue="-119.869495187327"/>
    </cacheField>
    <cacheField name="y" numFmtId="0">
      <sharedItems containsString="0" containsBlank="1" containsNumber="1" minValue="34.417537049766302" maxValue="34.4228642224987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7">
  <r>
    <n v="13"/>
    <d v="2021-05-25T00:00:00"/>
    <d v="2021-05-25T07:21:36"/>
    <x v="0"/>
    <x v="0"/>
    <x v="0"/>
    <s v="Bare ground"/>
    <m/>
    <m/>
    <m/>
    <m/>
    <x v="0"/>
    <m/>
    <m/>
    <m/>
    <m/>
    <m/>
    <m/>
    <m/>
    <m/>
    <m/>
    <m/>
    <m/>
    <m/>
    <m/>
    <m/>
    <m/>
    <s v="9b8e72b5-aadf-48af-93ca-d53444472e38"/>
    <d v="2021-05-25T14:21:36"/>
    <s v="ccber_user"/>
    <d v="2021-05-25T14:23:29"/>
    <s v="ccber_user"/>
    <n v="-119.875845820042"/>
    <n v="34.418377282299403"/>
  </r>
  <r>
    <n v="14"/>
    <d v="2021-05-25T00:00:00"/>
    <d v="2021-05-25T07:24:46"/>
    <x v="0"/>
    <x v="1"/>
    <x v="0"/>
    <s v="Bare ground"/>
    <m/>
    <m/>
    <m/>
    <m/>
    <x v="0"/>
    <m/>
    <m/>
    <m/>
    <m/>
    <m/>
    <m/>
    <m/>
    <m/>
    <m/>
    <m/>
    <m/>
    <m/>
    <m/>
    <m/>
    <m/>
    <s v="31486ee1-68a1-4959-b499-036733130f93"/>
    <d v="2021-05-25T14:24:46"/>
    <s v="ccber_user"/>
    <d v="2021-05-25T14:31:47"/>
    <s v="ccber_user"/>
    <n v="-119.87745241560501"/>
    <n v="34.418475367519903"/>
  </r>
  <r>
    <n v="73"/>
    <d v="2021-05-25T00:00:00"/>
    <d v="2021-05-25T09:45:06"/>
    <x v="0"/>
    <x v="0"/>
    <x v="0"/>
    <s v="Vegetation - Tree"/>
    <m/>
    <m/>
    <m/>
    <m/>
    <x v="0"/>
    <m/>
    <m/>
    <m/>
    <m/>
    <m/>
    <m/>
    <m/>
    <m/>
    <n v="65"/>
    <n v="20"/>
    <s v="High"/>
    <s v="Light"/>
    <s v="Northwest"/>
    <s v="None"/>
    <m/>
    <s v="f9c2a084-4243-4179-ad9e-c2968b10b3a6"/>
    <d v="2021-05-25T16:45:06"/>
    <s v="ccber_user"/>
    <d v="2021-05-25T16:45:06"/>
    <s v="ccber_user"/>
    <n v="-119.87402929718"/>
    <n v="34.421744067274503"/>
  </r>
  <r>
    <n v="87"/>
    <d v="2021-05-25T00:00:00"/>
    <d v="2021-05-25T07:14:00"/>
    <x v="0"/>
    <x v="0"/>
    <x v="0"/>
    <s v="Vegetation - Tree"/>
    <m/>
    <m/>
    <m/>
    <m/>
    <x v="1"/>
    <m/>
    <m/>
    <m/>
    <m/>
    <m/>
    <m/>
    <m/>
    <m/>
    <m/>
    <m/>
    <m/>
    <m/>
    <m/>
    <m/>
    <m/>
    <s v="052c9098-c794-4508-943c-9e6c60dc107d"/>
    <d v="2021-05-25T14:14:00"/>
    <s v="ccber_user"/>
    <d v="2021-05-25T14:14:00"/>
    <s v="ccber_user"/>
    <n v="-119.873532812695"/>
    <n v="34.418801890581904"/>
  </r>
  <r>
    <n v="96"/>
    <d v="2021-05-25T00:00:00"/>
    <d v="2021-05-25T07:27:37"/>
    <x v="0"/>
    <x v="0"/>
    <x v="0"/>
    <s v="Air"/>
    <m/>
    <m/>
    <m/>
    <m/>
    <x v="1"/>
    <m/>
    <m/>
    <m/>
    <m/>
    <m/>
    <m/>
    <m/>
    <m/>
    <m/>
    <m/>
    <m/>
    <m/>
    <m/>
    <m/>
    <m/>
    <s v="286c2e49-19c8-44a9-a46c-ccd3c0eb5aad"/>
    <d v="2021-05-25T14:27:37"/>
    <s v="ccber_user"/>
    <d v="2021-05-25T14:27:37"/>
    <s v="ccber_user"/>
    <n v="-119.873004109235"/>
    <n v="34.421178683857697"/>
  </r>
  <r>
    <n v="101"/>
    <d v="2021-05-25T00:00:00"/>
    <d v="2021-05-25T07:41:16"/>
    <x v="0"/>
    <x v="0"/>
    <x v="0"/>
    <s v="Fence"/>
    <m/>
    <m/>
    <m/>
    <m/>
    <x v="1"/>
    <m/>
    <m/>
    <m/>
    <m/>
    <m/>
    <m/>
    <m/>
    <m/>
    <m/>
    <m/>
    <m/>
    <m/>
    <m/>
    <m/>
    <m/>
    <s v="e8ca2c86-9b0f-42d0-b8b4-9420ea6888fe"/>
    <d v="2021-05-25T14:41:16"/>
    <s v="ccber_user"/>
    <d v="2021-05-25T14:41:16"/>
    <s v="ccber_user"/>
    <n v="-119.87167806562"/>
    <n v="34.420691352175098"/>
  </r>
  <r>
    <n v="109"/>
    <d v="2021-05-25T00:00:00"/>
    <d v="2021-05-25T07:51:45"/>
    <x v="0"/>
    <x v="0"/>
    <x v="0"/>
    <s v="Bare ground"/>
    <m/>
    <m/>
    <m/>
    <m/>
    <x v="1"/>
    <m/>
    <m/>
    <m/>
    <m/>
    <m/>
    <m/>
    <m/>
    <m/>
    <m/>
    <m/>
    <m/>
    <m/>
    <m/>
    <m/>
    <m/>
    <s v="263b6596-34be-439a-9d85-0cfcd819adb6"/>
    <d v="2021-05-25T14:51:45"/>
    <s v="ccber_user"/>
    <d v="2021-05-25T14:51:45"/>
    <s v="ccber_user"/>
    <n v="-119.86994894075001"/>
    <n v="34.420999523969101"/>
  </r>
  <r>
    <n v="129"/>
    <d v="2021-05-25T00:00:00"/>
    <d v="2021-05-25T08:32:16"/>
    <x v="0"/>
    <x v="0"/>
    <x v="0"/>
    <s v="Bare ground"/>
    <m/>
    <m/>
    <m/>
    <m/>
    <x v="1"/>
    <m/>
    <m/>
    <m/>
    <m/>
    <m/>
    <m/>
    <m/>
    <m/>
    <m/>
    <m/>
    <m/>
    <m/>
    <m/>
    <m/>
    <m/>
    <s v="e52e7de5-1671-4ec5-a0a9-7ffa41247399"/>
    <d v="2021-05-25T15:32:16"/>
    <s v="ccber_user"/>
    <d v="2021-05-25T15:32:16"/>
    <s v="ccber_user"/>
    <n v="-119.873324063986"/>
    <n v="34.420832943380198"/>
  </r>
  <r>
    <n v="136"/>
    <d v="2021-05-25T00:00:00"/>
    <d v="2021-05-25T08:40:56"/>
    <x v="0"/>
    <x v="2"/>
    <x v="0"/>
    <s v="Air"/>
    <m/>
    <m/>
    <m/>
    <m/>
    <x v="1"/>
    <m/>
    <m/>
    <m/>
    <m/>
    <m/>
    <m/>
    <m/>
    <m/>
    <m/>
    <m/>
    <m/>
    <m/>
    <m/>
    <m/>
    <m/>
    <s v="27f3c618-fb45-4f19-979d-2d00e07e5828"/>
    <d v="2021-05-25T15:40:56"/>
    <s v="ccber_user"/>
    <d v="2021-05-25T15:40:56"/>
    <s v="ccber_user"/>
    <n v="-119.87470971171901"/>
    <n v="34.4211624946957"/>
  </r>
  <r>
    <n v="141"/>
    <d v="2021-05-25T00:00:00"/>
    <d v="2021-05-25T08:47:54"/>
    <x v="0"/>
    <x v="3"/>
    <x v="0"/>
    <s v="Air"/>
    <m/>
    <m/>
    <m/>
    <m/>
    <x v="1"/>
    <m/>
    <m/>
    <m/>
    <m/>
    <m/>
    <m/>
    <m/>
    <m/>
    <m/>
    <m/>
    <m/>
    <m/>
    <m/>
    <m/>
    <m/>
    <s v="30dac807-172a-4e8a-b6a9-61287045d674"/>
    <d v="2021-05-25T15:47:54"/>
    <s v="ccber_user"/>
    <d v="2021-05-25T15:47:54"/>
    <s v="ccber_user"/>
    <n v="-119.876190768619"/>
    <n v="34.418455473332799"/>
  </r>
  <r>
    <n v="10"/>
    <d v="2021-05-25T00:00:00"/>
    <d v="2021-05-25T07:17:38"/>
    <x v="1"/>
    <x v="3"/>
    <x v="0"/>
    <s v="Vegetation - Tree"/>
    <m/>
    <m/>
    <m/>
    <m/>
    <x v="0"/>
    <m/>
    <m/>
    <m/>
    <m/>
    <m/>
    <m/>
    <m/>
    <m/>
    <m/>
    <m/>
    <m/>
    <m/>
    <m/>
    <m/>
    <m/>
    <s v="10cad3e6-43a3-4e54-9b88-0a1942011101"/>
    <d v="2021-05-25T14:17:38"/>
    <s v="ccber_user"/>
    <d v="2021-05-25T14:17:38"/>
    <s v="ccber_user"/>
    <n v="-119.87684994967999"/>
    <n v="34.4176751166655"/>
  </r>
  <r>
    <n v="35"/>
    <d v="2021-05-25T00:00:00"/>
    <d v="2021-05-25T08:13:40"/>
    <x v="1"/>
    <x v="0"/>
    <x v="0"/>
    <s v="Vegetation - Tree"/>
    <m/>
    <m/>
    <m/>
    <m/>
    <x v="0"/>
    <m/>
    <m/>
    <m/>
    <m/>
    <m/>
    <m/>
    <m/>
    <m/>
    <m/>
    <m/>
    <m/>
    <m/>
    <m/>
    <m/>
    <m/>
    <s v="12b94d9f-2ad8-4877-8cf3-fbdb88e74fee"/>
    <d v="2021-05-25T15:13:40"/>
    <s v="ccber_user"/>
    <d v="2021-05-25T15:13:40"/>
    <s v="ccber_user"/>
    <n v="-119.877441916994"/>
    <n v="34.419414416525697"/>
  </r>
  <r>
    <n v="84"/>
    <d v="2021-05-25T00:00:00"/>
    <d v="2021-05-25T07:11:37"/>
    <x v="1"/>
    <x v="0"/>
    <x v="0"/>
    <s v="Air"/>
    <m/>
    <m/>
    <m/>
    <m/>
    <x v="1"/>
    <m/>
    <m/>
    <m/>
    <m/>
    <m/>
    <m/>
    <m/>
    <m/>
    <m/>
    <m/>
    <m/>
    <m/>
    <m/>
    <m/>
    <m/>
    <s v="7811da30-4f36-495d-b772-0a84f7a074e0"/>
    <d v="2021-05-25T14:11:37"/>
    <s v="ccber_user"/>
    <d v="2021-05-25T14:11:37"/>
    <s v="ccber_user"/>
    <n v="-119.873679815703"/>
    <n v="34.417954940964997"/>
  </r>
  <r>
    <n v="115"/>
    <d v="2021-05-25T00:00:00"/>
    <d v="2021-05-25T08:06:26"/>
    <x v="1"/>
    <x v="0"/>
    <x v="0"/>
    <s v="Vegetation - Tree"/>
    <m/>
    <m/>
    <m/>
    <m/>
    <x v="1"/>
    <m/>
    <m/>
    <m/>
    <m/>
    <m/>
    <m/>
    <m/>
    <m/>
    <m/>
    <m/>
    <m/>
    <m/>
    <m/>
    <m/>
    <m/>
    <s v="2082d626-cf8d-4a93-af69-1ecac3fec173"/>
    <d v="2021-05-25T15:06:26"/>
    <s v="ccber_user"/>
    <d v="2021-05-25T15:06:26"/>
    <s v="ccber_user"/>
    <n v="-119.872332007705"/>
    <n v="34.422452782641997"/>
  </r>
  <r>
    <n v="137"/>
    <d v="2021-05-25T00:00:00"/>
    <d v="2021-05-25T08:41:17"/>
    <x v="1"/>
    <x v="0"/>
    <x v="0"/>
    <s v="Air"/>
    <m/>
    <m/>
    <m/>
    <m/>
    <x v="1"/>
    <m/>
    <m/>
    <m/>
    <m/>
    <m/>
    <m/>
    <m/>
    <m/>
    <m/>
    <m/>
    <m/>
    <m/>
    <m/>
    <m/>
    <m/>
    <s v="cdd8ecc0-04ce-4e61-9cd6-aa14ed8c4037"/>
    <d v="2021-05-25T15:41:17"/>
    <s v="ccber_user"/>
    <d v="2021-05-25T15:41:17"/>
    <s v="ccber_user"/>
    <n v="-119.875670334151"/>
    <n v="34.4210841691038"/>
  </r>
  <r>
    <n v="81"/>
    <d v="2021-05-25T00:00:00"/>
    <d v="2021-05-25T07:07:39"/>
    <x v="2"/>
    <x v="3"/>
    <x v="0"/>
    <s v="Air"/>
    <m/>
    <m/>
    <m/>
    <m/>
    <x v="1"/>
    <m/>
    <m/>
    <m/>
    <m/>
    <m/>
    <m/>
    <m/>
    <m/>
    <m/>
    <m/>
    <m/>
    <m/>
    <m/>
    <m/>
    <m/>
    <s v="540931b7-a0c8-4ced-9d1c-83f13f2a15b0"/>
    <d v="2021-05-25T14:07:39"/>
    <s v="ccber_user"/>
    <d v="2021-05-25T14:07:39"/>
    <s v="ccber_user"/>
    <n v="-119.875082355356"/>
    <n v="34.418134390458697"/>
  </r>
  <r>
    <n v="94"/>
    <d v="2021-05-25T00:00:00"/>
    <d v="2021-05-25T07:23:35"/>
    <x v="2"/>
    <x v="0"/>
    <x v="0"/>
    <s v="Air"/>
    <m/>
    <m/>
    <m/>
    <m/>
    <x v="1"/>
    <m/>
    <m/>
    <m/>
    <m/>
    <m/>
    <m/>
    <m/>
    <m/>
    <m/>
    <m/>
    <m/>
    <m/>
    <m/>
    <m/>
    <m/>
    <s v="f6975f5b-8db3-45d7-b634-5e23096fa544"/>
    <d v="2021-05-25T14:23:35"/>
    <s v="ccber_user"/>
    <d v="2021-05-25T14:23:35"/>
    <s v="ccber_user"/>
    <n v="-119.875237829477"/>
    <n v="34.419628089964903"/>
  </r>
  <r>
    <n v="36"/>
    <d v="2021-05-25T00:00:00"/>
    <d v="2021-05-25T08:14:27"/>
    <x v="3"/>
    <x v="0"/>
    <x v="0"/>
    <s v="Vegetation - Herbaceous"/>
    <m/>
    <m/>
    <m/>
    <m/>
    <x v="0"/>
    <m/>
    <m/>
    <m/>
    <m/>
    <m/>
    <m/>
    <m/>
    <m/>
    <m/>
    <m/>
    <m/>
    <m/>
    <m/>
    <m/>
    <m/>
    <s v="3ddc143c-f2e0-4e28-9b32-6fe052c29ab3"/>
    <d v="2021-05-25T15:14:27"/>
    <s v="ccber_user"/>
    <d v="2021-05-25T15:14:27"/>
    <s v="ccber_user"/>
    <n v="-119.877116105227"/>
    <n v="34.4197705551708"/>
  </r>
  <r>
    <n v="42"/>
    <d v="2021-05-25T00:00:00"/>
    <d v="2021-05-25T08:25:14"/>
    <x v="3"/>
    <x v="0"/>
    <x v="0"/>
    <s v="Habitat Feature - Log"/>
    <m/>
    <m/>
    <m/>
    <m/>
    <x v="0"/>
    <m/>
    <m/>
    <m/>
    <m/>
    <m/>
    <m/>
    <m/>
    <m/>
    <m/>
    <m/>
    <m/>
    <m/>
    <m/>
    <m/>
    <m/>
    <s v="1238bf7e-5f23-4c05-b00f-b0a9e5200743"/>
    <d v="2021-05-25T15:25:14"/>
    <s v="ccber_user"/>
    <d v="2021-05-25T15:25:14"/>
    <s v="ccber_user"/>
    <n v="-119.879456833685"/>
    <n v="34.420863049839298"/>
  </r>
  <r>
    <n v="67"/>
    <d v="2021-05-25T00:00:00"/>
    <d v="2021-05-25T09:08:28"/>
    <x v="3"/>
    <x v="0"/>
    <x v="0"/>
    <s v="Vegetation - Herbaceous"/>
    <m/>
    <m/>
    <m/>
    <m/>
    <x v="0"/>
    <m/>
    <m/>
    <m/>
    <m/>
    <m/>
    <m/>
    <m/>
    <m/>
    <m/>
    <m/>
    <m/>
    <m/>
    <m/>
    <m/>
    <m/>
    <s v="3d5e54ec-2113-49a6-b968-454cff73a8c5"/>
    <d v="2021-05-25T16:08:28"/>
    <s v="ccber_user"/>
    <d v="2021-05-25T16:08:28"/>
    <s v="ccber_user"/>
    <n v="-119.88219359970699"/>
    <n v="34.421641483448902"/>
  </r>
  <r>
    <n v="85"/>
    <d v="2021-05-25T00:00:00"/>
    <d v="2021-05-25T07:12:33"/>
    <x v="3"/>
    <x v="0"/>
    <x v="0"/>
    <s v="Vegetation - Shrub"/>
    <m/>
    <m/>
    <m/>
    <m/>
    <x v="1"/>
    <m/>
    <m/>
    <m/>
    <m/>
    <m/>
    <m/>
    <m/>
    <m/>
    <m/>
    <m/>
    <m/>
    <m/>
    <m/>
    <m/>
    <m/>
    <s v="b7d7b9a4-a8a8-43a7-ae6d-f2b4c404c049"/>
    <d v="2021-05-25T14:12:33"/>
    <s v="ccber_user"/>
    <d v="2021-05-25T14:12:33"/>
    <s v="ccber_user"/>
    <n v="-119.873957488551"/>
    <n v="34.418370717343798"/>
  </r>
  <r>
    <n v="103"/>
    <d v="2021-05-25T00:00:00"/>
    <d v="2021-05-25T07:43:36"/>
    <x v="3"/>
    <x v="0"/>
    <x v="0"/>
    <s v="Fence"/>
    <m/>
    <m/>
    <m/>
    <m/>
    <x v="1"/>
    <m/>
    <m/>
    <m/>
    <m/>
    <m/>
    <m/>
    <m/>
    <m/>
    <m/>
    <m/>
    <m/>
    <m/>
    <m/>
    <m/>
    <m/>
    <s v="38edec44-af42-49d1-87b3-1b75c5aea7d2"/>
    <d v="2021-05-25T14:43:36"/>
    <s v="ccber_user"/>
    <d v="2021-05-25T14:43:36"/>
    <s v="ccber_user"/>
    <n v="-119.8713327128"/>
    <n v="34.420699509419102"/>
  </r>
  <r>
    <n v="124"/>
    <d v="2021-05-25T00:00:00"/>
    <d v="2021-05-25T08:18:01"/>
    <x v="3"/>
    <x v="3"/>
    <x v="0"/>
    <s v="Building"/>
    <m/>
    <m/>
    <m/>
    <m/>
    <x v="1"/>
    <m/>
    <m/>
    <m/>
    <m/>
    <m/>
    <m/>
    <m/>
    <m/>
    <m/>
    <m/>
    <m/>
    <m/>
    <m/>
    <m/>
    <m/>
    <s v="34480eb9-6aec-457d-9f64-e2602975d4b6"/>
    <d v="2021-05-25T15:18:01"/>
    <s v="ccber_user"/>
    <d v="2021-05-25T15:18:01"/>
    <s v="ccber_user"/>
    <n v="-119.873810312168"/>
    <n v="34.422006544828697"/>
  </r>
  <r>
    <n v="133"/>
    <d v="2021-05-25T00:00:00"/>
    <d v="2021-05-25T08:36:56"/>
    <x v="3"/>
    <x v="0"/>
    <x v="0"/>
    <s v="Habitat Feature - Log"/>
    <m/>
    <m/>
    <m/>
    <m/>
    <x v="1"/>
    <m/>
    <m/>
    <m/>
    <m/>
    <m/>
    <m/>
    <m/>
    <m/>
    <m/>
    <m/>
    <m/>
    <m/>
    <m/>
    <m/>
    <m/>
    <s v="242e275b-a00b-43bc-a11a-742a314e2487"/>
    <d v="2021-05-25T15:36:56"/>
    <s v="ccber_user"/>
    <d v="2021-05-25T15:36:56"/>
    <s v="ccber_user"/>
    <n v="-119.875022505999"/>
    <n v="34.420659781380799"/>
  </r>
  <r>
    <n v="143"/>
    <d v="2021-05-25T00:00:00"/>
    <d v="2021-05-25T08:49:48"/>
    <x v="3"/>
    <x v="0"/>
    <x v="0"/>
    <s v="Habitat Feature - Log"/>
    <m/>
    <m/>
    <m/>
    <m/>
    <x v="1"/>
    <m/>
    <m/>
    <m/>
    <m/>
    <m/>
    <m/>
    <m/>
    <m/>
    <m/>
    <m/>
    <m/>
    <m/>
    <m/>
    <m/>
    <m/>
    <s v="d394d7c8-b344-4e9b-a723-62572a3aca5b"/>
    <d v="2021-05-25T15:49:48"/>
    <s v="ccber_user"/>
    <d v="2021-05-25T15:49:48"/>
    <s v="ccber_user"/>
    <n v="-119.876745921176"/>
    <n v="34.4201731447273"/>
  </r>
  <r>
    <n v="149"/>
    <d v="2021-05-25T00:00:00"/>
    <d v="2021-05-25T08:55:28"/>
    <x v="3"/>
    <x v="0"/>
    <x v="0"/>
    <s v="Mud"/>
    <m/>
    <m/>
    <m/>
    <m/>
    <x v="1"/>
    <m/>
    <m/>
    <m/>
    <m/>
    <m/>
    <m/>
    <m/>
    <m/>
    <m/>
    <m/>
    <m/>
    <m/>
    <m/>
    <m/>
    <m/>
    <s v="164b6407-51d0-4777-ad07-8d98bb89f935"/>
    <d v="2021-05-25T15:55:28"/>
    <s v="ccber_user"/>
    <d v="2021-05-25T15:55:28"/>
    <s v="ccber_user"/>
    <n v="-119.876772929924"/>
    <n v="34.420353332715599"/>
  </r>
  <r>
    <n v="162"/>
    <d v="2021-05-25T00:00:00"/>
    <d v="2021-05-25T09:09:14"/>
    <x v="3"/>
    <x v="0"/>
    <x v="0"/>
    <s v="Mud"/>
    <m/>
    <m/>
    <m/>
    <m/>
    <x v="1"/>
    <m/>
    <m/>
    <m/>
    <m/>
    <m/>
    <m/>
    <m/>
    <m/>
    <m/>
    <m/>
    <m/>
    <m/>
    <m/>
    <m/>
    <m/>
    <s v="f10017ed-9182-419f-b2e6-b83911834abb"/>
    <d v="2021-05-25T16:09:14"/>
    <s v="ccber_user"/>
    <d v="2021-05-25T16:09:14"/>
    <s v="ccber_user"/>
    <n v="-119.878554560423"/>
    <n v="34.4209116263822"/>
  </r>
  <r>
    <n v="77"/>
    <d v="2021-05-25T00:00:00"/>
    <d v="2021-05-25T06:52:29"/>
    <x v="4"/>
    <x v="0"/>
    <x v="0"/>
    <s v="Bridge"/>
    <m/>
    <m/>
    <m/>
    <m/>
    <x v="1"/>
    <m/>
    <m/>
    <m/>
    <m/>
    <m/>
    <m/>
    <m/>
    <m/>
    <m/>
    <m/>
    <m/>
    <m/>
    <m/>
    <m/>
    <m/>
    <s v="500181c0-e329-4a51-872c-968386e8a5b4"/>
    <d v="2021-05-25T13:52:29"/>
    <s v="ccber_user"/>
    <d v="2021-05-25T13:52:29"/>
    <s v="ccber_user"/>
    <n v="-119.874008168804"/>
    <n v="34.417718953049103"/>
  </r>
  <r>
    <n v="120"/>
    <d v="2021-05-25T00:00:00"/>
    <d v="2021-05-25T08:13:00"/>
    <x v="4"/>
    <x v="3"/>
    <x v="0"/>
    <s v="Vegetation - Herbaceous"/>
    <m/>
    <m/>
    <m/>
    <m/>
    <x v="1"/>
    <m/>
    <m/>
    <m/>
    <m/>
    <m/>
    <m/>
    <m/>
    <m/>
    <m/>
    <m/>
    <m/>
    <m/>
    <m/>
    <m/>
    <m/>
    <s v="b61e6453-41ca-4b97-a698-ca555bf6a930"/>
    <d v="2021-05-25T15:13:00"/>
    <s v="ccber_user"/>
    <d v="2021-05-25T15:13:00"/>
    <s v="ccber_user"/>
    <n v="-119.873444313368"/>
    <n v="34.421799208733503"/>
  </r>
  <r>
    <n v="135"/>
    <d v="2021-05-25T00:00:00"/>
    <d v="2021-05-25T08:39:57"/>
    <x v="4"/>
    <x v="3"/>
    <x v="0"/>
    <s v="Vegetation - Herbaceous"/>
    <m/>
    <m/>
    <m/>
    <m/>
    <x v="1"/>
    <m/>
    <m/>
    <m/>
    <m/>
    <m/>
    <m/>
    <m/>
    <m/>
    <m/>
    <m/>
    <m/>
    <m/>
    <m/>
    <m/>
    <m/>
    <s v="e1294744-89fc-4b68-a6f6-4841df8f6f72"/>
    <d v="2021-05-25T15:39:57"/>
    <s v="ccber_user"/>
    <d v="2021-05-25T15:39:57"/>
    <s v="ccber_user"/>
    <n v="-119.87359661823299"/>
    <n v="34.421724482870303"/>
  </r>
  <r>
    <n v="64"/>
    <d v="2021-05-25T00:00:00"/>
    <d v="2021-05-25T09:06:10"/>
    <x v="5"/>
    <x v="3"/>
    <x v="0"/>
    <s v="Water - Wading"/>
    <m/>
    <m/>
    <m/>
    <m/>
    <x v="0"/>
    <m/>
    <m/>
    <m/>
    <m/>
    <m/>
    <m/>
    <m/>
    <m/>
    <m/>
    <m/>
    <m/>
    <m/>
    <m/>
    <m/>
    <m/>
    <s v="5b219988-6782-4d1c-9a6d-632b0141862d"/>
    <d v="2021-05-25T16:06:10"/>
    <s v="ccber_user"/>
    <d v="2021-05-25T16:06:10"/>
    <s v="ccber_user"/>
    <n v="-119.88235330669001"/>
    <n v="34.421191488017598"/>
  </r>
  <r>
    <n v="80"/>
    <d v="2021-05-25T00:00:00"/>
    <d v="2021-05-25T07:06:42"/>
    <x v="5"/>
    <x v="0"/>
    <x v="0"/>
    <s v="Water - Wading"/>
    <m/>
    <m/>
    <m/>
    <m/>
    <x v="1"/>
    <m/>
    <m/>
    <m/>
    <m/>
    <m/>
    <m/>
    <m/>
    <m/>
    <m/>
    <m/>
    <m/>
    <m/>
    <m/>
    <m/>
    <m/>
    <s v="7f8391f7-53e9-42f9-b334-646a33ebf58c"/>
    <d v="2021-05-25T14:06:42"/>
    <s v="ccber_user"/>
    <d v="2021-05-25T14:06:42"/>
    <s v="ccber_user"/>
    <n v="-119.878029642464"/>
    <n v="34.420736909868502"/>
  </r>
  <r>
    <n v="62"/>
    <d v="2021-05-25T00:00:00"/>
    <d v="2021-05-25T09:05:03"/>
    <x v="6"/>
    <x v="0"/>
    <x v="0"/>
    <s v="Water - Floating"/>
    <m/>
    <m/>
    <m/>
    <m/>
    <x v="0"/>
    <m/>
    <m/>
    <m/>
    <m/>
    <m/>
    <m/>
    <m/>
    <m/>
    <m/>
    <m/>
    <m/>
    <m/>
    <m/>
    <m/>
    <m/>
    <s v="0bbdfd47-c42e-4b74-b1de-8a96a2f7a293"/>
    <d v="2021-05-25T16:05:03"/>
    <s v="ccber_user"/>
    <d v="2021-05-25T16:05:03"/>
    <s v="ccber_user"/>
    <n v="-119.88226726784799"/>
    <n v="34.421156029256103"/>
  </r>
  <r>
    <n v="78"/>
    <d v="2021-05-25T00:00:00"/>
    <d v="2021-05-25T06:52:55"/>
    <x v="7"/>
    <x v="3"/>
    <x v="0"/>
    <s v="Fence"/>
    <m/>
    <m/>
    <m/>
    <m/>
    <x v="1"/>
    <m/>
    <m/>
    <m/>
    <m/>
    <m/>
    <m/>
    <m/>
    <m/>
    <m/>
    <m/>
    <m/>
    <m/>
    <m/>
    <m/>
    <m/>
    <s v="7a0ada61-02d3-4eaa-8038-76358fdf110a"/>
    <d v="2021-05-25T13:52:55"/>
    <s v="ccber_user"/>
    <d v="2021-05-25T13:52:55"/>
    <s v="ccber_user"/>
    <n v="-119.87459342929699"/>
    <n v="34.417566488979197"/>
  </r>
  <r>
    <n v="111"/>
    <d v="2021-05-25T00:00:00"/>
    <d v="2021-05-25T07:53:41"/>
    <x v="8"/>
    <x v="4"/>
    <x v="0"/>
    <s v="Vegetation - Tree"/>
    <m/>
    <m/>
    <m/>
    <m/>
    <x v="1"/>
    <m/>
    <m/>
    <m/>
    <m/>
    <m/>
    <m/>
    <m/>
    <m/>
    <m/>
    <m/>
    <m/>
    <m/>
    <m/>
    <m/>
    <m/>
    <s v="15b28c8b-4e60-45ca-bba3-a36ff3a31f58"/>
    <d v="2021-05-25T14:53:41"/>
    <s v="ccber_user"/>
    <d v="2021-05-25T14:56:33"/>
    <s v="ccber_user"/>
    <n v="-119.871490314132"/>
    <n v="34.421622753417303"/>
  </r>
  <r>
    <n v="132"/>
    <d v="2021-05-25T00:00:00"/>
    <d v="2021-05-25T08:36:20"/>
    <x v="9"/>
    <x v="0"/>
    <x v="0"/>
    <s v="Mud"/>
    <m/>
    <m/>
    <m/>
    <m/>
    <x v="1"/>
    <m/>
    <m/>
    <m/>
    <m/>
    <m/>
    <m/>
    <m/>
    <m/>
    <m/>
    <m/>
    <m/>
    <m/>
    <m/>
    <m/>
    <m/>
    <s v="90893ee0-31d6-4dac-981d-68e11f8b5cf2"/>
    <d v="2021-05-25T15:36:20"/>
    <s v="ccber_user"/>
    <d v="2021-05-25T15:36:20"/>
    <s v="ccber_user"/>
    <n v="-119.874637338049"/>
    <n v="34.420384135175901"/>
  </r>
  <r>
    <n v="7"/>
    <d v="2021-05-25T00:00:00"/>
    <d v="2021-05-25T07:08:56"/>
    <x v="10"/>
    <x v="3"/>
    <x v="0"/>
    <s v="Bare ground"/>
    <m/>
    <m/>
    <m/>
    <m/>
    <x v="0"/>
    <m/>
    <m/>
    <m/>
    <m/>
    <m/>
    <m/>
    <m/>
    <m/>
    <m/>
    <m/>
    <m/>
    <m/>
    <m/>
    <m/>
    <m/>
    <s v="9091556b-2a77-47c6-80bf-aee607c518aa"/>
    <d v="2021-05-25T14:08:56"/>
    <s v="ccber_user"/>
    <d v="2021-05-25T14:09:50"/>
    <s v="ccber_user"/>
    <n v="-119.874185033609"/>
    <n v="34.417537049766302"/>
  </r>
  <r>
    <n v="17"/>
    <d v="2021-05-25T00:00:00"/>
    <d v="2021-05-25T07:37:05"/>
    <x v="10"/>
    <x v="3"/>
    <x v="0"/>
    <s v="Fence"/>
    <m/>
    <m/>
    <m/>
    <m/>
    <x v="0"/>
    <m/>
    <m/>
    <m/>
    <m/>
    <m/>
    <m/>
    <m/>
    <m/>
    <m/>
    <m/>
    <m/>
    <m/>
    <m/>
    <m/>
    <m/>
    <s v="461b4a90-98df-4716-a528-c341e45ab4f5"/>
    <d v="2021-05-25T14:37:05"/>
    <s v="ccber_user"/>
    <d v="2021-05-25T14:39:01"/>
    <s v="ccber_user"/>
    <n v="-119.878855755657"/>
    <n v="34.417667560122602"/>
  </r>
  <r>
    <n v="51"/>
    <d v="2021-05-25T00:00:00"/>
    <d v="2021-05-25T08:44:50"/>
    <x v="10"/>
    <x v="3"/>
    <x v="0"/>
    <s v="Vegetation - Shrub"/>
    <m/>
    <m/>
    <m/>
    <m/>
    <x v="0"/>
    <m/>
    <m/>
    <m/>
    <m/>
    <m/>
    <m/>
    <m/>
    <m/>
    <m/>
    <m/>
    <m/>
    <m/>
    <m/>
    <m/>
    <m/>
    <s v="6764d66c-84f6-4c3f-9678-4f6fa519de9c"/>
    <d v="2021-05-25T15:44:50"/>
    <s v="ccber_user"/>
    <d v="2021-05-25T15:44:50"/>
    <s v="ccber_user"/>
    <n v="-119.882991839973"/>
    <n v="34.420573095020501"/>
  </r>
  <r>
    <n v="91"/>
    <d v="2021-05-25T00:00:00"/>
    <d v="2021-05-25T07:16:31"/>
    <x v="10"/>
    <x v="0"/>
    <x v="0"/>
    <s v="Bare ground"/>
    <m/>
    <m/>
    <m/>
    <m/>
    <x v="1"/>
    <m/>
    <m/>
    <m/>
    <m/>
    <m/>
    <m/>
    <m/>
    <m/>
    <m/>
    <m/>
    <m/>
    <m/>
    <m/>
    <m/>
    <m/>
    <s v="dd5eaa66-9091-44bd-82d3-21a1dedba659"/>
    <d v="2021-05-25T14:16:31"/>
    <s v="ccber_user"/>
    <d v="2021-05-25T14:16:31"/>
    <s v="ccber_user"/>
    <n v="-119.873702461333"/>
    <n v="34.418803815076998"/>
  </r>
  <r>
    <n v="74"/>
    <d v="2021-05-25T00:00:00"/>
    <d v="2021-05-25T06:49:19"/>
    <x v="11"/>
    <x v="5"/>
    <x v="0"/>
    <s v="Water - Floating"/>
    <m/>
    <s v="Other"/>
    <s v="two pair plus one chick each"/>
    <n v="5"/>
    <x v="1"/>
    <s v="645"/>
    <m/>
    <n v="65"/>
    <n v="0"/>
    <m/>
    <m/>
    <m/>
    <m/>
    <m/>
    <m/>
    <m/>
    <m/>
    <m/>
    <m/>
    <m/>
    <s v="9fe1082d-7505-4c4d-8368-bb52aca5f98d"/>
    <d v="2021-05-25T13:49:19"/>
    <s v="ccber_user"/>
    <d v="2021-05-25T13:49:19"/>
    <s v="ccber_user"/>
    <n v="-119.874162467031"/>
    <n v="34.417562882998602"/>
  </r>
  <r>
    <n v="146"/>
    <d v="2021-05-25T00:00:00"/>
    <d v="2021-05-25T08:52:11"/>
    <x v="11"/>
    <x v="2"/>
    <x v="1"/>
    <s v="Mud"/>
    <m/>
    <m/>
    <m/>
    <m/>
    <x v="1"/>
    <m/>
    <m/>
    <m/>
    <m/>
    <m/>
    <m/>
    <m/>
    <m/>
    <m/>
    <m/>
    <m/>
    <m/>
    <m/>
    <m/>
    <m/>
    <s v="df974d67-a90f-43a2-9a96-a34b8c6dc7fd"/>
    <d v="2021-05-25T15:52:11"/>
    <s v="ccber_user"/>
    <d v="2021-05-25T15:52:11"/>
    <s v="ccber_user"/>
    <n v="-119.878829180796"/>
    <n v="34.420970804019198"/>
  </r>
  <r>
    <n v="27"/>
    <d v="2021-05-25T00:00:00"/>
    <d v="2021-05-25T07:55:29"/>
    <x v="12"/>
    <x v="0"/>
    <x v="0"/>
    <s v="Vegetation - Tree"/>
    <m/>
    <m/>
    <m/>
    <m/>
    <x v="0"/>
    <m/>
    <m/>
    <m/>
    <m/>
    <m/>
    <m/>
    <m/>
    <m/>
    <m/>
    <m/>
    <m/>
    <m/>
    <m/>
    <m/>
    <m/>
    <s v="81e01ba8-bacb-48e8-9e18-ccf4c65bdea9"/>
    <d v="2021-05-25T14:55:29"/>
    <s v="ccber_user"/>
    <d v="2021-05-25T14:55:29"/>
    <s v="ccber_user"/>
    <n v="-119.882454909741"/>
    <n v="34.419704610271303"/>
  </r>
  <r>
    <n v="8"/>
    <d v="2021-05-25T00:00:00"/>
    <d v="2021-05-25T07:11:31"/>
    <x v="13"/>
    <x v="3"/>
    <x v="0"/>
    <s v="Air"/>
    <m/>
    <m/>
    <m/>
    <m/>
    <x v="0"/>
    <m/>
    <m/>
    <m/>
    <m/>
    <m/>
    <m/>
    <m/>
    <m/>
    <m/>
    <m/>
    <m/>
    <m/>
    <m/>
    <m/>
    <m/>
    <s v="c01bcfa1-ef1d-4f38-93a5-42cb2d4b2264"/>
    <d v="2021-05-25T14:11:31"/>
    <s v="ccber_user"/>
    <d v="2021-05-25T14:13:40"/>
    <s v="ccber_user"/>
    <n v="-119.874936287495"/>
    <n v="34.417542909301403"/>
  </r>
  <r>
    <n v="19"/>
    <d v="2021-05-25T00:00:00"/>
    <d v="2021-05-25T07:40:31"/>
    <x v="13"/>
    <x v="0"/>
    <x v="0"/>
    <s v="Air"/>
    <m/>
    <m/>
    <m/>
    <m/>
    <x v="0"/>
    <m/>
    <m/>
    <m/>
    <m/>
    <m/>
    <m/>
    <m/>
    <m/>
    <m/>
    <m/>
    <m/>
    <m/>
    <m/>
    <m/>
    <m/>
    <s v="d9d9a7e2-81a7-428f-9038-f2ca2351c740"/>
    <d v="2021-05-25T14:40:31"/>
    <s v="ccber_user"/>
    <d v="2021-05-25T14:40:31"/>
    <s v="ccber_user"/>
    <n v="-119.879425900198"/>
    <n v="34.418027783477797"/>
  </r>
  <r>
    <n v="33"/>
    <d v="2021-05-25T00:00:00"/>
    <d v="2021-05-25T08:09:28"/>
    <x v="13"/>
    <x v="3"/>
    <x v="0"/>
    <s v="Air"/>
    <m/>
    <m/>
    <m/>
    <m/>
    <x v="0"/>
    <m/>
    <m/>
    <m/>
    <m/>
    <m/>
    <m/>
    <m/>
    <m/>
    <m/>
    <m/>
    <m/>
    <m/>
    <m/>
    <m/>
    <m/>
    <s v="4640d59d-5694-4341-8d9e-fc1c48b455a3"/>
    <d v="2021-05-25T15:09:28"/>
    <s v="ccber_user"/>
    <d v="2021-05-25T15:09:28"/>
    <s v="ccber_user"/>
    <n v="-119.879395282918"/>
    <n v="34.419084616740399"/>
  </r>
  <r>
    <n v="48"/>
    <d v="2021-05-25T00:00:00"/>
    <d v="2021-05-25T08:37:37"/>
    <x v="13"/>
    <x v="6"/>
    <x v="0"/>
    <s v="Other"/>
    <m/>
    <s v="Nest Building"/>
    <s v="house"/>
    <m/>
    <x v="0"/>
    <m/>
    <m/>
    <m/>
    <m/>
    <m/>
    <m/>
    <m/>
    <m/>
    <m/>
    <m/>
    <m/>
    <m/>
    <m/>
    <m/>
    <m/>
    <s v="8671926d-2147-4053-ac5f-635629b90cce"/>
    <d v="2021-05-25T15:37:37"/>
    <s v="ccber_user"/>
    <d v="2021-05-25T16:21:38"/>
    <s v="ccber_user"/>
    <n v="-119.880924993473"/>
    <n v="34.422327487602701"/>
  </r>
  <r>
    <n v="89"/>
    <d v="2021-05-25T00:00:00"/>
    <d v="2021-05-25T07:15:51"/>
    <x v="13"/>
    <x v="2"/>
    <x v="0"/>
    <s v="Air"/>
    <m/>
    <m/>
    <m/>
    <m/>
    <x v="1"/>
    <m/>
    <m/>
    <m/>
    <m/>
    <m/>
    <m/>
    <m/>
    <m/>
    <m/>
    <m/>
    <m/>
    <m/>
    <m/>
    <m/>
    <m/>
    <s v="a0b321b7-5993-49ae-9626-ab2504fb063e"/>
    <d v="2021-05-25T14:15:51"/>
    <s v="ccber_user"/>
    <d v="2021-05-25T14:15:51"/>
    <s v="ccber_user"/>
    <n v="-119.874404810935"/>
    <n v="34.418149355249298"/>
  </r>
  <r>
    <n v="113"/>
    <d v="2021-05-25T00:00:00"/>
    <d v="2021-05-25T08:01:59"/>
    <x v="13"/>
    <x v="7"/>
    <x v="0"/>
    <s v="Air"/>
    <m/>
    <s v="Other"/>
    <s v="nesting in buildings"/>
    <m/>
    <x v="1"/>
    <m/>
    <m/>
    <m/>
    <m/>
    <m/>
    <m/>
    <m/>
    <m/>
    <m/>
    <m/>
    <m/>
    <m/>
    <m/>
    <m/>
    <m/>
    <s v="7399378e-cd61-47f0-8135-ce98df6f0f25"/>
    <d v="2021-05-25T15:01:59"/>
    <s v="ccber_user"/>
    <d v="2021-05-25T15:01:59"/>
    <s v="ccber_user"/>
    <n v="-119.87201680594001"/>
    <n v="34.422864222498703"/>
  </r>
  <r>
    <n v="41"/>
    <d v="2021-05-25T00:00:00"/>
    <d v="2021-05-25T08:22:18"/>
    <x v="14"/>
    <x v="0"/>
    <x v="0"/>
    <s v="Vegetation - Shrub"/>
    <m/>
    <m/>
    <m/>
    <m/>
    <x v="0"/>
    <m/>
    <m/>
    <m/>
    <m/>
    <m/>
    <m/>
    <m/>
    <m/>
    <m/>
    <m/>
    <m/>
    <m/>
    <m/>
    <m/>
    <m/>
    <s v="7bba33a0-b55d-47ae-b0f5-fd37a9b58125"/>
    <d v="2021-05-25T15:22:18"/>
    <s v="ccber_user"/>
    <d v="2021-05-25T15:22:18"/>
    <s v="ccber_user"/>
    <n v="-119.87763649927101"/>
    <n v="34.420846885811102"/>
  </r>
  <r>
    <n v="47"/>
    <d v="2021-05-25T00:00:00"/>
    <d v="2021-05-25T08:31:47"/>
    <x v="14"/>
    <x v="0"/>
    <x v="0"/>
    <s v="Vegetation - Herbaceous"/>
    <m/>
    <m/>
    <m/>
    <m/>
    <x v="0"/>
    <m/>
    <m/>
    <m/>
    <m/>
    <m/>
    <m/>
    <m/>
    <m/>
    <m/>
    <m/>
    <m/>
    <m/>
    <m/>
    <m/>
    <m/>
    <s v="8a56603a-fddf-43a9-be20-055d3352a494"/>
    <d v="2021-05-25T15:31:47"/>
    <s v="ccber_user"/>
    <d v="2021-05-25T15:31:47"/>
    <s v="ccber_user"/>
    <n v="-119.880686617427"/>
    <n v="34.421352211588598"/>
  </r>
  <r>
    <n v="52"/>
    <d v="2021-05-25T00:00:00"/>
    <d v="2021-05-25T08:45:10"/>
    <x v="14"/>
    <x v="0"/>
    <x v="0"/>
    <s v="Vegetation - Herbaceous"/>
    <m/>
    <m/>
    <m/>
    <m/>
    <x v="0"/>
    <m/>
    <m/>
    <m/>
    <m/>
    <m/>
    <m/>
    <m/>
    <m/>
    <m/>
    <m/>
    <m/>
    <m/>
    <m/>
    <m/>
    <m/>
    <s v="719c7bce-605e-456c-8026-055a710f6a08"/>
    <d v="2021-05-25T15:45:10"/>
    <s v="ccber_user"/>
    <d v="2021-05-25T15:45:10"/>
    <s v="ccber_user"/>
    <n v="-119.88226068589201"/>
    <n v="34.420918189656199"/>
  </r>
  <r>
    <n v="116"/>
    <d v="2021-05-25T00:00:00"/>
    <d v="2021-05-25T08:08:38"/>
    <x v="14"/>
    <x v="0"/>
    <x v="0"/>
    <s v="Vegetation - Tree"/>
    <s v="M"/>
    <m/>
    <m/>
    <m/>
    <x v="1"/>
    <m/>
    <m/>
    <m/>
    <m/>
    <m/>
    <m/>
    <m/>
    <m/>
    <m/>
    <m/>
    <m/>
    <m/>
    <m/>
    <m/>
    <m/>
    <s v="8291a9c6-c0ea-41cc-bf1e-2a87e0d51c80"/>
    <d v="2021-05-25T15:08:38"/>
    <s v="ccber_user"/>
    <d v="2021-05-25T15:08:38"/>
    <s v="ccber_user"/>
    <n v="-119.87252461817999"/>
    <n v="34.422187459507199"/>
  </r>
  <r>
    <n v="128"/>
    <d v="2021-05-25T00:00:00"/>
    <d v="2021-05-25T08:31:45"/>
    <x v="14"/>
    <x v="0"/>
    <x v="0"/>
    <s v="Vegetation - Shrub"/>
    <m/>
    <m/>
    <m/>
    <m/>
    <x v="1"/>
    <m/>
    <m/>
    <m/>
    <m/>
    <m/>
    <m/>
    <m/>
    <m/>
    <m/>
    <m/>
    <m/>
    <m/>
    <m/>
    <m/>
    <m/>
    <s v="aad66694-707e-4188-9f38-902f9007edd6"/>
    <d v="2021-05-25T15:31:45"/>
    <s v="ccber_user"/>
    <d v="2021-05-25T15:31:45"/>
    <s v="ccber_user"/>
    <n v="-119.87387085233"/>
    <n v="34.421668009748998"/>
  </r>
  <r>
    <n v="157"/>
    <d v="2021-05-25T00:00:00"/>
    <d v="2021-05-25T09:01:19"/>
    <x v="14"/>
    <x v="0"/>
    <x v="0"/>
    <s v="Vegetation - Shrub"/>
    <m/>
    <m/>
    <m/>
    <m/>
    <x v="1"/>
    <m/>
    <m/>
    <m/>
    <m/>
    <m/>
    <m/>
    <m/>
    <m/>
    <m/>
    <m/>
    <m/>
    <m/>
    <m/>
    <m/>
    <m/>
    <s v="9a2bcdae-1481-419d-9d57-76010236667f"/>
    <d v="2021-05-25T16:01:19"/>
    <s v="ccber_user"/>
    <d v="2021-05-25T16:01:19"/>
    <s v="ccber_user"/>
    <n v="-119.877055993561"/>
    <n v="34.421007298072603"/>
  </r>
  <r>
    <n v="163"/>
    <d v="2021-05-25T00:00:00"/>
    <d v="2021-05-25T09:11:09"/>
    <x v="14"/>
    <x v="0"/>
    <x v="0"/>
    <s v="Vegetation - Shrub"/>
    <m/>
    <m/>
    <m/>
    <m/>
    <x v="1"/>
    <m/>
    <m/>
    <m/>
    <m/>
    <m/>
    <m/>
    <m/>
    <m/>
    <m/>
    <m/>
    <m/>
    <m/>
    <m/>
    <m/>
    <m/>
    <s v="eafc50fe-fc66-41ab-b875-fe984f051e4e"/>
    <d v="2021-05-25T16:11:09"/>
    <s v="ccber_user"/>
    <d v="2021-05-25T16:11:09"/>
    <s v="ccber_user"/>
    <n v="-119.878967271618"/>
    <n v="34.421611023803301"/>
  </r>
  <r>
    <n v="169"/>
    <d v="2021-05-25T00:00:00"/>
    <d v="2021-05-25T09:17:16"/>
    <x v="14"/>
    <x v="3"/>
    <x v="0"/>
    <s v="Vegetation - Shrub"/>
    <m/>
    <m/>
    <m/>
    <m/>
    <x v="1"/>
    <m/>
    <m/>
    <m/>
    <m/>
    <m/>
    <m/>
    <m/>
    <m/>
    <m/>
    <m/>
    <m/>
    <m/>
    <m/>
    <m/>
    <m/>
    <s v="48f2b13c-24dc-49ce-a703-662e934085b3"/>
    <d v="2021-05-25T16:17:16"/>
    <s v="ccber_user"/>
    <d v="2021-05-25T16:17:16"/>
    <s v="ccber_user"/>
    <n v="-119.878782139618"/>
    <n v="34.4214504000267"/>
  </r>
  <r>
    <n v="171"/>
    <d v="2021-05-25T00:00:00"/>
    <d v="2021-05-25T09:28:30"/>
    <x v="15"/>
    <x v="3"/>
    <x v="0"/>
    <s v="Air"/>
    <m/>
    <m/>
    <s v="two courting in air"/>
    <m/>
    <x v="1"/>
    <m/>
    <m/>
    <m/>
    <m/>
    <m/>
    <m/>
    <m/>
    <m/>
    <m/>
    <m/>
    <m/>
    <m/>
    <m/>
    <m/>
    <m/>
    <s v="8de9cfea-6ea0-4e0b-a5ec-99496a5ed476"/>
    <d v="2021-05-25T16:28:30"/>
    <s v="ccber_user"/>
    <d v="2021-05-25T16:28:30"/>
    <s v="ccber_user"/>
    <n v="-119.882058750006"/>
    <n v="34.419424723651098"/>
  </r>
  <r>
    <n v="65"/>
    <d v="2021-05-25T00:00:00"/>
    <d v="2021-05-25T09:06:39"/>
    <x v="16"/>
    <x v="0"/>
    <x v="0"/>
    <s v="Vegetation - Tree"/>
    <m/>
    <m/>
    <m/>
    <m/>
    <x v="0"/>
    <m/>
    <m/>
    <m/>
    <m/>
    <m/>
    <m/>
    <m/>
    <m/>
    <m/>
    <m/>
    <m/>
    <m/>
    <m/>
    <m/>
    <m/>
    <s v="8fb4b6ae-ebfc-4bb0-9e61-56de763a5e08"/>
    <d v="2021-05-25T16:06:39"/>
    <s v="ccber_user"/>
    <d v="2021-05-25T16:06:39"/>
    <s v="ccber_user"/>
    <n v="-119.882221433108"/>
    <n v="34.421612016770901"/>
  </r>
  <r>
    <n v="134"/>
    <d v="2021-05-25T00:00:00"/>
    <d v="2021-05-25T08:37:12"/>
    <x v="17"/>
    <x v="0"/>
    <x v="0"/>
    <s v="Air"/>
    <m/>
    <m/>
    <m/>
    <m/>
    <x v="1"/>
    <m/>
    <m/>
    <m/>
    <m/>
    <m/>
    <m/>
    <m/>
    <m/>
    <m/>
    <m/>
    <m/>
    <m/>
    <m/>
    <m/>
    <m/>
    <s v="60526636-fab1-4ad5-9b2b-ac8d393b3fb6"/>
    <d v="2021-05-25T15:37:12"/>
    <s v="ccber_user"/>
    <d v="2021-05-25T15:37:12"/>
    <s v="ccber_user"/>
    <n v="-119.87471896256901"/>
    <n v="34.421017488660702"/>
  </r>
  <r>
    <n v="76"/>
    <d v="2021-05-25T00:00:00"/>
    <d v="2021-05-25T06:50:56"/>
    <x v="18"/>
    <x v="0"/>
    <x v="0"/>
    <s v="Water - Wading"/>
    <m/>
    <m/>
    <m/>
    <m/>
    <x v="1"/>
    <m/>
    <m/>
    <m/>
    <m/>
    <m/>
    <m/>
    <m/>
    <m/>
    <m/>
    <m/>
    <m/>
    <m/>
    <m/>
    <m/>
    <m/>
    <s v="9f4a1b9e-e3f5-48df-87f7-ba94e0d34ef0"/>
    <d v="2021-05-25T13:50:56"/>
    <s v="ccber_user"/>
    <d v="2021-05-25T13:50:56"/>
    <s v="ccber_user"/>
    <n v="-119.874593749097"/>
    <n v="34.417894710379599"/>
  </r>
  <r>
    <n v="92"/>
    <d v="2021-05-25T00:00:00"/>
    <d v="2021-05-25T07:20:21"/>
    <x v="18"/>
    <x v="1"/>
    <x v="0"/>
    <s v="Water - Floating"/>
    <m/>
    <m/>
    <m/>
    <m/>
    <x v="1"/>
    <m/>
    <m/>
    <m/>
    <m/>
    <m/>
    <m/>
    <m/>
    <m/>
    <m/>
    <m/>
    <m/>
    <m/>
    <m/>
    <m/>
    <m/>
    <s v="fe5062e8-9596-412c-aaa1-b780a61310a4"/>
    <d v="2021-05-25T14:20:21"/>
    <s v="ccber_user"/>
    <d v="2021-05-25T14:20:21"/>
    <s v="ccber_user"/>
    <n v="-119.875674172652"/>
    <n v="34.419410148875897"/>
  </r>
  <r>
    <n v="126"/>
    <d v="2021-05-25T00:00:00"/>
    <d v="2021-05-25T08:30:11"/>
    <x v="18"/>
    <x v="0"/>
    <x v="0"/>
    <s v="Water - Floating"/>
    <m/>
    <m/>
    <m/>
    <m/>
    <x v="1"/>
    <m/>
    <m/>
    <m/>
    <m/>
    <m/>
    <m/>
    <m/>
    <m/>
    <m/>
    <m/>
    <m/>
    <m/>
    <m/>
    <m/>
    <m/>
    <s v="9557eb92-d027-41e4-9fde-4d1df10de26b"/>
    <d v="2021-05-25T15:30:11"/>
    <s v="ccber_user"/>
    <d v="2021-05-25T15:30:11"/>
    <s v="ccber_user"/>
    <n v="-119.87352720541099"/>
    <n v="34.421730848969297"/>
  </r>
  <r>
    <n v="145"/>
    <d v="2021-05-25T00:00:00"/>
    <d v="2021-05-25T08:51:48"/>
    <x v="18"/>
    <x v="3"/>
    <x v="1"/>
    <s v="Water - Floating"/>
    <m/>
    <m/>
    <m/>
    <m/>
    <x v="1"/>
    <m/>
    <m/>
    <m/>
    <m/>
    <m/>
    <m/>
    <m/>
    <m/>
    <m/>
    <m/>
    <m/>
    <m/>
    <m/>
    <m/>
    <m/>
    <s v="d01592ca-bb81-4859-a74c-2053e8131875"/>
    <d v="2021-05-25T15:51:48"/>
    <s v="ccber_user"/>
    <d v="2021-05-25T15:51:48"/>
    <s v="ccber_user"/>
    <n v="-119.877615334963"/>
    <n v="34.420535451440003"/>
  </r>
  <r>
    <n v="148"/>
    <d v="2021-05-25T00:00:00"/>
    <d v="2021-05-25T08:53:02"/>
    <x v="18"/>
    <x v="0"/>
    <x v="1"/>
    <s v="Mud"/>
    <m/>
    <m/>
    <m/>
    <m/>
    <x v="1"/>
    <m/>
    <m/>
    <m/>
    <m/>
    <m/>
    <m/>
    <m/>
    <m/>
    <m/>
    <m/>
    <m/>
    <m/>
    <m/>
    <m/>
    <m/>
    <s v="f6195490-7700-469a-aff5-b30fc7e25b40"/>
    <d v="2021-05-25T15:53:02"/>
    <s v="ccber_user"/>
    <d v="2021-05-25T15:53:02"/>
    <s v="ccber_user"/>
    <n v="-119.87856146756999"/>
    <n v="34.421019769538198"/>
  </r>
  <r>
    <n v="165"/>
    <d v="2021-05-25T00:00:00"/>
    <d v="2021-05-25T09:13:52"/>
    <x v="18"/>
    <x v="3"/>
    <x v="0"/>
    <s v="Mud"/>
    <m/>
    <m/>
    <m/>
    <m/>
    <x v="1"/>
    <m/>
    <m/>
    <m/>
    <m/>
    <m/>
    <m/>
    <m/>
    <m/>
    <m/>
    <m/>
    <m/>
    <m/>
    <m/>
    <m/>
    <m/>
    <s v="955744a3-2022-4533-8b24-3b2f4b488897"/>
    <d v="2021-05-25T16:13:52"/>
    <s v="ccber_user"/>
    <d v="2021-05-25T16:13:52"/>
    <s v="ccber_user"/>
    <n v="-119.87898224024499"/>
    <n v="34.421289200907403"/>
  </r>
  <r>
    <n v="125"/>
    <d v="2021-05-25T00:00:00"/>
    <d v="2021-05-25T08:23:01"/>
    <x v="19"/>
    <x v="0"/>
    <x v="0"/>
    <s v="Air"/>
    <m/>
    <m/>
    <m/>
    <m/>
    <x v="1"/>
    <m/>
    <m/>
    <m/>
    <m/>
    <m/>
    <m/>
    <m/>
    <m/>
    <m/>
    <m/>
    <m/>
    <m/>
    <m/>
    <m/>
    <m/>
    <s v="e748a98f-37af-4040-867c-15c809fa3493"/>
    <d v="2021-05-25T15:23:01"/>
    <s v="ccber_user"/>
    <d v="2021-05-25T15:23:01"/>
    <s v="ccber_user"/>
    <n v="-119.87284019633999"/>
    <n v="34.422179324638897"/>
  </r>
  <r>
    <n v="45"/>
    <d v="2021-05-25T00:00:00"/>
    <d v="2021-05-25T08:26:33"/>
    <x v="20"/>
    <x v="0"/>
    <x v="0"/>
    <s v="Flyover"/>
    <m/>
    <m/>
    <m/>
    <m/>
    <x v="0"/>
    <m/>
    <m/>
    <m/>
    <m/>
    <m/>
    <m/>
    <m/>
    <m/>
    <m/>
    <m/>
    <m/>
    <m/>
    <m/>
    <m/>
    <m/>
    <s v="51987943-eadf-4f04-a616-770748d751f0"/>
    <d v="2021-05-25T15:26:33"/>
    <s v="ccber_user"/>
    <d v="2021-05-25T15:26:33"/>
    <s v="ccber_user"/>
    <n v="-119.87946194959"/>
    <n v="34.420877333137597"/>
  </r>
  <r>
    <n v="164"/>
    <d v="2021-05-25T00:00:00"/>
    <d v="2021-05-25T09:12:47"/>
    <x v="21"/>
    <x v="0"/>
    <x v="1"/>
    <s v="Mud"/>
    <m/>
    <m/>
    <s v="Changed to repeat after review"/>
    <m/>
    <x v="1"/>
    <m/>
    <m/>
    <m/>
    <m/>
    <m/>
    <m/>
    <m/>
    <m/>
    <m/>
    <m/>
    <m/>
    <m/>
    <m/>
    <m/>
    <m/>
    <s v="7231535c-9413-4b90-a327-1e4439954a6f"/>
    <d v="2021-05-25T16:12:47"/>
    <s v="ccber_user"/>
    <d v="2021-05-25T16:12:47"/>
    <s v="ccber_user"/>
    <n v="-119.878940071529"/>
    <n v="34.421503830660598"/>
  </r>
  <r>
    <n v="170"/>
    <d v="2021-05-25T00:00:00"/>
    <d v="2021-05-25T09:21:06"/>
    <x v="21"/>
    <x v="3"/>
    <x v="0"/>
    <s v="Vegetation - Tree"/>
    <m/>
    <m/>
    <s v="two in creek. one from bridge"/>
    <m/>
    <x v="1"/>
    <m/>
    <m/>
    <m/>
    <m/>
    <m/>
    <m/>
    <m/>
    <m/>
    <m/>
    <m/>
    <m/>
    <m/>
    <m/>
    <m/>
    <m/>
    <s v="629635c8-8360-4d02-87aa-d2bcc310becb"/>
    <d v="2021-05-25T16:21:06"/>
    <s v="ccber_user"/>
    <d v="2021-05-25T16:21:06"/>
    <s v="ccber_user"/>
    <n v="-119.87903959588"/>
    <n v="34.4221172304769"/>
  </r>
  <r>
    <n v="12"/>
    <d v="2021-05-25T00:00:00"/>
    <d v="2021-05-25T07:20:05"/>
    <x v="22"/>
    <x v="0"/>
    <x v="0"/>
    <s v="Vegetation - Tree"/>
    <m/>
    <m/>
    <m/>
    <m/>
    <x v="0"/>
    <m/>
    <m/>
    <m/>
    <m/>
    <m/>
    <m/>
    <m/>
    <m/>
    <m/>
    <m/>
    <m/>
    <m/>
    <m/>
    <m/>
    <m/>
    <s v="4ae00a7c-568b-4455-8c30-0e9b99b2f5e8"/>
    <d v="2021-05-25T14:20:05"/>
    <s v="ccber_user"/>
    <d v="2021-05-25T14:20:05"/>
    <s v="ccber_user"/>
    <n v="-119.87679913378101"/>
    <n v="34.417702783225799"/>
  </r>
  <r>
    <n v="22"/>
    <d v="2021-05-25T00:00:00"/>
    <d v="2021-05-25T07:47:28"/>
    <x v="22"/>
    <x v="3"/>
    <x v="0"/>
    <s v="Vegetation - Tree"/>
    <m/>
    <m/>
    <m/>
    <m/>
    <x v="0"/>
    <m/>
    <m/>
    <m/>
    <m/>
    <m/>
    <m/>
    <m/>
    <m/>
    <m/>
    <m/>
    <m/>
    <m/>
    <m/>
    <m/>
    <m/>
    <s v="e09ee9e0-0358-4550-b687-63f39a381787"/>
    <d v="2021-05-25T14:47:28"/>
    <s v="ccber_user"/>
    <d v="2021-05-25T14:47:28"/>
    <s v="ccber_user"/>
    <n v="-119.88115526851099"/>
    <n v="34.418442842900298"/>
  </r>
  <r>
    <n v="29"/>
    <d v="2021-05-25T00:00:00"/>
    <d v="2021-05-25T07:58:46"/>
    <x v="22"/>
    <x v="5"/>
    <x v="0"/>
    <s v="Vegetation - Shrub"/>
    <m/>
    <m/>
    <m/>
    <m/>
    <x v="0"/>
    <m/>
    <m/>
    <m/>
    <m/>
    <m/>
    <m/>
    <m/>
    <m/>
    <m/>
    <m/>
    <m/>
    <m/>
    <m/>
    <m/>
    <m/>
    <s v="36a0be6d-72af-4447-9ad0-8f837657eab1"/>
    <d v="2021-05-25T14:58:46"/>
    <s v="ccber_user"/>
    <d v="2021-05-25T14:58:46"/>
    <s v="ccber_user"/>
    <n v="-119.882356483132"/>
    <n v="34.420156730096501"/>
  </r>
  <r>
    <n v="34"/>
    <d v="2021-05-25T00:00:00"/>
    <d v="2021-05-25T08:10:14"/>
    <x v="22"/>
    <x v="3"/>
    <x v="0"/>
    <s v="Vegetation - Herbaceous"/>
    <m/>
    <m/>
    <m/>
    <m/>
    <x v="0"/>
    <m/>
    <m/>
    <m/>
    <m/>
    <m/>
    <m/>
    <m/>
    <m/>
    <m/>
    <m/>
    <m/>
    <m/>
    <m/>
    <m/>
    <m/>
    <s v="9b443586-366f-4b40-a50e-b42f4d0ccdbe"/>
    <d v="2021-05-25T15:10:14"/>
    <s v="ccber_user"/>
    <d v="2021-05-25T15:10:14"/>
    <s v="ccber_user"/>
    <n v="-119.878025247905"/>
    <n v="34.4202620168073"/>
  </r>
  <r>
    <n v="37"/>
    <d v="2021-05-25T00:00:00"/>
    <d v="2021-05-25T08:15:08"/>
    <x v="22"/>
    <x v="0"/>
    <x v="0"/>
    <s v="Vegetation - Tree"/>
    <m/>
    <m/>
    <m/>
    <m/>
    <x v="0"/>
    <m/>
    <m/>
    <m/>
    <m/>
    <m/>
    <m/>
    <m/>
    <m/>
    <m/>
    <m/>
    <m/>
    <m/>
    <m/>
    <m/>
    <m/>
    <s v="36fc42da-ca36-43a6-96e4-8a7755763c7d"/>
    <d v="2021-05-25T15:15:08"/>
    <s v="ccber_user"/>
    <d v="2021-05-25T15:15:08"/>
    <s v="ccber_user"/>
    <n v="-119.877584133778"/>
    <n v="34.4195221169946"/>
  </r>
  <r>
    <n v="46"/>
    <d v="2021-05-25T00:00:00"/>
    <d v="2021-05-25T08:27:13"/>
    <x v="22"/>
    <x v="3"/>
    <x v="0"/>
    <s v="Vegetation - Herbaceous"/>
    <m/>
    <m/>
    <m/>
    <m/>
    <x v="0"/>
    <m/>
    <m/>
    <m/>
    <m/>
    <m/>
    <m/>
    <m/>
    <m/>
    <m/>
    <m/>
    <m/>
    <m/>
    <m/>
    <m/>
    <m/>
    <s v="b4c9d0d1-97cd-4f65-bd0e-87b0027cba8e"/>
    <d v="2021-05-25T15:27:13"/>
    <s v="ccber_user"/>
    <d v="2021-05-25T15:27:13"/>
    <s v="ccber_user"/>
    <n v="-119.879509233314"/>
    <n v="34.420906266535297"/>
  </r>
  <r>
    <n v="49"/>
    <d v="2021-05-25T00:00:00"/>
    <d v="2021-05-25T08:38:24"/>
    <x v="22"/>
    <x v="8"/>
    <x v="0"/>
    <s v="Fence"/>
    <m/>
    <m/>
    <m/>
    <m/>
    <x v="0"/>
    <m/>
    <m/>
    <m/>
    <m/>
    <m/>
    <m/>
    <m/>
    <m/>
    <m/>
    <m/>
    <m/>
    <m/>
    <m/>
    <m/>
    <m/>
    <s v="81c4ed98-2e57-4674-b6c8-cba9ec89456e"/>
    <d v="2021-05-25T15:38:24"/>
    <s v="ccber_user"/>
    <d v="2021-05-25T15:38:24"/>
    <s v="ccber_user"/>
    <n v="-119.880992683326"/>
    <n v="34.421110866757502"/>
  </r>
  <r>
    <n v="61"/>
    <d v="2021-05-25T00:00:00"/>
    <d v="2021-05-25T08:54:35"/>
    <x v="22"/>
    <x v="3"/>
    <x v="0"/>
    <s v="Habitat Feature - Log"/>
    <m/>
    <m/>
    <m/>
    <m/>
    <x v="0"/>
    <m/>
    <m/>
    <m/>
    <m/>
    <m/>
    <m/>
    <m/>
    <m/>
    <m/>
    <m/>
    <m/>
    <m/>
    <m/>
    <m/>
    <m/>
    <s v="54fa0b13-f625-4c06-86fa-1ecdde9ac584"/>
    <d v="2021-05-25T15:54:35"/>
    <s v="ccber_user"/>
    <d v="2021-05-25T16:03:56"/>
    <s v="ccber_user"/>
    <n v="-119.884141086157"/>
    <n v="34.4211554201339"/>
  </r>
  <r>
    <n v="90"/>
    <d v="2021-05-25T00:00:00"/>
    <d v="2021-05-25T07:16:06"/>
    <x v="22"/>
    <x v="3"/>
    <x v="0"/>
    <s v="Vegetation - Shrub"/>
    <m/>
    <m/>
    <m/>
    <m/>
    <x v="1"/>
    <m/>
    <m/>
    <m/>
    <m/>
    <m/>
    <m/>
    <m/>
    <m/>
    <m/>
    <m/>
    <m/>
    <m/>
    <m/>
    <m/>
    <m/>
    <s v="066b9d25-6108-4389-875b-74c35d0a7cfd"/>
    <d v="2021-05-25T14:16:06"/>
    <s v="ccber_user"/>
    <d v="2021-05-25T14:16:06"/>
    <s v="ccber_user"/>
    <n v="-119.873793463366"/>
    <n v="34.418980904006297"/>
  </r>
  <r>
    <n v="100"/>
    <d v="2021-05-25T00:00:00"/>
    <d v="2021-05-25T07:38:54"/>
    <x v="22"/>
    <x v="0"/>
    <x v="0"/>
    <s v="Fence"/>
    <m/>
    <m/>
    <m/>
    <m/>
    <x v="1"/>
    <m/>
    <m/>
    <m/>
    <m/>
    <m/>
    <m/>
    <m/>
    <m/>
    <m/>
    <m/>
    <m/>
    <m/>
    <m/>
    <m/>
    <m/>
    <s v="fad62d29-5c32-40e9-8df1-4e2ff1007099"/>
    <d v="2021-05-25T14:38:54"/>
    <s v="ccber_user"/>
    <d v="2021-05-25T14:38:54"/>
    <s v="ccber_user"/>
    <n v="-119.872111781222"/>
    <n v="34.420901021547202"/>
  </r>
  <r>
    <n v="105"/>
    <d v="2021-05-25T00:00:00"/>
    <d v="2021-05-25T07:45:59"/>
    <x v="22"/>
    <x v="0"/>
    <x v="0"/>
    <s v="Bare ground"/>
    <m/>
    <m/>
    <m/>
    <m/>
    <x v="1"/>
    <m/>
    <m/>
    <m/>
    <m/>
    <m/>
    <m/>
    <m/>
    <m/>
    <m/>
    <m/>
    <m/>
    <m/>
    <m/>
    <m/>
    <m/>
    <s v="3cfc5009-3de9-4d32-a0fc-6454dbbcf4c7"/>
    <d v="2021-05-25T14:45:59"/>
    <s v="ccber_user"/>
    <d v="2021-05-25T14:45:59"/>
    <s v="ccber_user"/>
    <n v="-119.871059076083"/>
    <n v="34.420616648293702"/>
  </r>
  <r>
    <n v="110"/>
    <d v="2021-05-25T00:00:00"/>
    <d v="2021-05-25T07:52:14"/>
    <x v="22"/>
    <x v="3"/>
    <x v="0"/>
    <s v="Vegetation - Shrub"/>
    <m/>
    <m/>
    <m/>
    <m/>
    <x v="1"/>
    <m/>
    <m/>
    <m/>
    <m/>
    <m/>
    <m/>
    <m/>
    <m/>
    <m/>
    <m/>
    <m/>
    <m/>
    <m/>
    <m/>
    <m/>
    <s v="2d117292-194a-4c47-a9e8-79c508a945e6"/>
    <d v="2021-05-25T14:52:14"/>
    <s v="ccber_user"/>
    <d v="2021-05-25T14:52:14"/>
    <s v="ccber_user"/>
    <n v="-119.870333417895"/>
    <n v="34.421428115268803"/>
  </r>
  <r>
    <n v="112"/>
    <d v="2021-05-25T00:00:00"/>
    <d v="2021-05-25T07:58:46"/>
    <x v="22"/>
    <x v="3"/>
    <x v="0"/>
    <s v="Vegetation - Tree"/>
    <m/>
    <m/>
    <m/>
    <m/>
    <x v="1"/>
    <m/>
    <m/>
    <m/>
    <m/>
    <m/>
    <m/>
    <m/>
    <m/>
    <m/>
    <m/>
    <m/>
    <m/>
    <m/>
    <m/>
    <m/>
    <s v="141fb23d-acba-41b4-9d65-9f398c4aaef6"/>
    <d v="2021-05-25T14:58:46"/>
    <s v="ccber_user"/>
    <d v="2021-05-25T14:58:46"/>
    <s v="ccber_user"/>
    <n v="-119.871493778036"/>
    <n v="34.422182774066201"/>
  </r>
  <r>
    <n v="114"/>
    <d v="2021-05-25T00:00:00"/>
    <d v="2021-05-25T08:02:46"/>
    <x v="22"/>
    <x v="3"/>
    <x v="0"/>
    <s v="Vegetation - Tree"/>
    <m/>
    <s v="Feeding/Begging"/>
    <s v="in willow one baby"/>
    <m/>
    <x v="1"/>
    <m/>
    <m/>
    <m/>
    <m/>
    <m/>
    <m/>
    <m/>
    <m/>
    <m/>
    <m/>
    <m/>
    <m/>
    <m/>
    <m/>
    <m/>
    <s v="6111e819-6cd6-45ea-8dde-d78d94859517"/>
    <d v="2021-05-25T15:02:46"/>
    <s v="ccber_user"/>
    <d v="2021-05-25T15:02:46"/>
    <s v="ccber_user"/>
    <n v="-119.872231558989"/>
    <n v="34.422541356635101"/>
  </r>
  <r>
    <n v="151"/>
    <d v="2021-05-25T00:00:00"/>
    <d v="2021-05-25T08:57:48"/>
    <x v="22"/>
    <x v="2"/>
    <x v="0"/>
    <s v="Vegetation - Shrub"/>
    <m/>
    <s v="Feeding/Begging"/>
    <s v="family"/>
    <m/>
    <x v="1"/>
    <m/>
    <m/>
    <m/>
    <m/>
    <m/>
    <m/>
    <m/>
    <m/>
    <m/>
    <m/>
    <m/>
    <m/>
    <m/>
    <m/>
    <m/>
    <s v="c4feaffa-5570-4fea-bf25-32905ae9b761"/>
    <d v="2021-05-25T15:57:48"/>
    <s v="ccber_user"/>
    <d v="2021-05-25T15:57:48"/>
    <s v="ccber_user"/>
    <n v="-119.877461427504"/>
    <n v="34.420843045807203"/>
  </r>
  <r>
    <n v="156"/>
    <d v="2021-05-25T00:00:00"/>
    <d v="2021-05-25T09:00:53"/>
    <x v="22"/>
    <x v="2"/>
    <x v="0"/>
    <s v="Air"/>
    <m/>
    <m/>
    <m/>
    <m/>
    <x v="1"/>
    <m/>
    <m/>
    <m/>
    <m/>
    <m/>
    <m/>
    <m/>
    <m/>
    <m/>
    <m/>
    <m/>
    <m/>
    <m/>
    <m/>
    <m/>
    <s v="5104509c-4622-4e3e-adc2-faa902a0e513"/>
    <d v="2021-05-25T16:00:53"/>
    <s v="ccber_user"/>
    <d v="2021-05-25T16:00:53"/>
    <s v="ccber_user"/>
    <n v="-119.877047225106"/>
    <n v="34.4210289982733"/>
  </r>
  <r>
    <n v="159"/>
    <d v="2021-05-25T00:00:00"/>
    <d v="2021-05-25T09:03:44"/>
    <x v="22"/>
    <x v="0"/>
    <x v="0"/>
    <s v="Vegetation - Tree"/>
    <m/>
    <m/>
    <m/>
    <m/>
    <x v="1"/>
    <m/>
    <m/>
    <m/>
    <m/>
    <m/>
    <m/>
    <m/>
    <m/>
    <m/>
    <m/>
    <m/>
    <m/>
    <m/>
    <m/>
    <m/>
    <s v="628fa47f-38e1-484c-b82a-6a0488f06688"/>
    <d v="2021-05-25T16:03:44"/>
    <s v="ccber_user"/>
    <d v="2021-05-25T16:03:44"/>
    <s v="ccber_user"/>
    <n v="-119.87779377271799"/>
    <n v="34.421697071069502"/>
  </r>
  <r>
    <n v="72"/>
    <d v="2021-05-25T00:00:00"/>
    <d v="2021-05-25T09:16:24"/>
    <x v="23"/>
    <x v="0"/>
    <x v="0"/>
    <m/>
    <m/>
    <m/>
    <m/>
    <m/>
    <x v="0"/>
    <m/>
    <m/>
    <m/>
    <m/>
    <m/>
    <m/>
    <m/>
    <m/>
    <m/>
    <m/>
    <m/>
    <m/>
    <m/>
    <m/>
    <m/>
    <s v="bffd1a4d-981c-4d9f-811d-2e81d5937dc4"/>
    <d v="2021-05-25T16:16:24"/>
    <s v="ccber_user"/>
    <d v="2021-05-25T16:16:24"/>
    <s v="ccber_user"/>
    <n v="-119.881314016991"/>
    <n v="34.422001145778097"/>
  </r>
  <r>
    <n v="166"/>
    <d v="2021-05-25T00:00:00"/>
    <d v="2021-05-25T09:14:57"/>
    <x v="23"/>
    <x v="3"/>
    <x v="0"/>
    <s v="Fence"/>
    <m/>
    <m/>
    <m/>
    <m/>
    <x v="1"/>
    <m/>
    <m/>
    <m/>
    <m/>
    <m/>
    <m/>
    <m/>
    <m/>
    <m/>
    <m/>
    <m/>
    <m/>
    <m/>
    <m/>
    <m/>
    <s v="c8912068-8b83-42e7-b6d5-f710bb6f732d"/>
    <d v="2021-05-25T16:14:57"/>
    <s v="ccber_user"/>
    <d v="2021-05-25T16:14:57"/>
    <s v="ccber_user"/>
    <n v="-119.878786372479"/>
    <n v="34.421319535437398"/>
  </r>
  <r>
    <n v="6"/>
    <d v="2021-05-25T00:00:00"/>
    <d v="2021-05-25T07:07:22"/>
    <x v="24"/>
    <x v="2"/>
    <x v="0"/>
    <s v="Bare ground"/>
    <m/>
    <m/>
    <m/>
    <m/>
    <x v="0"/>
    <m/>
    <m/>
    <m/>
    <m/>
    <m/>
    <m/>
    <m/>
    <m/>
    <m/>
    <m/>
    <m/>
    <m/>
    <m/>
    <m/>
    <m/>
    <s v="a7f03fa8-f547-494d-bfe4-3dfc0a66b326"/>
    <d v="2021-05-25T14:07:22"/>
    <s v="ccber_user"/>
    <d v="2021-05-25T14:26:14"/>
    <s v="ccber_user"/>
    <n v="-119.87544342779501"/>
    <n v="34.418173984825501"/>
  </r>
  <r>
    <n v="26"/>
    <d v="2021-05-25T00:00:00"/>
    <d v="2021-05-25T07:53:24"/>
    <x v="24"/>
    <x v="0"/>
    <x v="0"/>
    <s v="Vegetation - Herbaceous"/>
    <m/>
    <m/>
    <m/>
    <m/>
    <x v="0"/>
    <m/>
    <m/>
    <m/>
    <m/>
    <m/>
    <m/>
    <m/>
    <m/>
    <m/>
    <m/>
    <m/>
    <m/>
    <m/>
    <m/>
    <m/>
    <s v="f9b2cdd9-1cf4-46c2-9aba-dd6a1f3dc3b6"/>
    <d v="2021-05-25T14:53:24"/>
    <s v="ccber_user"/>
    <d v="2021-05-25T14:53:24"/>
    <s v="ccber_user"/>
    <n v="-119.880509997863"/>
    <n v="34.419286217239197"/>
  </r>
  <r>
    <n v="31"/>
    <d v="2021-05-25T00:00:00"/>
    <d v="2021-05-25T08:03:45"/>
    <x v="24"/>
    <x v="2"/>
    <x v="0"/>
    <s v="Bare ground"/>
    <m/>
    <m/>
    <m/>
    <m/>
    <x v="0"/>
    <s v="7am "/>
    <m/>
    <m/>
    <m/>
    <m/>
    <m/>
    <m/>
    <m/>
    <m/>
    <m/>
    <m/>
    <m/>
    <m/>
    <m/>
    <m/>
    <s v="af86f1c5-90ec-4d7a-b2c3-1a51425f875d"/>
    <d v="2021-05-25T15:03:45"/>
    <s v="ccber_user"/>
    <d v="2021-05-25T15:03:45"/>
    <s v="ccber_user"/>
    <n v="-119.87853671628901"/>
    <n v="34.420433750181601"/>
  </r>
  <r>
    <n v="32"/>
    <d v="2021-05-25T00:00:00"/>
    <d v="2021-05-25T08:08:28"/>
    <x v="24"/>
    <x v="0"/>
    <x v="0"/>
    <s v="Vegetation - Herbaceous"/>
    <m/>
    <m/>
    <m/>
    <m/>
    <x v="0"/>
    <m/>
    <m/>
    <m/>
    <m/>
    <m/>
    <m/>
    <m/>
    <m/>
    <m/>
    <m/>
    <m/>
    <m/>
    <m/>
    <m/>
    <m/>
    <s v="89c2f964-06ac-4de0-a370-0b0628afd8a9"/>
    <d v="2021-05-25T15:08:28"/>
    <s v="ccber_user"/>
    <d v="2021-05-25T15:08:28"/>
    <s v="ccber_user"/>
    <n v="-119.879554450912"/>
    <n v="34.4195615662018"/>
  </r>
  <r>
    <n v="39"/>
    <d v="2021-05-25T00:00:00"/>
    <d v="2021-05-25T08:19:53"/>
    <x v="24"/>
    <x v="3"/>
    <x v="0"/>
    <s v="Bare ground"/>
    <m/>
    <m/>
    <m/>
    <m/>
    <x v="0"/>
    <m/>
    <m/>
    <m/>
    <m/>
    <m/>
    <m/>
    <m/>
    <m/>
    <m/>
    <m/>
    <m/>
    <m/>
    <m/>
    <m/>
    <m/>
    <s v="a8b8cf95-777a-4438-a106-f0ea10101084"/>
    <d v="2021-05-25T15:19:53"/>
    <s v="ccber_user"/>
    <d v="2021-05-25T15:19:53"/>
    <s v="ccber_user"/>
    <n v="-119.879174096136"/>
    <n v="34.420447488895498"/>
  </r>
  <r>
    <n v="18"/>
    <d v="2021-05-25T00:00:00"/>
    <d v="2021-05-25T07:39:59"/>
    <x v="25"/>
    <x v="3"/>
    <x v="0"/>
    <s v="Vegetation - Herbaceous"/>
    <m/>
    <m/>
    <m/>
    <m/>
    <x v="0"/>
    <m/>
    <m/>
    <m/>
    <m/>
    <m/>
    <m/>
    <m/>
    <m/>
    <m/>
    <m/>
    <m/>
    <m/>
    <m/>
    <m/>
    <m/>
    <s v="9b4ae401-9422-4ca4-be0e-1510c37c16c4"/>
    <d v="2021-05-25T14:39:59"/>
    <s v="ccber_user"/>
    <d v="2021-05-25T14:41:55"/>
    <s v="ccber_user"/>
    <n v="-119.87942035040599"/>
    <n v="34.418026483672001"/>
  </r>
  <r>
    <n v="23"/>
    <d v="2021-05-25T00:00:00"/>
    <d v="2021-05-25T07:47:59"/>
    <x v="25"/>
    <x v="0"/>
    <x v="0"/>
    <s v="Vegetation - Tree"/>
    <m/>
    <m/>
    <m/>
    <m/>
    <x v="0"/>
    <m/>
    <m/>
    <m/>
    <m/>
    <m/>
    <m/>
    <m/>
    <m/>
    <m/>
    <m/>
    <m/>
    <m/>
    <m/>
    <m/>
    <m/>
    <s v="81d01ed3-5d23-4359-a206-4dcc1156581f"/>
    <d v="2021-05-25T14:47:59"/>
    <s v="ccber_user"/>
    <d v="2021-05-25T14:47:59"/>
    <s v="ccber_user"/>
    <n v="-119.881627688027"/>
    <n v="34.419091658130498"/>
  </r>
  <r>
    <n v="11"/>
    <d v="2021-05-25T00:00:00"/>
    <d v="2021-05-25T07:18:18"/>
    <x v="26"/>
    <x v="3"/>
    <x v="0"/>
    <s v="Vegetation - Tree"/>
    <m/>
    <m/>
    <m/>
    <m/>
    <x v="0"/>
    <m/>
    <m/>
    <m/>
    <m/>
    <m/>
    <m/>
    <m/>
    <m/>
    <m/>
    <m/>
    <m/>
    <m/>
    <m/>
    <m/>
    <m/>
    <s v="8fddd884-2194-4c93-a16d-5abbb419de45"/>
    <d v="2021-05-25T14:18:18"/>
    <s v="ccber_user"/>
    <d v="2021-05-25T14:18:57"/>
    <s v="ccber_user"/>
    <n v="-119.876658569897"/>
    <n v="34.417631021630399"/>
  </r>
  <r>
    <n v="15"/>
    <d v="2021-05-25T00:00:00"/>
    <d v="2021-05-25T07:25:25"/>
    <x v="26"/>
    <x v="0"/>
    <x v="0"/>
    <s v="Vegetation - Herbaceous"/>
    <m/>
    <m/>
    <m/>
    <m/>
    <x v="0"/>
    <m/>
    <m/>
    <m/>
    <m/>
    <m/>
    <m/>
    <m/>
    <m/>
    <m/>
    <m/>
    <m/>
    <m/>
    <m/>
    <m/>
    <m/>
    <s v="552efb04-9eac-4023-992e-b097baafebd2"/>
    <d v="2021-05-25T14:25:25"/>
    <s v="ccber_user"/>
    <d v="2021-05-25T14:25:25"/>
    <s v="ccber_user"/>
    <n v="-119.87631781285801"/>
    <n v="34.418681827788802"/>
  </r>
  <r>
    <n v="25"/>
    <d v="2021-05-25T00:00:00"/>
    <d v="2021-05-25T07:52:45"/>
    <x v="26"/>
    <x v="0"/>
    <x v="0"/>
    <s v="Vegetation - Herbaceous"/>
    <m/>
    <m/>
    <m/>
    <m/>
    <x v="0"/>
    <m/>
    <m/>
    <m/>
    <m/>
    <m/>
    <m/>
    <m/>
    <m/>
    <m/>
    <m/>
    <m/>
    <m/>
    <m/>
    <m/>
    <m/>
    <s v="9842c0bf-7851-4863-bc9d-4f2ca1d60777"/>
    <d v="2021-05-25T14:52:45"/>
    <s v="ccber_user"/>
    <d v="2021-05-25T14:52:45"/>
    <s v="ccber_user"/>
    <n v="-119.880888673687"/>
    <n v="34.420118511286198"/>
  </r>
  <r>
    <n v="122"/>
    <d v="2021-05-25T00:00:00"/>
    <d v="2021-05-25T08:13:31"/>
    <x v="26"/>
    <x v="8"/>
    <x v="0"/>
    <s v="Air"/>
    <m/>
    <m/>
    <m/>
    <m/>
    <x v="1"/>
    <m/>
    <m/>
    <m/>
    <m/>
    <m/>
    <m/>
    <m/>
    <m/>
    <m/>
    <m/>
    <m/>
    <m/>
    <m/>
    <m/>
    <m/>
    <s v="8f411668-e199-4f41-b0a5-7d25d9115576"/>
    <d v="2021-05-25T15:13:31"/>
    <s v="ccber_user"/>
    <d v="2021-05-25T15:13:31"/>
    <s v="ccber_user"/>
    <n v="-119.873618494007"/>
    <n v="34.421773745837498"/>
  </r>
  <r>
    <n v="130"/>
    <d v="2021-05-25T00:00:00"/>
    <d v="2021-05-25T08:34:08"/>
    <x v="26"/>
    <x v="0"/>
    <x v="0"/>
    <s v="Air"/>
    <m/>
    <m/>
    <m/>
    <m/>
    <x v="1"/>
    <m/>
    <m/>
    <m/>
    <m/>
    <m/>
    <m/>
    <m/>
    <m/>
    <m/>
    <m/>
    <m/>
    <m/>
    <m/>
    <m/>
    <m/>
    <s v="5f1be52c-c6a0-42fe-895f-92df08d1a811"/>
    <d v="2021-05-25T15:34:08"/>
    <s v="ccber_user"/>
    <d v="2021-05-25T15:34:08"/>
    <s v="ccber_user"/>
    <n v="-119.874132282739"/>
    <n v="34.420927010096896"/>
  </r>
  <r>
    <n v="154"/>
    <d v="2021-05-25T00:00:00"/>
    <d v="2021-05-25T09:00:12"/>
    <x v="26"/>
    <x v="0"/>
    <x v="0"/>
    <s v="Vegetation - Herbaceous"/>
    <m/>
    <m/>
    <m/>
    <m/>
    <x v="1"/>
    <m/>
    <m/>
    <m/>
    <m/>
    <m/>
    <m/>
    <m/>
    <m/>
    <m/>
    <m/>
    <m/>
    <m/>
    <m/>
    <m/>
    <m/>
    <s v="12541060-e01f-4dee-be39-128fe553dd71"/>
    <d v="2021-05-25T16:00:12"/>
    <s v="ccber_user"/>
    <d v="2021-05-25T16:00:12"/>
    <s v="ccber_user"/>
    <n v="-119.877139199116"/>
    <n v="34.4204438030077"/>
  </r>
  <r>
    <n v="63"/>
    <d v="2021-05-25T00:00:00"/>
    <d v="2021-05-25T09:05:37"/>
    <x v="27"/>
    <x v="9"/>
    <x v="1"/>
    <s v="Water - Floating"/>
    <m/>
    <m/>
    <s v="Changed to repeat after review"/>
    <m/>
    <x v="0"/>
    <m/>
    <m/>
    <m/>
    <m/>
    <m/>
    <m/>
    <m/>
    <m/>
    <m/>
    <m/>
    <m/>
    <m/>
    <m/>
    <m/>
    <m/>
    <s v="5444177c-de45-4e41-8c42-b87f6fcac879"/>
    <d v="2021-05-25T16:05:37"/>
    <s v="ccber_user"/>
    <d v="2021-05-25T16:05:37"/>
    <s v="ccber_user"/>
    <n v="-119.882078769861"/>
    <n v="34.4212812726972"/>
  </r>
  <r>
    <n v="71"/>
    <d v="2021-05-25T00:00:00"/>
    <d v="2021-05-25T09:12:42"/>
    <x v="27"/>
    <x v="0"/>
    <x v="0"/>
    <s v="Water - Floating"/>
    <m/>
    <m/>
    <m/>
    <m/>
    <x v="0"/>
    <m/>
    <m/>
    <m/>
    <m/>
    <m/>
    <m/>
    <m/>
    <m/>
    <m/>
    <m/>
    <m/>
    <m/>
    <m/>
    <m/>
    <m/>
    <s v="317e9270-02e4-4c39-a043-589fe8020a58"/>
    <d v="2021-05-25T16:12:42"/>
    <s v="ccber_user"/>
    <d v="2021-05-25T16:12:42"/>
    <s v="ccber_user"/>
    <n v="-119.880866185263"/>
    <n v="34.421624617083801"/>
  </r>
  <r>
    <n v="75"/>
    <d v="2021-05-25T00:00:00"/>
    <d v="2021-05-25T06:50:03"/>
    <x v="27"/>
    <x v="2"/>
    <x v="0"/>
    <s v="Water - Floating"/>
    <m/>
    <m/>
    <s v="eating algae"/>
    <m/>
    <x v="1"/>
    <m/>
    <m/>
    <m/>
    <m/>
    <m/>
    <m/>
    <m/>
    <m/>
    <m/>
    <m/>
    <m/>
    <m/>
    <m/>
    <m/>
    <m/>
    <s v="dd425194-2720-40f4-b271-2864329c92f5"/>
    <d v="2021-05-25T13:50:03"/>
    <s v="ccber_user"/>
    <d v="2021-05-25T13:50:03"/>
    <s v="ccber_user"/>
    <n v="-119.87435245712"/>
    <n v="34.417839412206497"/>
  </r>
  <r>
    <n v="79"/>
    <d v="2021-05-25T00:00:00"/>
    <d v="2021-05-25T06:55:00"/>
    <x v="27"/>
    <x v="3"/>
    <x v="0"/>
    <s v="Water - Floating"/>
    <m/>
    <m/>
    <m/>
    <m/>
    <x v="1"/>
    <m/>
    <m/>
    <m/>
    <m/>
    <m/>
    <m/>
    <m/>
    <m/>
    <m/>
    <m/>
    <m/>
    <m/>
    <m/>
    <m/>
    <m/>
    <s v="21e2ecb4-4f34-4344-9d19-104ec67c5dd4"/>
    <d v="2021-05-25T13:55:00"/>
    <s v="ccber_user"/>
    <d v="2021-05-25T13:55:00"/>
    <s v="ccber_user"/>
    <n v="-119.87455235832201"/>
    <n v="34.418161521828097"/>
  </r>
  <r>
    <n v="93"/>
    <d v="2021-05-25T00:00:00"/>
    <d v="2021-05-25T07:22:54"/>
    <x v="27"/>
    <x v="8"/>
    <x v="0"/>
    <s v="Water - Floating"/>
    <m/>
    <m/>
    <m/>
    <m/>
    <x v="1"/>
    <m/>
    <m/>
    <m/>
    <m/>
    <m/>
    <m/>
    <m/>
    <m/>
    <m/>
    <m/>
    <m/>
    <m/>
    <m/>
    <m/>
    <m/>
    <s v="75daf433-25f5-4bd6-b573-4cc2b27e36aa"/>
    <d v="2021-05-25T14:22:54"/>
    <s v="ccber_user"/>
    <d v="2021-05-25T14:22:54"/>
    <s v="ccber_user"/>
    <n v="-119.875249495898"/>
    <n v="34.420086204428799"/>
  </r>
  <r>
    <n v="95"/>
    <d v="2021-05-25T00:00:00"/>
    <d v="2021-05-25T07:25:09"/>
    <x v="27"/>
    <x v="3"/>
    <x v="0"/>
    <s v="Water - Floating"/>
    <m/>
    <m/>
    <m/>
    <m/>
    <x v="1"/>
    <m/>
    <m/>
    <m/>
    <m/>
    <m/>
    <m/>
    <m/>
    <m/>
    <m/>
    <m/>
    <m/>
    <m/>
    <m/>
    <m/>
    <m/>
    <s v="a6842e84-6e7c-46f8-83df-1ad29defd429"/>
    <d v="2021-05-25T14:25:09"/>
    <s v="ccber_user"/>
    <d v="2021-05-25T14:25:09"/>
    <s v="ccber_user"/>
    <n v="-119.873728128896"/>
    <n v="34.420942756170597"/>
  </r>
  <r>
    <n v="121"/>
    <d v="2021-05-25T00:00:00"/>
    <d v="2021-05-25T08:13:16"/>
    <x v="27"/>
    <x v="10"/>
    <x v="0"/>
    <s v="Mud"/>
    <m/>
    <m/>
    <m/>
    <m/>
    <x v="1"/>
    <m/>
    <m/>
    <m/>
    <m/>
    <m/>
    <m/>
    <m/>
    <m/>
    <m/>
    <m/>
    <m/>
    <m/>
    <m/>
    <m/>
    <m/>
    <s v="6f79b56c-a5e0-4ef0-8430-70d9685c41d5"/>
    <d v="2021-05-25T15:13:16"/>
    <s v="ccber_user"/>
    <d v="2021-05-25T15:13:16"/>
    <s v="ccber_user"/>
    <n v="-119.873417856187"/>
    <n v="34.421686446326497"/>
  </r>
  <r>
    <n v="144"/>
    <d v="2021-05-25T00:00:00"/>
    <d v="2021-05-25T08:51:28"/>
    <x v="27"/>
    <x v="5"/>
    <x v="1"/>
    <s v="Water - Floating"/>
    <m/>
    <m/>
    <m/>
    <m/>
    <x v="1"/>
    <m/>
    <m/>
    <m/>
    <m/>
    <m/>
    <m/>
    <m/>
    <m/>
    <m/>
    <m/>
    <m/>
    <m/>
    <m/>
    <m/>
    <m/>
    <s v="e5d43f0c-24e3-4cdd-a201-7004e594e8fd"/>
    <d v="2021-05-25T15:51:28"/>
    <s v="ccber_user"/>
    <d v="2021-05-25T15:51:28"/>
    <s v="ccber_user"/>
    <n v="-119.877714867398"/>
    <n v="34.420645735915699"/>
  </r>
  <r>
    <n v="155"/>
    <d v="2021-05-25T00:00:00"/>
    <d v="2021-05-25T09:00:33"/>
    <x v="27"/>
    <x v="11"/>
    <x v="0"/>
    <s v="Mud"/>
    <m/>
    <m/>
    <m/>
    <m/>
    <x v="1"/>
    <m/>
    <m/>
    <m/>
    <m/>
    <m/>
    <m/>
    <m/>
    <m/>
    <m/>
    <m/>
    <m/>
    <m/>
    <m/>
    <m/>
    <m/>
    <s v="60d3b96e-b1d2-4dc1-9a2d-8c6972f8587c"/>
    <d v="2021-05-25T16:00:33"/>
    <s v="ccber_user"/>
    <d v="2021-05-25T16:00:33"/>
    <s v="ccber_user"/>
    <n v="-119.87845902908499"/>
    <n v="34.420866242925499"/>
  </r>
  <r>
    <n v="160"/>
    <d v="2021-05-25T00:00:00"/>
    <d v="2021-05-25T09:04:42"/>
    <x v="28"/>
    <x v="0"/>
    <x v="0"/>
    <s v="Vegetation - Tree"/>
    <m/>
    <m/>
    <m/>
    <m/>
    <x v="1"/>
    <m/>
    <m/>
    <m/>
    <m/>
    <m/>
    <m/>
    <m/>
    <m/>
    <m/>
    <m/>
    <m/>
    <m/>
    <m/>
    <m/>
    <m/>
    <s v="75760f66-2583-4469-b74f-d8fb3da50422"/>
    <d v="2021-05-25T16:04:42"/>
    <s v="ccber_user"/>
    <d v="2021-05-25T16:04:42"/>
    <s v="ccber_user"/>
    <n v="-119.878092043935"/>
    <n v="34.421793619968597"/>
  </r>
  <r>
    <n v="142"/>
    <d v="2021-05-25T00:00:00"/>
    <d v="2021-05-25T08:48:22"/>
    <x v="29"/>
    <x v="0"/>
    <x v="0"/>
    <s v="Air"/>
    <m/>
    <m/>
    <m/>
    <m/>
    <x v="1"/>
    <m/>
    <m/>
    <m/>
    <m/>
    <m/>
    <m/>
    <m/>
    <m/>
    <m/>
    <m/>
    <m/>
    <m/>
    <m/>
    <m/>
    <m/>
    <s v="9f788ff5-b8a0-4f35-a578-580f4194d045"/>
    <d v="2021-05-25T15:48:22"/>
    <s v="ccber_user"/>
    <d v="2021-05-25T15:48:22"/>
    <s v="ccber_user"/>
    <n v="-119.877400173181"/>
    <n v="34.4192737877543"/>
  </r>
  <r>
    <n v="86"/>
    <d v="2021-05-25T00:00:00"/>
    <d v="2021-05-25T07:12:58"/>
    <x v="30"/>
    <x v="0"/>
    <x v="0"/>
    <s v="Vegetation - Tree"/>
    <m/>
    <m/>
    <m/>
    <m/>
    <x v="1"/>
    <m/>
    <m/>
    <m/>
    <m/>
    <m/>
    <m/>
    <m/>
    <m/>
    <m/>
    <m/>
    <m/>
    <m/>
    <m/>
    <m/>
    <m/>
    <s v="c0e809ca-4596-4812-b723-97558eeb6dfe"/>
    <d v="2021-05-25T14:12:58"/>
    <s v="ccber_user"/>
    <d v="2021-05-25T14:12:58"/>
    <s v="ccber_user"/>
    <n v="-119.873579480174"/>
    <n v="34.4186940972955"/>
  </r>
  <r>
    <n v="98"/>
    <d v="2021-05-25T00:00:00"/>
    <d v="2021-05-25T07:36:11"/>
    <x v="30"/>
    <x v="0"/>
    <x v="1"/>
    <s v="Vegetation - Tree"/>
    <m/>
    <m/>
    <m/>
    <m/>
    <x v="1"/>
    <m/>
    <m/>
    <m/>
    <m/>
    <m/>
    <m/>
    <m/>
    <m/>
    <m/>
    <m/>
    <m/>
    <m/>
    <m/>
    <m/>
    <m/>
    <s v="f70093fc-4bd4-4f80-84da-f72b7328b33b"/>
    <d v="2021-05-25T14:36:11"/>
    <s v="ccber_user"/>
    <d v="2021-05-25T14:36:11"/>
    <s v="ccber_user"/>
    <n v="-119.873378810014"/>
    <n v="34.419909729935803"/>
  </r>
  <r>
    <n v="106"/>
    <d v="2021-05-25T00:00:00"/>
    <d v="2021-05-25T07:46:57"/>
    <x v="30"/>
    <x v="0"/>
    <x v="0"/>
    <s v="Vegetation - Tree"/>
    <m/>
    <m/>
    <m/>
    <m/>
    <x v="1"/>
    <m/>
    <m/>
    <m/>
    <m/>
    <m/>
    <m/>
    <m/>
    <m/>
    <m/>
    <m/>
    <m/>
    <m/>
    <m/>
    <m/>
    <m/>
    <s v="d57cee8b-e8f5-44ab-a5e4-f35ba1e3ebda"/>
    <d v="2021-05-25T14:46:57"/>
    <s v="ccber_user"/>
    <d v="2021-05-25T14:46:57"/>
    <s v="ccber_user"/>
    <n v="-119.869495187327"/>
    <n v="34.420950950441402"/>
  </r>
  <r>
    <n v="55"/>
    <d v="2021-05-25T00:00:00"/>
    <d v="2021-05-25T08:48:31"/>
    <x v="31"/>
    <x v="0"/>
    <x v="0"/>
    <s v="Air"/>
    <m/>
    <m/>
    <m/>
    <m/>
    <x v="0"/>
    <m/>
    <m/>
    <m/>
    <m/>
    <m/>
    <m/>
    <m/>
    <m/>
    <m/>
    <m/>
    <m/>
    <m/>
    <m/>
    <m/>
    <m/>
    <s v="1bac547f-a409-4842-97ac-921d65e093fe"/>
    <d v="2021-05-25T15:48:31"/>
    <s v="ccber_user"/>
    <d v="2021-05-25T15:48:31"/>
    <s v="ccber_user"/>
    <n v="-119.88429989931601"/>
    <n v="34.4197645898236"/>
  </r>
  <r>
    <n v="56"/>
    <d v="2021-05-25T00:00:00"/>
    <d v="2021-05-25T08:48:58"/>
    <x v="31"/>
    <x v="0"/>
    <x v="0"/>
    <s v="Air"/>
    <m/>
    <m/>
    <m/>
    <m/>
    <x v="0"/>
    <m/>
    <m/>
    <m/>
    <m/>
    <m/>
    <m/>
    <m/>
    <m/>
    <m/>
    <m/>
    <m/>
    <m/>
    <m/>
    <m/>
    <m/>
    <s v="fec27520-e92e-471f-9941-94938e79c9b0"/>
    <d v="2021-05-25T15:48:58"/>
    <s v="ccber_user"/>
    <d v="2021-05-25T15:48:58"/>
    <s v="ccber_user"/>
    <n v="-119.884216773712"/>
    <n v="34.418366522263597"/>
  </r>
  <r>
    <n v="57"/>
    <d v="2021-05-25T00:00:00"/>
    <d v="2021-05-25T08:49:28"/>
    <x v="31"/>
    <x v="0"/>
    <x v="0"/>
    <s v="Air"/>
    <m/>
    <m/>
    <m/>
    <m/>
    <x v="0"/>
    <m/>
    <m/>
    <m/>
    <m/>
    <m/>
    <m/>
    <m/>
    <m/>
    <m/>
    <m/>
    <m/>
    <m/>
    <m/>
    <m/>
    <m/>
    <s v="28d0f8a3-8513-4f9e-ae73-3c4490dedd89"/>
    <d v="2021-05-25T15:49:28"/>
    <s v="ccber_user"/>
    <d v="2021-05-25T15:49:28"/>
    <s v="ccber_user"/>
    <n v="-119.884690262223"/>
    <n v="34.421220732536703"/>
  </r>
  <r>
    <n v="153"/>
    <d v="2021-05-25T00:00:00"/>
    <d v="2021-05-25T08:58:43"/>
    <x v="31"/>
    <x v="0"/>
    <x v="1"/>
    <s v="Vegetation - Tree"/>
    <m/>
    <m/>
    <s v="Changed to repeat after review"/>
    <m/>
    <x v="1"/>
    <m/>
    <m/>
    <m/>
    <m/>
    <m/>
    <m/>
    <m/>
    <m/>
    <m/>
    <m/>
    <m/>
    <m/>
    <m/>
    <m/>
    <m/>
    <s v="513d2fab-ea58-401d-b25b-6589e3e2858d"/>
    <d v="2021-05-25T15:58:43"/>
    <s v="ccber_user"/>
    <d v="2021-05-25T15:58:43"/>
    <s v="ccber_user"/>
    <n v="-119.88478583937599"/>
    <n v="34.420244151992897"/>
  </r>
  <r>
    <n v="24"/>
    <d v="2021-05-25T00:00:00"/>
    <d v="2021-05-25T07:52:07"/>
    <x v="32"/>
    <x v="3"/>
    <x v="0"/>
    <s v="Flyover"/>
    <m/>
    <m/>
    <m/>
    <m/>
    <x v="0"/>
    <m/>
    <m/>
    <m/>
    <m/>
    <m/>
    <m/>
    <m/>
    <m/>
    <m/>
    <m/>
    <m/>
    <m/>
    <m/>
    <m/>
    <m/>
    <s v="12251c94-4fe4-443f-9b62-b8d6954096d6"/>
    <d v="2021-05-25T14:52:07"/>
    <s v="ccber_user"/>
    <d v="2021-05-25T14:54:56"/>
    <s v="ccber_user"/>
    <n v="-119.880968900429"/>
    <n v="34.419494716328401"/>
  </r>
  <r>
    <n v="50"/>
    <d v="2021-05-25T00:00:00"/>
    <d v="2021-05-25T08:43:37"/>
    <x v="32"/>
    <x v="0"/>
    <x v="0"/>
    <s v="Vegetation - Herbaceous"/>
    <m/>
    <m/>
    <m/>
    <m/>
    <x v="0"/>
    <m/>
    <m/>
    <m/>
    <m/>
    <m/>
    <m/>
    <m/>
    <m/>
    <m/>
    <m/>
    <m/>
    <m/>
    <m/>
    <m/>
    <m/>
    <s v="82a5ea6d-7742-44d6-8a3c-5b245f18b489"/>
    <d v="2021-05-25T15:43:37"/>
    <s v="ccber_user"/>
    <d v="2021-05-25T15:43:37"/>
    <s v="ccber_user"/>
    <n v="-119.881972166786"/>
    <n v="34.420767733677302"/>
  </r>
  <r>
    <n v="54"/>
    <d v="2021-05-25T00:00:00"/>
    <d v="2021-05-25T08:47:47"/>
    <x v="32"/>
    <x v="3"/>
    <x v="0"/>
    <s v="Vegetation - Herbaceous"/>
    <m/>
    <m/>
    <m/>
    <m/>
    <x v="0"/>
    <m/>
    <m/>
    <m/>
    <m/>
    <m/>
    <m/>
    <m/>
    <m/>
    <m/>
    <m/>
    <m/>
    <m/>
    <m/>
    <m/>
    <m/>
    <s v="456eda5c-bbf2-4973-93b8-a6cde9d5b01a"/>
    <d v="2021-05-25T15:47:47"/>
    <s v="ccber_user"/>
    <d v="2021-05-25T15:47:47"/>
    <s v="ccber_user"/>
    <n v="-119.883249138132"/>
    <n v="34.421171452941103"/>
  </r>
  <r>
    <n v="99"/>
    <d v="2021-05-25T00:00:00"/>
    <d v="2021-05-25T07:37:28"/>
    <x v="33"/>
    <x v="10"/>
    <x v="0"/>
    <s v="Air"/>
    <m/>
    <m/>
    <s v="number increased to 12 after review"/>
    <m/>
    <x v="1"/>
    <m/>
    <m/>
    <m/>
    <m/>
    <m/>
    <m/>
    <m/>
    <m/>
    <m/>
    <m/>
    <m/>
    <m/>
    <m/>
    <m/>
    <m/>
    <s v="48a61641-fc21-4d51-bca5-9ff96835a388"/>
    <d v="2021-05-25T14:37:28"/>
    <s v="ccber_user"/>
    <d v="2021-05-25T14:37:28"/>
    <s v="ccber_user"/>
    <n v="-119.872046446751"/>
    <n v="34.420504506016499"/>
  </r>
  <r>
    <n v="43"/>
    <d v="2021-05-25T00:00:00"/>
    <d v="2021-05-25T08:25:49"/>
    <x v="34"/>
    <x v="0"/>
    <x v="0"/>
    <s v="Vegetation - Herbaceous"/>
    <m/>
    <m/>
    <m/>
    <m/>
    <x v="0"/>
    <m/>
    <m/>
    <m/>
    <m/>
    <m/>
    <m/>
    <m/>
    <m/>
    <m/>
    <m/>
    <m/>
    <m/>
    <m/>
    <m/>
    <m/>
    <s v="b28d8bbf-5f72-4fc1-a85b-61c6cd5b9b17"/>
    <d v="2021-05-25T15:25:49"/>
    <s v="ccber_user"/>
    <d v="2021-05-25T15:25:49"/>
    <s v="ccber_user"/>
    <n v="-119.879052930472"/>
    <n v="34.420934698989001"/>
  </r>
  <r>
    <n v="59"/>
    <d v="2021-05-25T00:00:00"/>
    <d v="2021-05-25T08:51:06"/>
    <x v="34"/>
    <x v="0"/>
    <x v="0"/>
    <s v="Vegetation - Herbaceous"/>
    <m/>
    <m/>
    <m/>
    <m/>
    <x v="0"/>
    <m/>
    <m/>
    <m/>
    <m/>
    <m/>
    <m/>
    <m/>
    <m/>
    <m/>
    <m/>
    <m/>
    <m/>
    <m/>
    <m/>
    <m/>
    <s v="0462415e-0fd2-4a7f-bc16-c05f52f8b942"/>
    <d v="2021-05-25T15:51:06"/>
    <s v="ccber_user"/>
    <d v="2021-05-25T15:51:06"/>
    <s v="ccber_user"/>
    <n v="-119.882838783219"/>
    <n v="34.4209270330687"/>
  </r>
  <r>
    <n v="70"/>
    <d v="2021-05-25T00:00:00"/>
    <d v="2021-05-25T09:11:48"/>
    <x v="34"/>
    <x v="0"/>
    <x v="0"/>
    <s v="Habitat Feature - Log"/>
    <m/>
    <m/>
    <m/>
    <m/>
    <x v="0"/>
    <m/>
    <m/>
    <m/>
    <m/>
    <m/>
    <m/>
    <m/>
    <m/>
    <m/>
    <m/>
    <m/>
    <m/>
    <m/>
    <m/>
    <m/>
    <s v="7201cf36-43ec-4cb9-820f-df6aff472df0"/>
    <d v="2021-05-25T16:11:48"/>
    <s v="ccber_user"/>
    <d v="2021-05-25T16:11:48"/>
    <s v="ccber_user"/>
    <n v="-119.881440983077"/>
    <n v="34.421872399881003"/>
  </r>
  <r>
    <n v="97"/>
    <d v="2021-05-25T00:00:00"/>
    <d v="2021-05-25T07:28:46"/>
    <x v="34"/>
    <x v="2"/>
    <x v="0"/>
    <s v="Fence"/>
    <m/>
    <s v="Feeding/Begging"/>
    <s v="3 juvenile baby and adult"/>
    <m/>
    <x v="1"/>
    <m/>
    <m/>
    <m/>
    <m/>
    <m/>
    <m/>
    <m/>
    <m/>
    <m/>
    <m/>
    <m/>
    <m/>
    <m/>
    <m/>
    <m/>
    <s v="948b7a2a-9097-4aa8-8a6f-67f2a2147dea"/>
    <d v="2021-05-25T14:28:46"/>
    <s v="ccber_user"/>
    <d v="2021-05-25T14:35:04"/>
    <s v="ccber_user"/>
    <n v="-119.873379784687"/>
    <n v="34.420539641224103"/>
  </r>
  <r>
    <n v="167"/>
    <d v="2021-05-25T00:00:00"/>
    <d v="2021-05-25T09:15:16"/>
    <x v="34"/>
    <x v="0"/>
    <x v="0"/>
    <s v="Vegetation - Herbaceous"/>
    <m/>
    <m/>
    <m/>
    <m/>
    <x v="1"/>
    <m/>
    <m/>
    <m/>
    <m/>
    <m/>
    <m/>
    <m/>
    <m/>
    <m/>
    <m/>
    <m/>
    <m/>
    <m/>
    <m/>
    <m/>
    <s v="a0f60125-b281-4e4e-a163-122f5a612a4a"/>
    <d v="2021-05-25T16:15:16"/>
    <s v="ccber_user"/>
    <d v="2021-05-25T16:15:16"/>
    <s v="ccber_user"/>
    <n v="-119.878645512151"/>
    <n v="34.420848828784699"/>
  </r>
  <r>
    <n v="118"/>
    <d v="2021-05-25T00:00:00"/>
    <d v="2021-05-25T08:11:16"/>
    <x v="35"/>
    <x v="5"/>
    <x v="0"/>
    <s v="Vegetation - Herbaceous"/>
    <m/>
    <m/>
    <m/>
    <m/>
    <x v="1"/>
    <m/>
    <m/>
    <m/>
    <m/>
    <m/>
    <m/>
    <m/>
    <m/>
    <m/>
    <m/>
    <m/>
    <m/>
    <m/>
    <m/>
    <m/>
    <s v="16d3a392-0517-4243-9b62-1c107ec6f5cb"/>
    <d v="2021-05-25T15:11:16"/>
    <s v="ccber_user"/>
    <d v="2021-05-25T15:13:40"/>
    <s v="ccber_user"/>
    <n v="-119.873267929162"/>
    <n v="34.421802846395202"/>
  </r>
  <r>
    <n v="69"/>
    <d v="2021-05-25T00:00:00"/>
    <d v="2021-05-25T09:11:04"/>
    <x v="36"/>
    <x v="0"/>
    <x v="0"/>
    <s v="Bare ground"/>
    <m/>
    <m/>
    <m/>
    <m/>
    <x v="0"/>
    <m/>
    <m/>
    <m/>
    <m/>
    <m/>
    <m/>
    <m/>
    <m/>
    <m/>
    <m/>
    <m/>
    <m/>
    <m/>
    <m/>
    <m/>
    <s v="f47a2365-9fff-464d-b730-93941402e96e"/>
    <d v="2021-05-25T16:11:04"/>
    <s v="ccber_user"/>
    <d v="2021-05-25T16:11:04"/>
    <s v="ccber_user"/>
    <n v="-119.881740544275"/>
    <n v="34.4219476243168"/>
  </r>
  <r>
    <n v="140"/>
    <d v="2021-05-25T00:00:00"/>
    <d v="2021-05-25T08:44:39"/>
    <x v="37"/>
    <x v="0"/>
    <x v="0"/>
    <s v="Mud"/>
    <m/>
    <m/>
    <m/>
    <m/>
    <x v="1"/>
    <m/>
    <m/>
    <m/>
    <m/>
    <m/>
    <m/>
    <m/>
    <m/>
    <m/>
    <m/>
    <m/>
    <m/>
    <m/>
    <m/>
    <m/>
    <s v="daaabcbb-b30e-448e-aacc-b7e83147d61c"/>
    <d v="2021-05-25T15:44:39"/>
    <s v="ccber_user"/>
    <d v="2021-05-25T15:44:39"/>
    <s v="ccber_user"/>
    <n v="-119.876842371492"/>
    <n v="34.419737968066897"/>
  </r>
  <r>
    <n v="9"/>
    <d v="2021-05-25T00:00:00"/>
    <d v="2021-05-25T07:17:05"/>
    <x v="38"/>
    <x v="0"/>
    <x v="0"/>
    <s v="Vegetation - Tree"/>
    <m/>
    <m/>
    <m/>
    <m/>
    <x v="0"/>
    <m/>
    <m/>
    <m/>
    <m/>
    <m/>
    <m/>
    <m/>
    <m/>
    <m/>
    <m/>
    <m/>
    <m/>
    <m/>
    <m/>
    <m/>
    <s v="6db13be0-bc52-4b46-9cc4-0ca9c095934e"/>
    <d v="2021-05-25T14:17:05"/>
    <s v="ccber_user"/>
    <d v="2021-05-25T14:17:05"/>
    <s v="ccber_user"/>
    <n v="-119.87673801151"/>
    <n v="34.417900073383798"/>
  </r>
  <r>
    <n v="21"/>
    <d v="2021-05-25T00:00:00"/>
    <d v="2021-05-25T07:45:34"/>
    <x v="38"/>
    <x v="0"/>
    <x v="0"/>
    <s v="Vegetation - Tree"/>
    <m/>
    <m/>
    <m/>
    <m/>
    <x v="0"/>
    <m/>
    <m/>
    <m/>
    <m/>
    <m/>
    <m/>
    <m/>
    <m/>
    <m/>
    <m/>
    <m/>
    <m/>
    <m/>
    <m/>
    <m/>
    <s v="f82fc104-c869-4115-93ea-e6e3570311bf"/>
    <d v="2021-05-25T14:45:34"/>
    <s v="ccber_user"/>
    <d v="2021-05-25T14:45:34"/>
    <s v="ccber_user"/>
    <n v="-119.881104374458"/>
    <n v="34.418945542125201"/>
  </r>
  <r>
    <n v="38"/>
    <d v="2021-05-25T00:00:00"/>
    <d v="2021-05-25T08:15:30"/>
    <x v="38"/>
    <x v="0"/>
    <x v="0"/>
    <s v="Vegetation - Tree"/>
    <m/>
    <m/>
    <m/>
    <m/>
    <x v="0"/>
    <m/>
    <m/>
    <m/>
    <m/>
    <m/>
    <m/>
    <m/>
    <m/>
    <m/>
    <m/>
    <m/>
    <m/>
    <m/>
    <m/>
    <m/>
    <s v="6e241dde-3768-43d7-af5e-8fd0b6dcad33"/>
    <d v="2021-05-25T15:15:30"/>
    <s v="ccber_user"/>
    <d v="2021-05-25T15:15:30"/>
    <s v="ccber_user"/>
    <n v="-119.877774155309"/>
    <n v="34.4193327042221"/>
  </r>
  <r>
    <n v="44"/>
    <d v="2021-05-25T00:00:00"/>
    <d v="2021-05-25T08:26:11"/>
    <x v="38"/>
    <x v="0"/>
    <x v="0"/>
    <s v="Vegetation - Herbaceous"/>
    <m/>
    <m/>
    <m/>
    <m/>
    <x v="0"/>
    <m/>
    <m/>
    <m/>
    <m/>
    <m/>
    <m/>
    <m/>
    <m/>
    <m/>
    <m/>
    <m/>
    <m/>
    <m/>
    <m/>
    <m/>
    <s v="a4cfe428-8fd6-402f-bbdf-c7ea69efc4b4"/>
    <d v="2021-05-25T15:26:11"/>
    <s v="ccber_user"/>
    <d v="2021-05-25T15:26:11"/>
    <s v="ccber_user"/>
    <n v="-119.87911392787601"/>
    <n v="34.421093373378"/>
  </r>
  <r>
    <n v="53"/>
    <d v="2021-05-25T00:00:00"/>
    <d v="2021-05-25T08:47:14"/>
    <x v="38"/>
    <x v="0"/>
    <x v="0"/>
    <s v="Vegetation - Herbaceous"/>
    <m/>
    <m/>
    <m/>
    <m/>
    <x v="0"/>
    <m/>
    <m/>
    <m/>
    <m/>
    <m/>
    <m/>
    <m/>
    <m/>
    <m/>
    <m/>
    <m/>
    <m/>
    <m/>
    <m/>
    <m/>
    <s v="410c0d3d-4c0e-4256-a555-7f1429535518"/>
    <d v="2021-05-25T15:47:14"/>
    <s v="ccber_user"/>
    <d v="2021-05-25T15:47:14"/>
    <s v="ccber_user"/>
    <n v="-119.88340709070501"/>
    <n v="34.420553230973702"/>
  </r>
  <r>
    <n v="58"/>
    <d v="2021-05-25T00:00:00"/>
    <d v="2021-05-25T08:50:42"/>
    <x v="38"/>
    <x v="0"/>
    <x v="0"/>
    <s v="Vegetation - Herbaceous"/>
    <m/>
    <m/>
    <m/>
    <m/>
    <x v="0"/>
    <m/>
    <m/>
    <m/>
    <m/>
    <m/>
    <m/>
    <m/>
    <m/>
    <m/>
    <m/>
    <m/>
    <m/>
    <m/>
    <m/>
    <m/>
    <s v="8b0e7abe-8253-406f-a5b9-3de64eab80c3"/>
    <d v="2021-05-25T15:50:42"/>
    <s v="ccber_user"/>
    <d v="2021-05-25T15:50:42"/>
    <s v="ccber_user"/>
    <n v="-119.88284286696"/>
    <n v="34.420923650281999"/>
  </r>
  <r>
    <n v="68"/>
    <d v="2021-05-25T00:00:00"/>
    <d v="2021-05-25T09:09:14"/>
    <x v="38"/>
    <x v="0"/>
    <x v="0"/>
    <s v="Vegetation - Herbaceous"/>
    <m/>
    <m/>
    <m/>
    <m/>
    <x v="0"/>
    <m/>
    <m/>
    <m/>
    <m/>
    <m/>
    <m/>
    <m/>
    <m/>
    <m/>
    <m/>
    <m/>
    <m/>
    <m/>
    <m/>
    <m/>
    <s v="6fc6498b-2134-49ad-8ab9-069f6ab5f775"/>
    <d v="2021-05-25T16:09:14"/>
    <s v="ccber_user"/>
    <d v="2021-05-25T16:09:14"/>
    <s v="ccber_user"/>
    <n v="-119.88179133951201"/>
    <n v="34.4218402107822"/>
  </r>
  <r>
    <n v="83"/>
    <d v="2021-05-25T00:00:00"/>
    <d v="2021-05-25T07:10:35"/>
    <x v="38"/>
    <x v="0"/>
    <x v="0"/>
    <s v="Vegetation - Shrub"/>
    <m/>
    <m/>
    <m/>
    <m/>
    <x v="1"/>
    <m/>
    <m/>
    <m/>
    <m/>
    <m/>
    <m/>
    <m/>
    <m/>
    <m/>
    <m/>
    <m/>
    <m/>
    <m/>
    <m/>
    <m/>
    <s v="1e70a3c3-f88e-45e0-9290-4be48ef6f7d4"/>
    <d v="2021-05-25T14:10:35"/>
    <s v="ccber_user"/>
    <d v="2021-05-25T14:10:35"/>
    <s v="ccber_user"/>
    <n v="-119.873709189715"/>
    <n v="34.418088709815002"/>
  </r>
  <r>
    <n v="88"/>
    <d v="2021-05-25T00:00:00"/>
    <d v="2021-05-25T07:14:31"/>
    <x v="38"/>
    <x v="0"/>
    <x v="0"/>
    <s v="Vegetation - Shrub"/>
    <m/>
    <m/>
    <m/>
    <m/>
    <x v="1"/>
    <m/>
    <m/>
    <m/>
    <m/>
    <m/>
    <m/>
    <m/>
    <m/>
    <m/>
    <m/>
    <m/>
    <m/>
    <m/>
    <m/>
    <m/>
    <s v="67f32884-0035-42dc-bb4f-86dd7204e621"/>
    <d v="2021-05-25T14:14:31"/>
    <s v="ccber_user"/>
    <d v="2021-05-25T14:14:31"/>
    <s v="ccber_user"/>
    <n v="-119.873679127594"/>
    <n v="34.418903908769003"/>
  </r>
  <r>
    <n v="102"/>
    <d v="2021-05-25T00:00:00"/>
    <d v="2021-05-25T07:41:57"/>
    <x v="38"/>
    <x v="0"/>
    <x v="0"/>
    <s v="Vegetation - Shrub"/>
    <m/>
    <m/>
    <m/>
    <m/>
    <x v="1"/>
    <m/>
    <m/>
    <m/>
    <m/>
    <m/>
    <m/>
    <m/>
    <m/>
    <m/>
    <m/>
    <m/>
    <m/>
    <m/>
    <m/>
    <m/>
    <s v="75b7a415-4f2e-40b2-971d-eb2b2d5cc13d"/>
    <d v="2021-05-25T14:41:57"/>
    <s v="ccber_user"/>
    <d v="2021-05-25T14:41:57"/>
    <s v="ccber_user"/>
    <n v="-119.871855740705"/>
    <n v="34.421188104500601"/>
  </r>
  <r>
    <n v="108"/>
    <d v="2021-05-25T00:00:00"/>
    <d v="2021-05-25T07:48:13"/>
    <x v="38"/>
    <x v="3"/>
    <x v="0"/>
    <s v="Vegetation - Herbaceous"/>
    <m/>
    <m/>
    <m/>
    <m/>
    <x v="1"/>
    <m/>
    <m/>
    <m/>
    <m/>
    <m/>
    <m/>
    <m/>
    <m/>
    <m/>
    <m/>
    <m/>
    <m/>
    <m/>
    <m/>
    <m/>
    <s v="efc021fa-6bf6-4445-a2ce-f57a95311a16"/>
    <d v="2021-05-25T14:48:13"/>
    <s v="ccber_user"/>
    <d v="2021-05-25T14:50:58"/>
    <s v="ccber_user"/>
    <n v="-119.87052392451599"/>
    <n v="34.421159531338397"/>
  </r>
  <r>
    <n v="117"/>
    <d v="2021-05-25T00:00:00"/>
    <d v="2021-05-25T08:09:24"/>
    <x v="38"/>
    <x v="0"/>
    <x v="0"/>
    <s v="Vegetation - Shrub"/>
    <m/>
    <m/>
    <m/>
    <m/>
    <x v="1"/>
    <m/>
    <m/>
    <m/>
    <m/>
    <m/>
    <m/>
    <m/>
    <m/>
    <m/>
    <m/>
    <m/>
    <m/>
    <m/>
    <m/>
    <m/>
    <s v="71235061-4708-4efa-b6ad-cbd338d0a056"/>
    <d v="2021-05-25T15:09:24"/>
    <s v="ccber_user"/>
    <d v="2021-05-25T15:09:24"/>
    <s v="ccber_user"/>
    <n v="-119.87263734327399"/>
    <n v="34.422100433863299"/>
  </r>
  <r>
    <n v="123"/>
    <d v="2021-05-25T00:00:00"/>
    <d v="2021-05-25T08:14:43"/>
    <x v="38"/>
    <x v="0"/>
    <x v="0"/>
    <s v="Vegetation - Shrub"/>
    <m/>
    <m/>
    <m/>
    <m/>
    <x v="1"/>
    <m/>
    <m/>
    <m/>
    <m/>
    <m/>
    <m/>
    <m/>
    <m/>
    <m/>
    <m/>
    <m/>
    <m/>
    <m/>
    <m/>
    <m/>
    <s v="16262055-6457-40b6-ac5c-9e0298618312"/>
    <d v="2021-05-25T15:14:43"/>
    <s v="ccber_user"/>
    <d v="2021-05-25T15:14:43"/>
    <s v="ccber_user"/>
    <n v="-119.873739758486"/>
    <n v="34.421750102136301"/>
  </r>
  <r>
    <n v="138"/>
    <d v="2021-05-25T00:00:00"/>
    <d v="2021-05-25T08:41:47"/>
    <x v="38"/>
    <x v="0"/>
    <x v="0"/>
    <s v="Vegetation - Shrub"/>
    <m/>
    <m/>
    <m/>
    <m/>
    <x v="1"/>
    <m/>
    <m/>
    <m/>
    <m/>
    <m/>
    <m/>
    <m/>
    <m/>
    <m/>
    <m/>
    <m/>
    <m/>
    <m/>
    <m/>
    <m/>
    <s v="5aab6f2c-40f3-4ef1-b0e1-8129e736e452"/>
    <d v="2021-05-25T15:41:47"/>
    <s v="ccber_user"/>
    <d v="2021-05-25T15:41:47"/>
    <s v="ccber_user"/>
    <n v="-119.875869603837"/>
    <n v="34.420805361591697"/>
  </r>
  <r>
    <n v="139"/>
    <d v="2021-05-25T00:00:00"/>
    <d v="2021-05-25T08:43:16"/>
    <x v="38"/>
    <x v="0"/>
    <x v="0"/>
    <s v="Vegetation - Shrub"/>
    <m/>
    <m/>
    <m/>
    <m/>
    <x v="1"/>
    <m/>
    <m/>
    <m/>
    <m/>
    <m/>
    <m/>
    <m/>
    <m/>
    <m/>
    <m/>
    <m/>
    <m/>
    <m/>
    <m/>
    <m/>
    <s v="2778c4ec-225c-40db-a655-602ee1d65e33"/>
    <d v="2021-05-25T15:43:16"/>
    <s v="ccber_user"/>
    <d v="2021-05-25T15:43:16"/>
    <s v="ccber_user"/>
    <n v="-119.87585299129201"/>
    <n v="34.420304403857997"/>
  </r>
  <r>
    <n v="150"/>
    <d v="2021-05-25T00:00:00"/>
    <d v="2021-05-25T08:57:05"/>
    <x v="38"/>
    <x v="8"/>
    <x v="0"/>
    <s v="Vegetation - Shrub"/>
    <m/>
    <m/>
    <m/>
    <m/>
    <x v="1"/>
    <m/>
    <m/>
    <m/>
    <m/>
    <m/>
    <m/>
    <m/>
    <m/>
    <m/>
    <m/>
    <m/>
    <m/>
    <m/>
    <m/>
    <m/>
    <s v="26b7e9c3-5e23-4f0a-9ff2-1afd9dc563cb"/>
    <d v="2021-05-25T15:57:05"/>
    <s v="ccber_user"/>
    <d v="2021-05-25T15:57:05"/>
    <s v="ccber_user"/>
    <n v="-119.877149076093"/>
    <n v="34.420633696414399"/>
  </r>
  <r>
    <n v="152"/>
    <d v="2021-05-25T00:00:00"/>
    <d v="2021-05-25T08:58:06"/>
    <x v="38"/>
    <x v="3"/>
    <x v="0"/>
    <s v="Vegetation - Shrub"/>
    <m/>
    <m/>
    <m/>
    <m/>
    <x v="1"/>
    <m/>
    <m/>
    <m/>
    <m/>
    <m/>
    <m/>
    <m/>
    <m/>
    <m/>
    <m/>
    <m/>
    <m/>
    <m/>
    <m/>
    <m/>
    <s v="c5f231bf-4199-4af6-b58b-7d995e971526"/>
    <d v="2021-05-25T15:58:06"/>
    <s v="ccber_user"/>
    <d v="2021-05-25T15:58:06"/>
    <s v="ccber_user"/>
    <n v="-119.87684892649899"/>
    <n v="34.420772591857201"/>
  </r>
  <r>
    <n v="161"/>
    <d v="2021-05-25T00:00:00"/>
    <d v="2021-05-25T09:06:29"/>
    <x v="38"/>
    <x v="8"/>
    <x v="0"/>
    <s v="Vegetation - Shrub"/>
    <m/>
    <s v="Feeding/Begging"/>
    <m/>
    <m/>
    <x v="1"/>
    <m/>
    <m/>
    <m/>
    <m/>
    <m/>
    <m/>
    <m/>
    <m/>
    <m/>
    <m/>
    <m/>
    <m/>
    <m/>
    <m/>
    <m/>
    <s v="700137e8-fc07-400e-8500-c7392bdfdb3e"/>
    <d v="2021-05-25T16:06:29"/>
    <s v="ccber_user"/>
    <d v="2021-05-25T16:06:29"/>
    <s v="ccber_user"/>
    <n v="-119.877868361632"/>
    <n v="34.421240334843503"/>
  </r>
  <r>
    <n v="168"/>
    <d v="2021-05-25T00:00:00"/>
    <d v="2021-05-25T09:16:11"/>
    <x v="38"/>
    <x v="0"/>
    <x v="0"/>
    <s v="Mud"/>
    <m/>
    <m/>
    <m/>
    <m/>
    <x v="1"/>
    <m/>
    <m/>
    <m/>
    <m/>
    <m/>
    <m/>
    <m/>
    <m/>
    <m/>
    <m/>
    <m/>
    <m/>
    <m/>
    <m/>
    <m/>
    <s v="8ca36210-ae9a-47cc-96ca-ba496c836275"/>
    <d v="2021-05-25T16:16:11"/>
    <s v="ccber_user"/>
    <d v="2021-05-25T16:16:11"/>
    <s v="ccber_user"/>
    <n v="-119.878900569911"/>
    <n v="34.421149918766801"/>
  </r>
  <r>
    <n v="28"/>
    <d v="2021-05-25T00:00:00"/>
    <d v="2021-05-25T07:57:59"/>
    <x v="39"/>
    <x v="0"/>
    <x v="0"/>
    <s v="Vegetation - Tree"/>
    <m/>
    <m/>
    <m/>
    <m/>
    <x v="0"/>
    <m/>
    <m/>
    <m/>
    <m/>
    <m/>
    <m/>
    <m/>
    <m/>
    <m/>
    <m/>
    <m/>
    <m/>
    <m/>
    <m/>
    <m/>
    <s v="3745a362-e9ff-4140-842f-922789d5a20a"/>
    <d v="2021-05-25T14:57:59"/>
    <s v="ccber_user"/>
    <d v="2021-05-25T14:57:59"/>
    <s v="ccber_user"/>
    <n v="-119.881882030729"/>
    <n v="34.418819688269302"/>
  </r>
  <r>
    <n v="60"/>
    <d v="2021-05-25T00:00:00"/>
    <d v="2021-05-25T08:53:16"/>
    <x v="39"/>
    <x v="0"/>
    <x v="0"/>
    <s v="Vegetation - Shrub"/>
    <m/>
    <m/>
    <m/>
    <m/>
    <x v="0"/>
    <m/>
    <m/>
    <m/>
    <m/>
    <m/>
    <m/>
    <m/>
    <m/>
    <m/>
    <m/>
    <m/>
    <m/>
    <m/>
    <m/>
    <m/>
    <s v="3b2510de-35bd-4e81-b127-c32b7768d61e"/>
    <d v="2021-05-25T15:53:16"/>
    <s v="ccber_user"/>
    <d v="2021-05-25T15:53:16"/>
    <s v="ccber_user"/>
    <n v="-119.88324583323001"/>
    <n v="34.421028533650102"/>
  </r>
  <r>
    <n v="30"/>
    <d v="2021-05-25T00:00:00"/>
    <d v="2021-05-25T07:59:07"/>
    <x v="40"/>
    <x v="0"/>
    <x v="0"/>
    <s v="Air"/>
    <m/>
    <m/>
    <m/>
    <m/>
    <x v="0"/>
    <m/>
    <m/>
    <m/>
    <m/>
    <m/>
    <m/>
    <m/>
    <m/>
    <m/>
    <m/>
    <m/>
    <m/>
    <m/>
    <m/>
    <m/>
    <s v="ac1346e3-3e42-4a30-bf2e-ccf1c6a92f7b"/>
    <d v="2021-05-25T14:59:07"/>
    <s v="ccber_user"/>
    <d v="2021-05-25T14:59:07"/>
    <s v="ccber_user"/>
    <n v="-119.883851177357"/>
    <n v="34.420779003972299"/>
  </r>
  <r>
    <n v="119"/>
    <d v="2021-05-25T00:00:00"/>
    <d v="2021-05-25T08:11:44"/>
    <x v="40"/>
    <x v="0"/>
    <x v="0"/>
    <s v="Air"/>
    <m/>
    <m/>
    <m/>
    <m/>
    <x v="1"/>
    <m/>
    <m/>
    <m/>
    <m/>
    <m/>
    <m/>
    <m/>
    <m/>
    <m/>
    <m/>
    <m/>
    <m/>
    <m/>
    <m/>
    <m/>
    <s v="23ec57ff-94c7-4132-8ec9-2ae7612425c2"/>
    <d v="2021-05-25T15:11:44"/>
    <s v="ccber_user"/>
    <d v="2021-05-25T15:11:44"/>
    <s v="ccber_user"/>
    <n v="-119.87303201450101"/>
    <n v="34.4214445526218"/>
  </r>
  <r>
    <n v="16"/>
    <d v="2021-05-25T00:00:00"/>
    <d v="2021-05-25T07:35:47"/>
    <x v="41"/>
    <x v="0"/>
    <x v="0"/>
    <s v="Vegetation - Herbaceous"/>
    <m/>
    <m/>
    <m/>
    <m/>
    <x v="0"/>
    <m/>
    <m/>
    <m/>
    <m/>
    <m/>
    <m/>
    <m/>
    <m/>
    <m/>
    <m/>
    <m/>
    <m/>
    <m/>
    <m/>
    <m/>
    <s v="881eacfc-9b3a-471f-add1-bd49185d530e"/>
    <d v="2021-05-25T14:35:47"/>
    <s v="ccber_user"/>
    <d v="2021-05-25T14:36:03"/>
    <s v="ccber_user"/>
    <n v="-119.879175934987"/>
    <n v="34.418236408719203"/>
  </r>
  <r>
    <n v="66"/>
    <d v="2021-05-25T00:00:00"/>
    <d v="2021-05-25T09:07:00"/>
    <x v="41"/>
    <x v="3"/>
    <x v="0"/>
    <s v="Fence"/>
    <m/>
    <m/>
    <m/>
    <m/>
    <x v="0"/>
    <m/>
    <m/>
    <m/>
    <m/>
    <m/>
    <m/>
    <m/>
    <m/>
    <m/>
    <m/>
    <m/>
    <m/>
    <m/>
    <m/>
    <m/>
    <s v="a6c97820-4682-45dd-92a7-2abcc21abfd2"/>
    <d v="2021-05-25T16:07:00"/>
    <s v="ccber_user"/>
    <d v="2021-05-25T16:07:00"/>
    <s v="ccber_user"/>
    <n v="-119.88158639516899"/>
    <n v="34.421371764957101"/>
  </r>
  <r>
    <n v="82"/>
    <d v="2021-05-25T00:00:00"/>
    <d v="2021-05-25T07:08:11"/>
    <x v="41"/>
    <x v="0"/>
    <x v="0"/>
    <s v="Fence"/>
    <m/>
    <m/>
    <m/>
    <m/>
    <x v="1"/>
    <m/>
    <m/>
    <m/>
    <m/>
    <m/>
    <m/>
    <m/>
    <m/>
    <m/>
    <m/>
    <m/>
    <m/>
    <m/>
    <m/>
    <m/>
    <s v="9f3e73ce-4923-43b1-84e4-a54e58671c53"/>
    <d v="2021-05-25T14:08:11"/>
    <s v="ccber_user"/>
    <d v="2021-05-25T14:08:11"/>
    <s v="ccber_user"/>
    <n v="-119.874974844983"/>
    <n v="34.417541087784102"/>
  </r>
  <r>
    <n v="104"/>
    <d v="2021-05-25T00:00:00"/>
    <d v="2021-05-25T07:45:39"/>
    <x v="41"/>
    <x v="0"/>
    <x v="0"/>
    <s v="Fence"/>
    <s v="M"/>
    <m/>
    <m/>
    <m/>
    <x v="1"/>
    <m/>
    <m/>
    <m/>
    <m/>
    <m/>
    <m/>
    <m/>
    <m/>
    <m/>
    <m/>
    <m/>
    <m/>
    <m/>
    <m/>
    <m/>
    <s v="05d39b41-7539-4182-913c-0951fe71005c"/>
    <d v="2021-05-25T14:45:39"/>
    <s v="ccber_user"/>
    <d v="2021-05-25T14:45:39"/>
    <s v="ccber_user"/>
    <n v="-119.87083046742001"/>
    <n v="34.420610933474798"/>
  </r>
  <r>
    <n v="107"/>
    <d v="2021-05-25T00:00:00"/>
    <d v="2021-05-25T07:47:29"/>
    <x v="41"/>
    <x v="0"/>
    <x v="0"/>
    <s v="Fence"/>
    <s v="F"/>
    <m/>
    <m/>
    <m/>
    <x v="1"/>
    <m/>
    <m/>
    <m/>
    <m/>
    <m/>
    <m/>
    <m/>
    <m/>
    <m/>
    <m/>
    <m/>
    <m/>
    <m/>
    <m/>
    <m/>
    <s v="b5bbc81b-1ae4-4b1e-8a90-6752a0112570"/>
    <d v="2021-05-25T14:47:29"/>
    <s v="ccber_user"/>
    <d v="2021-05-25T14:47:29"/>
    <s v="ccber_user"/>
    <n v="-119.870142911274"/>
    <n v="34.420748083092903"/>
  </r>
  <r>
    <n v="127"/>
    <d v="2021-05-25T00:00:00"/>
    <d v="2021-05-25T08:30:56"/>
    <x v="42"/>
    <x v="8"/>
    <x v="0"/>
    <s v="Water - Floating"/>
    <m/>
    <m/>
    <s v="number increased to 3 after review"/>
    <m/>
    <x v="1"/>
    <m/>
    <m/>
    <m/>
    <m/>
    <m/>
    <m/>
    <m/>
    <m/>
    <m/>
    <m/>
    <m/>
    <m/>
    <m/>
    <m/>
    <m/>
    <s v="c2ea790d-d774-4e0e-bddb-68fbc149f5f8"/>
    <d v="2021-05-25T15:30:56"/>
    <s v="ccber_user"/>
    <d v="2021-05-25T15:30:56"/>
    <s v="ccber_user"/>
    <n v="-119.873385006593"/>
    <n v="34.421730848969297"/>
  </r>
  <r>
    <n v="131"/>
    <d v="2021-05-25T00:00:00"/>
    <d v="2021-05-25T08:35:26"/>
    <x v="42"/>
    <x v="0"/>
    <x v="0"/>
    <s v="Mud"/>
    <m/>
    <m/>
    <m/>
    <m/>
    <x v="1"/>
    <m/>
    <m/>
    <m/>
    <m/>
    <m/>
    <m/>
    <m/>
    <m/>
    <m/>
    <m/>
    <m/>
    <m/>
    <m/>
    <m/>
    <m/>
    <s v="fb808597-b7fa-4082-bbe9-928b058f4fff"/>
    <d v="2021-05-25T15:35:26"/>
    <s v="ccber_user"/>
    <d v="2021-05-25T15:35:26"/>
    <s v="ccber_user"/>
    <n v="-119.874491943026"/>
    <n v="34.420661885903201"/>
  </r>
  <r>
    <n v="20"/>
    <d v="2021-05-25T00:00:00"/>
    <d v="2021-05-25T07:41:04"/>
    <x v="43"/>
    <x v="0"/>
    <x v="0"/>
    <s v="Flyover"/>
    <m/>
    <m/>
    <m/>
    <m/>
    <x v="0"/>
    <m/>
    <m/>
    <m/>
    <m/>
    <m/>
    <m/>
    <m/>
    <m/>
    <m/>
    <m/>
    <m/>
    <m/>
    <m/>
    <m/>
    <m/>
    <s v="a4876adc-5cf4-4a2a-927d-66053d324f6b"/>
    <d v="2021-05-25T14:41:04"/>
    <s v="ccber_user"/>
    <d v="2021-05-25T14:41:04"/>
    <s v="ccber_user"/>
    <n v="-119.88003324756799"/>
    <n v="34.418745950521803"/>
  </r>
  <r>
    <n v="40"/>
    <d v="2021-05-25T00:00:00"/>
    <d v="2021-05-25T08:20:30"/>
    <x v="43"/>
    <x v="0"/>
    <x v="0"/>
    <s v="Air"/>
    <m/>
    <m/>
    <m/>
    <m/>
    <x v="0"/>
    <m/>
    <m/>
    <m/>
    <m/>
    <m/>
    <m/>
    <m/>
    <m/>
    <m/>
    <m/>
    <m/>
    <m/>
    <m/>
    <m/>
    <m/>
    <s v="be7a8a12-0cab-47ff-bd8e-039b90351601"/>
    <d v="2021-05-25T15:20:30"/>
    <s v="ccber_user"/>
    <d v="2021-05-25T15:31:00"/>
    <s v="ccber_user"/>
    <n v="-119.87976761753499"/>
    <n v="34.4201268612549"/>
  </r>
  <r>
    <n v="147"/>
    <d v="2021-05-25T00:00:00"/>
    <d v="2021-05-25T08:52:33"/>
    <x v="43"/>
    <x v="0"/>
    <x v="1"/>
    <s v="Air"/>
    <m/>
    <m/>
    <s v="Changed to repeat after review"/>
    <m/>
    <x v="1"/>
    <m/>
    <m/>
    <m/>
    <m/>
    <m/>
    <m/>
    <m/>
    <m/>
    <m/>
    <m/>
    <m/>
    <m/>
    <m/>
    <m/>
    <m/>
    <s v="a808e796-8c11-44ee-b7ba-891c48da58e1"/>
    <d v="2021-05-25T15:52:33"/>
    <s v="ccber_user"/>
    <d v="2021-05-25T15:52:33"/>
    <s v="ccber_user"/>
    <n v="-119.879389682821"/>
    <n v="34.418316267246396"/>
  </r>
  <r>
    <m/>
    <d v="2021-05-25T00:00:00"/>
    <m/>
    <x v="44"/>
    <x v="0"/>
    <x v="0"/>
    <s v="Vegetation - Shrub"/>
    <m/>
    <m/>
    <s v="Added after review of data, bird was heard near venoco bridge"/>
    <m/>
    <x v="0"/>
    <m/>
    <m/>
    <m/>
    <m/>
    <m/>
    <m/>
    <m/>
    <m/>
    <m/>
    <m/>
    <m/>
    <m/>
    <m/>
    <m/>
    <m/>
    <m/>
    <m/>
    <m/>
    <m/>
    <m/>
    <m/>
    <m/>
  </r>
  <r>
    <m/>
    <m/>
    <m/>
    <x v="45"/>
    <x v="12"/>
    <x v="2"/>
    <m/>
    <m/>
    <m/>
    <m/>
    <m/>
    <x v="2"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5" cacheId="6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gridDropZones="1" multipleFieldFilters="0">
  <location ref="A3:J52" firstHeaderRow="1" firstDataRow="3" firstDataCol="1"/>
  <pivotFields count="34">
    <pivotField showAll="0"/>
    <pivotField showAll="0"/>
    <pivotField showAll="0"/>
    <pivotField axis="axisRow" showAll="0">
      <items count="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44"/>
        <item x="34"/>
        <item x="35"/>
        <item x="36"/>
        <item x="37"/>
        <item x="38"/>
        <item x="39"/>
        <item x="40"/>
        <item x="41"/>
        <item x="42"/>
        <item x="43"/>
        <item x="45"/>
        <item t="default"/>
      </items>
    </pivotField>
    <pivotField dataField="1" showAll="0">
      <items count="14">
        <item x="0"/>
        <item x="3"/>
        <item x="8"/>
        <item x="2"/>
        <item x="1"/>
        <item x="5"/>
        <item x="11"/>
        <item x="7"/>
        <item x="10"/>
        <item x="4"/>
        <item x="9"/>
        <item x="6"/>
        <item x="12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axis="axisCol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 t="grand">
      <x/>
    </i>
  </rowItems>
  <colFields count="2">
    <field x="5"/>
    <field x="11"/>
  </colFields>
  <colItems count="9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 v="2"/>
    </i>
    <i t="default">
      <x v="2"/>
    </i>
    <i t="grand">
      <x/>
    </i>
  </colItems>
  <dataFields count="1">
    <dataField name="Sum of Count" fld="4" baseField="0" baseItem="0"/>
  </dataFields>
  <formats count="10">
    <format dxfId="9">
      <pivotArea outline="0" collapsedLevelsAreSubtotals="1" fieldPosition="0">
        <references count="1">
          <reference field="5" count="1" selected="0" defaultSubtotal="1">
            <x v="0"/>
          </reference>
        </references>
      </pivotArea>
    </format>
    <format dxfId="8">
      <pivotArea type="topRight" dataOnly="0" labelOnly="1" outline="0" offset="A1" fieldPosition="0"/>
    </format>
    <format dxfId="7">
      <pivotArea dataOnly="0" labelOnly="1" fieldPosition="0">
        <references count="1">
          <reference field="5" count="1" defaultSubtotal="1">
            <x v="0"/>
          </reference>
        </references>
      </pivotArea>
    </format>
    <format dxfId="6">
      <pivotArea outline="0" collapsedLevelsAreSubtotals="1" fieldPosition="0">
        <references count="1">
          <reference field="5" count="1" selected="0" defaultSubtotal="1">
            <x v="1"/>
          </reference>
        </references>
      </pivotArea>
    </format>
    <format dxfId="5">
      <pivotArea type="topRight" dataOnly="0" labelOnly="1" outline="0" offset="B1:D1" fieldPosition="0"/>
    </format>
    <format dxfId="4">
      <pivotArea dataOnly="0" labelOnly="1" fieldPosition="0">
        <references count="1">
          <reference field="5" count="1">
            <x v="1"/>
          </reference>
        </references>
      </pivotArea>
    </format>
    <format dxfId="3">
      <pivotArea dataOnly="0" labelOnly="1" fieldPosition="0">
        <references count="1">
          <reference field="5" count="1" defaultSubtotal="1">
            <x v="1"/>
          </reference>
        </references>
      </pivotArea>
    </format>
    <format dxfId="2">
      <pivotArea dataOnly="0" labelOnly="1" fieldPosition="0">
        <references count="2">
          <reference field="5" count="1" selected="0">
            <x v="1"/>
          </reference>
          <reference field="11" count="2">
            <x v="0"/>
            <x v="1"/>
          </reference>
        </references>
      </pivotArea>
    </format>
    <format dxfId="1">
      <pivotArea collapsedLevelsAreSubtotals="1" fieldPosition="0">
        <references count="2">
          <reference field="3" count="0"/>
          <reference field="5" count="2" selected="0" defaultSubtotal="1">
            <x v="0"/>
            <x v="1"/>
          </reference>
        </references>
      </pivotArea>
    </format>
    <format dxfId="0">
      <pivotArea dataOnly="0" labelOnly="1" fieldPosition="0">
        <references count="1">
          <reference field="3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2"/>
  <sheetViews>
    <sheetView tabSelected="1" workbookViewId="0">
      <selection activeCell="E56" sqref="E56"/>
    </sheetView>
  </sheetViews>
  <sheetFormatPr baseColWidth="10" defaultRowHeight="14" x14ac:dyDescent="0"/>
  <cols>
    <col min="1" max="1" width="23.33203125" bestFit="1" customWidth="1"/>
    <col min="2" max="2" width="18.5" bestFit="1" customWidth="1"/>
    <col min="3" max="3" width="23.6640625" bestFit="1" customWidth="1"/>
    <col min="4" max="4" width="7.83203125" bestFit="1" customWidth="1"/>
    <col min="5" max="5" width="18.5" bestFit="1" customWidth="1"/>
    <col min="6" max="6" width="23.6640625" bestFit="1" customWidth="1"/>
    <col min="7" max="7" width="8.1640625" bestFit="1" customWidth="1"/>
    <col min="8" max="9" width="0.6640625" customWidth="1"/>
    <col min="10" max="10" width="10.1640625" hidden="1" customWidth="1"/>
    <col min="11" max="11" width="0.33203125" customWidth="1"/>
  </cols>
  <sheetData>
    <row r="1" spans="1:10">
      <c r="D1" s="7"/>
      <c r="E1" s="9"/>
      <c r="F1" s="9"/>
      <c r="G1" s="9"/>
    </row>
    <row r="2" spans="1:10" ht="28">
      <c r="D2" s="8" t="s">
        <v>288</v>
      </c>
      <c r="E2" s="9"/>
      <c r="F2" s="10" t="s">
        <v>287</v>
      </c>
      <c r="G2" s="9"/>
    </row>
    <row r="3" spans="1:10">
      <c r="A3" s="6" t="s">
        <v>283</v>
      </c>
      <c r="B3" s="6" t="s">
        <v>284</v>
      </c>
      <c r="D3" s="7"/>
      <c r="E3" s="9"/>
      <c r="F3" s="9"/>
      <c r="G3" s="9"/>
    </row>
    <row r="4" spans="1:10">
      <c r="B4" t="s">
        <v>33</v>
      </c>
      <c r="D4" s="7" t="s">
        <v>285</v>
      </c>
      <c r="E4" s="9" t="s">
        <v>182</v>
      </c>
      <c r="F4" s="9"/>
      <c r="G4" s="9" t="s">
        <v>286</v>
      </c>
      <c r="H4" t="s">
        <v>294</v>
      </c>
      <c r="I4" t="s">
        <v>295</v>
      </c>
      <c r="J4" t="s">
        <v>282</v>
      </c>
    </row>
    <row r="5" spans="1:10">
      <c r="A5" s="6" t="s">
        <v>281</v>
      </c>
      <c r="B5" t="s">
        <v>280</v>
      </c>
      <c r="C5" t="s">
        <v>279</v>
      </c>
      <c r="D5" s="7"/>
      <c r="E5" s="9" t="s">
        <v>280</v>
      </c>
      <c r="F5" s="9" t="s">
        <v>279</v>
      </c>
      <c r="G5" s="9"/>
      <c r="H5" t="s">
        <v>294</v>
      </c>
    </row>
    <row r="6" spans="1:10">
      <c r="A6" s="11" t="s">
        <v>51</v>
      </c>
      <c r="B6" s="12">
        <v>11</v>
      </c>
      <c r="C6" s="12">
        <v>7</v>
      </c>
      <c r="D6" s="13">
        <v>18</v>
      </c>
      <c r="E6" s="14"/>
      <c r="F6" s="14"/>
      <c r="G6" s="14"/>
      <c r="J6">
        <v>18</v>
      </c>
    </row>
    <row r="7" spans="1:10">
      <c r="A7" s="11" t="s">
        <v>45</v>
      </c>
      <c r="B7" s="12">
        <v>3</v>
      </c>
      <c r="C7" s="12">
        <v>3</v>
      </c>
      <c r="D7" s="13">
        <v>6</v>
      </c>
      <c r="E7" s="14"/>
      <c r="F7" s="14"/>
      <c r="G7" s="14"/>
      <c r="J7">
        <v>6</v>
      </c>
    </row>
    <row r="8" spans="1:10">
      <c r="A8" s="11" t="s">
        <v>161</v>
      </c>
      <c r="B8" s="12">
        <v>3</v>
      </c>
      <c r="C8" s="12"/>
      <c r="D8" s="13">
        <v>3</v>
      </c>
      <c r="E8" s="14"/>
      <c r="F8" s="14"/>
      <c r="G8" s="14"/>
      <c r="J8">
        <v>3</v>
      </c>
    </row>
    <row r="9" spans="1:10">
      <c r="A9" s="11" t="s">
        <v>87</v>
      </c>
      <c r="B9" s="12">
        <v>8</v>
      </c>
      <c r="C9" s="12">
        <v>3</v>
      </c>
      <c r="D9" s="13">
        <v>11</v>
      </c>
      <c r="E9" s="14"/>
      <c r="F9" s="14"/>
      <c r="G9" s="14"/>
      <c r="J9">
        <v>11</v>
      </c>
    </row>
    <row r="10" spans="1:10">
      <c r="A10" s="11" t="s">
        <v>154</v>
      </c>
      <c r="B10" s="12">
        <v>5</v>
      </c>
      <c r="C10" s="12"/>
      <c r="D10" s="13">
        <v>5</v>
      </c>
      <c r="E10" s="14"/>
      <c r="F10" s="14"/>
      <c r="G10" s="14"/>
      <c r="J10">
        <v>5</v>
      </c>
    </row>
    <row r="11" spans="1:10">
      <c r="A11" s="11" t="s">
        <v>127</v>
      </c>
      <c r="B11" s="12">
        <v>1</v>
      </c>
      <c r="C11" s="12">
        <v>2</v>
      </c>
      <c r="D11" s="13">
        <v>3</v>
      </c>
      <c r="E11" s="14"/>
      <c r="F11" s="14"/>
      <c r="G11" s="14"/>
      <c r="J11">
        <v>3</v>
      </c>
    </row>
    <row r="12" spans="1:10">
      <c r="A12" s="11" t="s">
        <v>122</v>
      </c>
      <c r="B12" s="12"/>
      <c r="C12" s="12">
        <v>1</v>
      </c>
      <c r="D12" s="13">
        <v>1</v>
      </c>
      <c r="E12" s="14"/>
      <c r="F12" s="14"/>
      <c r="G12" s="14"/>
      <c r="J12">
        <v>1</v>
      </c>
    </row>
    <row r="13" spans="1:10">
      <c r="A13" s="11" t="s">
        <v>157</v>
      </c>
      <c r="B13" s="12">
        <v>2</v>
      </c>
      <c r="C13" s="12"/>
      <c r="D13" s="13">
        <v>2</v>
      </c>
      <c r="E13" s="14"/>
      <c r="F13" s="14"/>
      <c r="G13" s="14"/>
      <c r="J13">
        <v>2</v>
      </c>
    </row>
    <row r="14" spans="1:10">
      <c r="A14" s="11" t="s">
        <v>199</v>
      </c>
      <c r="B14" s="12">
        <v>18</v>
      </c>
      <c r="C14" s="12"/>
      <c r="D14" s="13">
        <v>18</v>
      </c>
      <c r="E14" s="14"/>
      <c r="F14" s="14"/>
      <c r="G14" s="14"/>
      <c r="J14">
        <v>18</v>
      </c>
    </row>
    <row r="15" spans="1:10">
      <c r="A15" s="11" t="s">
        <v>228</v>
      </c>
      <c r="B15" s="12">
        <v>1</v>
      </c>
      <c r="C15" s="12"/>
      <c r="D15" s="13">
        <v>1</v>
      </c>
      <c r="E15" s="14"/>
      <c r="F15" s="14"/>
      <c r="G15" s="14"/>
      <c r="J15">
        <v>1</v>
      </c>
    </row>
    <row r="16" spans="1:10">
      <c r="A16" s="11" t="s">
        <v>37</v>
      </c>
      <c r="B16" s="12">
        <v>1</v>
      </c>
      <c r="C16" s="12">
        <v>6</v>
      </c>
      <c r="D16" s="13">
        <v>7</v>
      </c>
      <c r="E16" s="14"/>
      <c r="F16" s="14"/>
      <c r="G16" s="14"/>
      <c r="J16">
        <v>7</v>
      </c>
    </row>
    <row r="17" spans="1:10">
      <c r="A17" s="11" t="s">
        <v>146</v>
      </c>
      <c r="B17" s="12">
        <v>6</v>
      </c>
      <c r="C17" s="12"/>
      <c r="D17" s="13">
        <v>6</v>
      </c>
      <c r="E17" s="14">
        <v>4</v>
      </c>
      <c r="F17" s="14"/>
      <c r="G17" s="14">
        <v>4</v>
      </c>
      <c r="J17">
        <v>10</v>
      </c>
    </row>
    <row r="18" spans="1:10">
      <c r="A18" s="11" t="s">
        <v>73</v>
      </c>
      <c r="B18" s="12"/>
      <c r="C18" s="12">
        <v>1</v>
      </c>
      <c r="D18" s="13">
        <v>1</v>
      </c>
      <c r="E18" s="14"/>
      <c r="F18" s="14"/>
      <c r="G18" s="14"/>
      <c r="J18">
        <v>1</v>
      </c>
    </row>
    <row r="19" spans="1:10">
      <c r="A19" s="11" t="s">
        <v>39</v>
      </c>
      <c r="B19" s="12">
        <v>14</v>
      </c>
      <c r="C19" s="12">
        <v>105</v>
      </c>
      <c r="D19" s="13">
        <v>119</v>
      </c>
      <c r="E19" s="14"/>
      <c r="F19" s="14"/>
      <c r="G19" s="14"/>
      <c r="J19">
        <v>119</v>
      </c>
    </row>
    <row r="20" spans="1:10">
      <c r="A20" s="11" t="s">
        <v>93</v>
      </c>
      <c r="B20" s="12">
        <v>6</v>
      </c>
      <c r="C20" s="12">
        <v>3</v>
      </c>
      <c r="D20" s="13">
        <v>9</v>
      </c>
      <c r="E20" s="14"/>
      <c r="F20" s="14"/>
      <c r="G20" s="14"/>
      <c r="J20">
        <v>9</v>
      </c>
    </row>
    <row r="21" spans="1:10">
      <c r="A21" s="11" t="s">
        <v>274</v>
      </c>
      <c r="B21" s="12">
        <v>2</v>
      </c>
      <c r="C21" s="12"/>
      <c r="D21" s="13">
        <v>2</v>
      </c>
      <c r="E21" s="14"/>
      <c r="F21" s="14"/>
      <c r="G21" s="14"/>
      <c r="J21">
        <v>2</v>
      </c>
    </row>
    <row r="22" spans="1:10">
      <c r="A22" s="11" t="s">
        <v>130</v>
      </c>
      <c r="B22" s="12"/>
      <c r="C22" s="12">
        <v>1</v>
      </c>
      <c r="D22" s="13">
        <v>1</v>
      </c>
      <c r="E22" s="14"/>
      <c r="F22" s="14"/>
      <c r="G22" s="14"/>
      <c r="J22">
        <v>1</v>
      </c>
    </row>
    <row r="23" spans="1:10">
      <c r="A23" s="11" t="s">
        <v>231</v>
      </c>
      <c r="B23" s="12">
        <v>1</v>
      </c>
      <c r="C23" s="12"/>
      <c r="D23" s="13">
        <v>1</v>
      </c>
      <c r="E23" s="14"/>
      <c r="F23" s="14"/>
      <c r="G23" s="14"/>
      <c r="J23">
        <v>1</v>
      </c>
    </row>
    <row r="24" spans="1:10">
      <c r="A24" s="11" t="s">
        <v>152</v>
      </c>
      <c r="B24" s="12">
        <v>9</v>
      </c>
      <c r="C24" s="12"/>
      <c r="D24" s="13">
        <v>9</v>
      </c>
      <c r="E24" s="14">
        <v>3</v>
      </c>
      <c r="F24" s="14"/>
      <c r="G24" s="14">
        <v>3</v>
      </c>
      <c r="J24">
        <v>12</v>
      </c>
    </row>
    <row r="25" spans="1:10">
      <c r="A25" s="11" t="s">
        <v>219</v>
      </c>
      <c r="B25" s="12">
        <v>1</v>
      </c>
      <c r="C25" s="12"/>
      <c r="D25" s="13">
        <v>1</v>
      </c>
      <c r="E25" s="14"/>
      <c r="F25" s="14"/>
      <c r="G25" s="14"/>
      <c r="J25">
        <v>1</v>
      </c>
    </row>
    <row r="26" spans="1:10">
      <c r="A26" s="11" t="s">
        <v>100</v>
      </c>
      <c r="B26" s="12"/>
      <c r="C26" s="12">
        <v>1</v>
      </c>
      <c r="D26" s="13">
        <v>1</v>
      </c>
      <c r="E26" s="14"/>
      <c r="F26" s="14"/>
      <c r="G26" s="14"/>
      <c r="J26">
        <v>1</v>
      </c>
    </row>
    <row r="27" spans="1:10">
      <c r="A27" s="11" t="s">
        <v>265</v>
      </c>
      <c r="B27" s="12">
        <v>2</v>
      </c>
      <c r="C27" s="12"/>
      <c r="D27" s="13">
        <v>2</v>
      </c>
      <c r="E27" s="14">
        <v>1</v>
      </c>
      <c r="F27" s="14"/>
      <c r="G27" s="14">
        <v>1</v>
      </c>
      <c r="J27">
        <v>3</v>
      </c>
    </row>
    <row r="28" spans="1:10">
      <c r="A28" s="11" t="s">
        <v>49</v>
      </c>
      <c r="B28" s="12">
        <v>19</v>
      </c>
      <c r="C28" s="12">
        <v>19</v>
      </c>
      <c r="D28" s="13">
        <v>38</v>
      </c>
      <c r="E28" s="14"/>
      <c r="F28" s="14"/>
      <c r="G28" s="14"/>
      <c r="J28">
        <v>38</v>
      </c>
    </row>
    <row r="29" spans="1:10">
      <c r="A29" s="11" t="s">
        <v>139</v>
      </c>
      <c r="B29" s="12">
        <v>2</v>
      </c>
      <c r="C29" s="12">
        <v>1</v>
      </c>
      <c r="D29" s="13">
        <v>3</v>
      </c>
      <c r="E29" s="14"/>
      <c r="F29" s="14"/>
      <c r="G29" s="14"/>
      <c r="J29">
        <v>3</v>
      </c>
    </row>
    <row r="30" spans="1:10">
      <c r="A30" s="11" t="s">
        <v>32</v>
      </c>
      <c r="B30" s="12"/>
      <c r="C30" s="12">
        <v>12</v>
      </c>
      <c r="D30" s="13">
        <v>12</v>
      </c>
      <c r="E30" s="14"/>
      <c r="F30" s="14"/>
      <c r="G30" s="14"/>
      <c r="J30">
        <v>12</v>
      </c>
    </row>
    <row r="31" spans="1:10">
      <c r="A31" s="11" t="s">
        <v>60</v>
      </c>
      <c r="B31" s="12"/>
      <c r="C31" s="12">
        <v>3</v>
      </c>
      <c r="D31" s="13">
        <v>3</v>
      </c>
      <c r="E31" s="14"/>
      <c r="F31" s="14"/>
      <c r="G31" s="14"/>
      <c r="J31">
        <v>3</v>
      </c>
    </row>
    <row r="32" spans="1:10">
      <c r="A32" s="11" t="s">
        <v>47</v>
      </c>
      <c r="B32" s="12">
        <v>5</v>
      </c>
      <c r="C32" s="12">
        <v>4</v>
      </c>
      <c r="D32" s="13">
        <v>9</v>
      </c>
      <c r="E32" s="14"/>
      <c r="F32" s="14"/>
      <c r="G32" s="14"/>
      <c r="J32">
        <v>9</v>
      </c>
    </row>
    <row r="33" spans="1:10">
      <c r="A33" s="11" t="s">
        <v>125</v>
      </c>
      <c r="B33" s="12">
        <v>31</v>
      </c>
      <c r="C33" s="12">
        <v>1</v>
      </c>
      <c r="D33" s="13">
        <v>32</v>
      </c>
      <c r="E33" s="14">
        <v>6</v>
      </c>
      <c r="F33" s="14">
        <v>20</v>
      </c>
      <c r="G33" s="14">
        <v>26</v>
      </c>
      <c r="J33">
        <v>58</v>
      </c>
    </row>
    <row r="34" spans="1:10">
      <c r="A34" s="11" t="s">
        <v>260</v>
      </c>
      <c r="B34" s="12">
        <v>1</v>
      </c>
      <c r="C34" s="12"/>
      <c r="D34" s="13">
        <v>1</v>
      </c>
      <c r="E34" s="14"/>
      <c r="F34" s="14"/>
      <c r="G34" s="14"/>
      <c r="J34">
        <v>1</v>
      </c>
    </row>
    <row r="35" spans="1:10">
      <c r="A35" s="11" t="s">
        <v>241</v>
      </c>
      <c r="B35" s="12">
        <v>1</v>
      </c>
      <c r="C35" s="12"/>
      <c r="D35" s="13">
        <v>1</v>
      </c>
      <c r="E35" s="14"/>
      <c r="F35" s="14"/>
      <c r="G35" s="14"/>
      <c r="J35">
        <v>1</v>
      </c>
    </row>
    <row r="36" spans="1:10">
      <c r="A36" s="11" t="s">
        <v>167</v>
      </c>
      <c r="B36" s="12">
        <v>2</v>
      </c>
      <c r="C36" s="12"/>
      <c r="D36" s="13">
        <v>2</v>
      </c>
      <c r="E36" s="14">
        <v>1</v>
      </c>
      <c r="F36" s="14"/>
      <c r="G36" s="14">
        <v>1</v>
      </c>
      <c r="J36">
        <v>3</v>
      </c>
    </row>
    <row r="37" spans="1:10">
      <c r="A37" s="11" t="s">
        <v>114</v>
      </c>
      <c r="B37" s="12"/>
      <c r="C37" s="12">
        <v>3</v>
      </c>
      <c r="D37" s="13">
        <v>3</v>
      </c>
      <c r="E37" s="14">
        <v>1</v>
      </c>
      <c r="F37" s="14"/>
      <c r="G37" s="14">
        <v>1</v>
      </c>
      <c r="J37">
        <v>4</v>
      </c>
    </row>
    <row r="38" spans="1:10">
      <c r="A38" s="11" t="s">
        <v>69</v>
      </c>
      <c r="B38" s="12"/>
      <c r="C38" s="12">
        <v>5</v>
      </c>
      <c r="D38" s="13">
        <v>5</v>
      </c>
      <c r="E38" s="14"/>
      <c r="F38" s="14"/>
      <c r="G38" s="14"/>
      <c r="J38">
        <v>5</v>
      </c>
    </row>
    <row r="39" spans="1:10">
      <c r="A39" s="11" t="s">
        <v>184</v>
      </c>
      <c r="B39" s="12">
        <v>12</v>
      </c>
      <c r="C39" s="12"/>
      <c r="D39" s="13">
        <v>12</v>
      </c>
      <c r="E39" s="14"/>
      <c r="F39" s="14"/>
      <c r="G39" s="14"/>
      <c r="J39">
        <v>12</v>
      </c>
    </row>
    <row r="40" spans="1:10">
      <c r="A40" s="11" t="s">
        <v>292</v>
      </c>
      <c r="B40" s="12"/>
      <c r="C40" s="12">
        <v>1</v>
      </c>
      <c r="D40" s="13">
        <v>1</v>
      </c>
      <c r="E40" s="14"/>
      <c r="F40" s="14"/>
      <c r="G40" s="14"/>
      <c r="J40">
        <v>1</v>
      </c>
    </row>
    <row r="41" spans="1:10">
      <c r="A41" s="11" t="s">
        <v>97</v>
      </c>
      <c r="B41" s="12">
        <v>5</v>
      </c>
      <c r="C41" s="12">
        <v>3</v>
      </c>
      <c r="D41" s="13">
        <v>8</v>
      </c>
      <c r="E41" s="14"/>
      <c r="F41" s="14"/>
      <c r="G41" s="14"/>
      <c r="J41">
        <v>8</v>
      </c>
    </row>
    <row r="42" spans="1:10">
      <c r="A42" s="11" t="s">
        <v>209</v>
      </c>
      <c r="B42" s="12">
        <v>6</v>
      </c>
      <c r="C42" s="12"/>
      <c r="D42" s="13">
        <v>6</v>
      </c>
      <c r="E42" s="14"/>
      <c r="F42" s="14"/>
      <c r="G42" s="14"/>
      <c r="J42">
        <v>6</v>
      </c>
    </row>
    <row r="43" spans="1:10">
      <c r="A43" s="11" t="s">
        <v>135</v>
      </c>
      <c r="B43" s="12"/>
      <c r="C43" s="12">
        <v>1</v>
      </c>
      <c r="D43" s="13">
        <v>1</v>
      </c>
      <c r="E43" s="14"/>
      <c r="F43" s="14"/>
      <c r="G43" s="14"/>
      <c r="J43">
        <v>1</v>
      </c>
    </row>
    <row r="44" spans="1:10">
      <c r="A44" s="11" t="s">
        <v>238</v>
      </c>
      <c r="B44" s="12">
        <v>1</v>
      </c>
      <c r="C44" s="12"/>
      <c r="D44" s="13">
        <v>1</v>
      </c>
      <c r="E44" s="14"/>
      <c r="F44" s="14"/>
      <c r="G44" s="14"/>
      <c r="J44">
        <v>1</v>
      </c>
    </row>
    <row r="45" spans="1:10">
      <c r="A45" s="11" t="s">
        <v>42</v>
      </c>
      <c r="B45" s="12">
        <v>18</v>
      </c>
      <c r="C45" s="12">
        <v>7</v>
      </c>
      <c r="D45" s="13">
        <v>25</v>
      </c>
      <c r="E45" s="14"/>
      <c r="F45" s="14"/>
      <c r="G45" s="14"/>
      <c r="J45">
        <v>25</v>
      </c>
    </row>
    <row r="46" spans="1:10">
      <c r="A46" s="11" t="s">
        <v>75</v>
      </c>
      <c r="B46" s="12"/>
      <c r="C46" s="12">
        <v>2</v>
      </c>
      <c r="D46" s="13">
        <v>2</v>
      </c>
      <c r="E46" s="14"/>
      <c r="F46" s="14"/>
      <c r="G46" s="14"/>
      <c r="J46">
        <v>2</v>
      </c>
    </row>
    <row r="47" spans="1:10">
      <c r="A47" s="11" t="s">
        <v>79</v>
      </c>
      <c r="B47" s="12">
        <v>1</v>
      </c>
      <c r="C47" s="12">
        <v>1</v>
      </c>
      <c r="D47" s="13">
        <v>2</v>
      </c>
      <c r="E47" s="14"/>
      <c r="F47" s="14"/>
      <c r="G47" s="14"/>
      <c r="J47">
        <v>2</v>
      </c>
    </row>
    <row r="48" spans="1:10">
      <c r="A48" s="11" t="s">
        <v>56</v>
      </c>
      <c r="B48" s="12">
        <v>3</v>
      </c>
      <c r="C48" s="12">
        <v>3</v>
      </c>
      <c r="D48" s="13">
        <v>6</v>
      </c>
      <c r="E48" s="14"/>
      <c r="F48" s="14"/>
      <c r="G48" s="14"/>
      <c r="J48">
        <v>6</v>
      </c>
    </row>
    <row r="49" spans="1:10">
      <c r="A49" s="11" t="s">
        <v>222</v>
      </c>
      <c r="B49" s="12">
        <v>4</v>
      </c>
      <c r="C49" s="12"/>
      <c r="D49" s="13">
        <v>4</v>
      </c>
      <c r="E49" s="14"/>
      <c r="F49" s="14"/>
      <c r="G49" s="14"/>
      <c r="J49">
        <v>4</v>
      </c>
    </row>
    <row r="50" spans="1:10">
      <c r="A50" s="11" t="s">
        <v>63</v>
      </c>
      <c r="B50" s="12"/>
      <c r="C50" s="12">
        <v>2</v>
      </c>
      <c r="D50" s="13">
        <v>2</v>
      </c>
      <c r="E50" s="14">
        <v>1</v>
      </c>
      <c r="F50" s="14"/>
      <c r="G50" s="14">
        <v>1</v>
      </c>
      <c r="J50">
        <v>3</v>
      </c>
    </row>
    <row r="51" spans="1:10">
      <c r="A51" s="11" t="s">
        <v>294</v>
      </c>
      <c r="B51" s="12"/>
      <c r="C51" s="12"/>
      <c r="D51" s="13"/>
      <c r="E51" s="14"/>
      <c r="F51" s="14"/>
      <c r="G51" s="14"/>
    </row>
    <row r="52" spans="1:10">
      <c r="A52" s="2" t="s">
        <v>282</v>
      </c>
      <c r="B52">
        <v>205</v>
      </c>
      <c r="C52">
        <v>201</v>
      </c>
      <c r="D52" s="7">
        <v>406</v>
      </c>
      <c r="E52" s="9">
        <v>17</v>
      </c>
      <c r="F52" s="9">
        <v>20</v>
      </c>
      <c r="G52" s="9">
        <v>37</v>
      </c>
      <c r="J52">
        <v>443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67"/>
  <sheetViews>
    <sheetView workbookViewId="0">
      <pane xSplit="1" ySplit="1" topLeftCell="B3" activePane="bottomRight" state="frozen"/>
      <selection pane="topRight" activeCell="B1" sqref="B1"/>
      <selection pane="bottomLeft" activeCell="A2" sqref="A2"/>
      <selection pane="bottomRight" sqref="A1:XFD1048576"/>
    </sheetView>
  </sheetViews>
  <sheetFormatPr baseColWidth="10" defaultColWidth="8.83203125" defaultRowHeight="14" x14ac:dyDescent="0"/>
  <cols>
    <col min="1" max="1" width="9.33203125" style="2" bestFit="1" customWidth="1"/>
    <col min="2" max="2" width="9.6640625" style="2" bestFit="1" customWidth="1"/>
    <col min="3" max="3" width="9.33203125" style="4" customWidth="1"/>
    <col min="4" max="4" width="26" bestFit="1" customWidth="1"/>
    <col min="5" max="5" width="8.83203125" style="4"/>
    <col min="6" max="6" width="18.83203125" bestFit="1" customWidth="1"/>
    <col min="7" max="7" width="23.33203125" bestFit="1" customWidth="1"/>
    <col min="12" max="12" width="27.1640625" bestFit="1" customWidth="1"/>
    <col min="29" max="29" width="14.83203125" bestFit="1" customWidth="1"/>
  </cols>
  <sheetData>
    <row r="1" spans="1:34">
      <c r="A1" s="2" t="s">
        <v>0</v>
      </c>
      <c r="B1" s="2" t="s">
        <v>277</v>
      </c>
      <c r="C1" s="4" t="s">
        <v>278</v>
      </c>
      <c r="D1" t="s">
        <v>1</v>
      </c>
      <c r="E1" s="4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</row>
    <row r="2" spans="1:34">
      <c r="A2" s="2">
        <v>13</v>
      </c>
      <c r="B2" s="3">
        <v>44341</v>
      </c>
      <c r="C2" s="5">
        <f>AC2-(7/24)</f>
        <v>44341.306666666635</v>
      </c>
      <c r="D2" t="s">
        <v>51</v>
      </c>
      <c r="E2" s="4">
        <v>1</v>
      </c>
      <c r="F2" t="s">
        <v>33</v>
      </c>
      <c r="G2" t="s">
        <v>34</v>
      </c>
      <c r="L2" t="s">
        <v>279</v>
      </c>
      <c r="AB2" t="s">
        <v>52</v>
      </c>
      <c r="AC2" s="1">
        <v>44341.598333333299</v>
      </c>
      <c r="AD2" t="s">
        <v>36</v>
      </c>
      <c r="AE2" s="1">
        <v>44341.599641203698</v>
      </c>
      <c r="AF2" t="s">
        <v>36</v>
      </c>
      <c r="AG2">
        <v>-119.875845820042</v>
      </c>
      <c r="AH2">
        <v>34.418377282299403</v>
      </c>
    </row>
    <row r="3" spans="1:34">
      <c r="A3" s="2">
        <v>14</v>
      </c>
      <c r="B3" s="3">
        <v>44341</v>
      </c>
      <c r="C3" s="5">
        <f>AC3-(7/24)</f>
        <v>44341.308865740735</v>
      </c>
      <c r="D3" t="s">
        <v>51</v>
      </c>
      <c r="E3" s="4">
        <v>5</v>
      </c>
      <c r="F3" t="s">
        <v>33</v>
      </c>
      <c r="G3" t="s">
        <v>34</v>
      </c>
      <c r="L3" t="s">
        <v>279</v>
      </c>
      <c r="AB3" t="s">
        <v>53</v>
      </c>
      <c r="AC3" s="1">
        <v>44341.600532407399</v>
      </c>
      <c r="AD3" t="s">
        <v>36</v>
      </c>
      <c r="AE3" s="1">
        <v>44341.605405092603</v>
      </c>
      <c r="AF3" t="s">
        <v>36</v>
      </c>
      <c r="AG3">
        <v>-119.87745241560501</v>
      </c>
      <c r="AH3">
        <v>34.418475367519903</v>
      </c>
    </row>
    <row r="4" spans="1:34">
      <c r="A4" s="2">
        <v>73</v>
      </c>
      <c r="B4" s="3">
        <v>44341</v>
      </c>
      <c r="C4" s="5">
        <f>AC4-(7/24)</f>
        <v>44341.406319444439</v>
      </c>
      <c r="D4" t="s">
        <v>51</v>
      </c>
      <c r="E4" s="4">
        <v>1</v>
      </c>
      <c r="F4" t="s">
        <v>33</v>
      </c>
      <c r="G4" t="s">
        <v>43</v>
      </c>
      <c r="L4" t="s">
        <v>279</v>
      </c>
      <c r="U4">
        <v>65</v>
      </c>
      <c r="V4">
        <v>20</v>
      </c>
      <c r="W4" t="s">
        <v>141</v>
      </c>
      <c r="X4" t="s">
        <v>142</v>
      </c>
      <c r="Y4" t="s">
        <v>143</v>
      </c>
      <c r="Z4" t="s">
        <v>144</v>
      </c>
      <c r="AB4" t="s">
        <v>145</v>
      </c>
      <c r="AC4" s="1">
        <v>44341.697986111103</v>
      </c>
      <c r="AD4" t="s">
        <v>36</v>
      </c>
      <c r="AE4" s="1">
        <v>44341.697986111103</v>
      </c>
      <c r="AF4" t="s">
        <v>36</v>
      </c>
      <c r="AG4">
        <v>-119.87402929718</v>
      </c>
      <c r="AH4">
        <v>34.421744067274503</v>
      </c>
    </row>
    <row r="5" spans="1:34">
      <c r="A5" s="2">
        <v>87</v>
      </c>
      <c r="B5" s="3">
        <v>44341</v>
      </c>
      <c r="C5" s="5">
        <f>AC5-(7/24)</f>
        <v>44341.301388888933</v>
      </c>
      <c r="D5" t="s">
        <v>51</v>
      </c>
      <c r="E5" s="4">
        <v>1</v>
      </c>
      <c r="F5" t="s">
        <v>33</v>
      </c>
      <c r="G5" t="s">
        <v>43</v>
      </c>
      <c r="L5" t="s">
        <v>280</v>
      </c>
      <c r="AB5" t="s">
        <v>169</v>
      </c>
      <c r="AC5" s="1">
        <v>44341.593055555597</v>
      </c>
      <c r="AD5" t="s">
        <v>36</v>
      </c>
      <c r="AE5" s="1">
        <v>44341.593055555597</v>
      </c>
      <c r="AF5" t="s">
        <v>36</v>
      </c>
      <c r="AG5">
        <v>-119.873532812695</v>
      </c>
      <c r="AH5">
        <v>34.418801890581904</v>
      </c>
    </row>
    <row r="6" spans="1:34">
      <c r="A6" s="2">
        <v>96</v>
      </c>
      <c r="B6" s="3">
        <v>44341</v>
      </c>
      <c r="C6" s="5">
        <f>AC6-(7/24)</f>
        <v>44341.310844907435</v>
      </c>
      <c r="D6" t="s">
        <v>51</v>
      </c>
      <c r="E6" s="4">
        <v>1</v>
      </c>
      <c r="F6" t="s">
        <v>33</v>
      </c>
      <c r="G6" t="s">
        <v>40</v>
      </c>
      <c r="L6" t="s">
        <v>280</v>
      </c>
      <c r="AB6" t="s">
        <v>178</v>
      </c>
      <c r="AC6" s="1">
        <v>44341.602511574099</v>
      </c>
      <c r="AD6" t="s">
        <v>36</v>
      </c>
      <c r="AE6" s="1">
        <v>44341.602511574099</v>
      </c>
      <c r="AF6" t="s">
        <v>36</v>
      </c>
      <c r="AG6">
        <v>-119.873004109235</v>
      </c>
      <c r="AH6">
        <v>34.421178683857697</v>
      </c>
    </row>
    <row r="7" spans="1:34">
      <c r="A7" s="2">
        <v>101</v>
      </c>
      <c r="B7" s="3">
        <v>44341</v>
      </c>
      <c r="C7" s="5">
        <f>AC7-(7/24)</f>
        <v>44341.320324074033</v>
      </c>
      <c r="D7" t="s">
        <v>51</v>
      </c>
      <c r="E7" s="4">
        <v>1</v>
      </c>
      <c r="F7" t="s">
        <v>33</v>
      </c>
      <c r="G7" t="s">
        <v>58</v>
      </c>
      <c r="L7" t="s">
        <v>280</v>
      </c>
      <c r="AB7" t="s">
        <v>187</v>
      </c>
      <c r="AC7" s="1">
        <v>44341.611990740697</v>
      </c>
      <c r="AD7" t="s">
        <v>36</v>
      </c>
      <c r="AE7" s="1">
        <v>44341.611990740697</v>
      </c>
      <c r="AF7" t="s">
        <v>36</v>
      </c>
      <c r="AG7">
        <v>-119.87167806562</v>
      </c>
      <c r="AH7">
        <v>34.420691352175098</v>
      </c>
    </row>
    <row r="8" spans="1:34">
      <c r="A8" s="2">
        <v>109</v>
      </c>
      <c r="B8" s="3">
        <v>44341</v>
      </c>
      <c r="C8" s="5">
        <f>AC8-(7/24)</f>
        <v>44341.327604166632</v>
      </c>
      <c r="D8" t="s">
        <v>51</v>
      </c>
      <c r="E8" s="4">
        <v>1</v>
      </c>
      <c r="F8" t="s">
        <v>33</v>
      </c>
      <c r="G8" t="s">
        <v>34</v>
      </c>
      <c r="L8" t="s">
        <v>280</v>
      </c>
      <c r="AB8" t="s">
        <v>197</v>
      </c>
      <c r="AC8" s="1">
        <v>44341.619270833296</v>
      </c>
      <c r="AD8" t="s">
        <v>36</v>
      </c>
      <c r="AE8" s="1">
        <v>44341.619270833296</v>
      </c>
      <c r="AF8" t="s">
        <v>36</v>
      </c>
      <c r="AG8">
        <v>-119.86994894075001</v>
      </c>
      <c r="AH8">
        <v>34.420999523969101</v>
      </c>
    </row>
    <row r="9" spans="1:34">
      <c r="A9" s="2">
        <v>129</v>
      </c>
      <c r="B9" s="3">
        <v>44341</v>
      </c>
      <c r="C9" s="5">
        <f>AC9-(7/24)</f>
        <v>44341.355740740735</v>
      </c>
      <c r="D9" t="s">
        <v>51</v>
      </c>
      <c r="E9" s="4">
        <v>1</v>
      </c>
      <c r="F9" t="s">
        <v>33</v>
      </c>
      <c r="G9" t="s">
        <v>34</v>
      </c>
      <c r="L9" t="s">
        <v>280</v>
      </c>
      <c r="AB9" t="s">
        <v>225</v>
      </c>
      <c r="AC9" s="1">
        <v>44341.647407407399</v>
      </c>
      <c r="AD9" t="s">
        <v>36</v>
      </c>
      <c r="AE9" s="1">
        <v>44341.647407407399</v>
      </c>
      <c r="AF9" t="s">
        <v>36</v>
      </c>
      <c r="AG9">
        <v>-119.873324063986</v>
      </c>
      <c r="AH9">
        <v>34.420832943380198</v>
      </c>
    </row>
    <row r="10" spans="1:34">
      <c r="A10" s="2">
        <v>136</v>
      </c>
      <c r="B10" s="3">
        <v>44341</v>
      </c>
      <c r="C10" s="5">
        <f>AC10-(7/24)</f>
        <v>44341.361759259235</v>
      </c>
      <c r="D10" t="s">
        <v>51</v>
      </c>
      <c r="E10" s="4">
        <v>4</v>
      </c>
      <c r="F10" t="s">
        <v>33</v>
      </c>
      <c r="G10" t="s">
        <v>40</v>
      </c>
      <c r="L10" t="s">
        <v>280</v>
      </c>
      <c r="AB10" t="s">
        <v>234</v>
      </c>
      <c r="AC10" s="1">
        <v>44341.653425925899</v>
      </c>
      <c r="AD10" t="s">
        <v>36</v>
      </c>
      <c r="AE10" s="1">
        <v>44341.653425925899</v>
      </c>
      <c r="AF10" t="s">
        <v>36</v>
      </c>
      <c r="AG10">
        <v>-119.87470971171901</v>
      </c>
      <c r="AH10">
        <v>34.4211624946957</v>
      </c>
    </row>
    <row r="11" spans="1:34">
      <c r="A11" s="2">
        <v>141</v>
      </c>
      <c r="B11" s="3">
        <v>44341</v>
      </c>
      <c r="C11" s="5">
        <f>AC11-(7/24)</f>
        <v>44341.366597222237</v>
      </c>
      <c r="D11" t="s">
        <v>51</v>
      </c>
      <c r="E11" s="4">
        <v>2</v>
      </c>
      <c r="F11" t="s">
        <v>33</v>
      </c>
      <c r="G11" t="s">
        <v>40</v>
      </c>
      <c r="L11" t="s">
        <v>280</v>
      </c>
      <c r="AB11" t="s">
        <v>240</v>
      </c>
      <c r="AC11" s="1">
        <v>44341.658263888901</v>
      </c>
      <c r="AD11" t="s">
        <v>36</v>
      </c>
      <c r="AE11" s="1">
        <v>44341.658263888901</v>
      </c>
      <c r="AF11" t="s">
        <v>36</v>
      </c>
      <c r="AG11">
        <v>-119.876190768619</v>
      </c>
      <c r="AH11">
        <v>34.418455473332799</v>
      </c>
    </row>
    <row r="12" spans="1:34">
      <c r="A12" s="2">
        <v>10</v>
      </c>
      <c r="B12" s="3">
        <v>44341</v>
      </c>
      <c r="C12" s="5">
        <f>AC12-(7/24)</f>
        <v>44341.303912037038</v>
      </c>
      <c r="D12" t="s">
        <v>45</v>
      </c>
      <c r="E12" s="4">
        <v>2</v>
      </c>
      <c r="F12" t="s">
        <v>33</v>
      </c>
      <c r="G12" t="s">
        <v>43</v>
      </c>
      <c r="L12" t="s">
        <v>279</v>
      </c>
      <c r="AB12" t="s">
        <v>46</v>
      </c>
      <c r="AC12" s="1">
        <v>44341.595578703702</v>
      </c>
      <c r="AD12" t="s">
        <v>36</v>
      </c>
      <c r="AE12" s="1">
        <v>44341.595578703702</v>
      </c>
      <c r="AF12" t="s">
        <v>36</v>
      </c>
      <c r="AG12">
        <v>-119.87684994967999</v>
      </c>
      <c r="AH12">
        <v>34.4176751166655</v>
      </c>
    </row>
    <row r="13" spans="1:34">
      <c r="A13" s="2">
        <v>35</v>
      </c>
      <c r="B13" s="3">
        <v>44341</v>
      </c>
      <c r="C13" s="5">
        <f>AC13-(7/24)</f>
        <v>44341.342824074032</v>
      </c>
      <c r="D13" t="s">
        <v>45</v>
      </c>
      <c r="E13" s="4">
        <v>1</v>
      </c>
      <c r="F13" t="s">
        <v>33</v>
      </c>
      <c r="G13" t="s">
        <v>43</v>
      </c>
      <c r="L13" t="s">
        <v>279</v>
      </c>
      <c r="AB13" t="s">
        <v>86</v>
      </c>
      <c r="AC13" s="1">
        <v>44341.634490740696</v>
      </c>
      <c r="AD13" t="s">
        <v>36</v>
      </c>
      <c r="AE13" s="1">
        <v>44341.634490740696</v>
      </c>
      <c r="AF13" t="s">
        <v>36</v>
      </c>
      <c r="AG13">
        <v>-119.877441916994</v>
      </c>
      <c r="AH13">
        <v>34.419414416525697</v>
      </c>
    </row>
    <row r="14" spans="1:34">
      <c r="A14" s="2">
        <v>84</v>
      </c>
      <c r="B14" s="3">
        <v>44341</v>
      </c>
      <c r="C14" s="5">
        <f>AC14-(7/24)</f>
        <v>44341.299733796339</v>
      </c>
      <c r="D14" t="s">
        <v>45</v>
      </c>
      <c r="E14" s="4">
        <v>1</v>
      </c>
      <c r="F14" t="s">
        <v>33</v>
      </c>
      <c r="G14" t="s">
        <v>40</v>
      </c>
      <c r="L14" t="s">
        <v>280</v>
      </c>
      <c r="AB14" t="s">
        <v>165</v>
      </c>
      <c r="AC14" s="1">
        <v>44341.591400463003</v>
      </c>
      <c r="AD14" t="s">
        <v>36</v>
      </c>
      <c r="AE14" s="1">
        <v>44341.591400463003</v>
      </c>
      <c r="AF14" t="s">
        <v>36</v>
      </c>
      <c r="AG14">
        <v>-119.873679815703</v>
      </c>
      <c r="AH14">
        <v>34.417954940964997</v>
      </c>
    </row>
    <row r="15" spans="1:34">
      <c r="A15" s="2">
        <v>115</v>
      </c>
      <c r="B15" s="3">
        <v>44341</v>
      </c>
      <c r="C15" s="5">
        <f>AC15-(7/24)</f>
        <v>44341.337800925932</v>
      </c>
      <c r="D15" t="s">
        <v>45</v>
      </c>
      <c r="E15" s="4">
        <v>1</v>
      </c>
      <c r="F15" t="s">
        <v>33</v>
      </c>
      <c r="G15" t="s">
        <v>43</v>
      </c>
      <c r="L15" t="s">
        <v>280</v>
      </c>
      <c r="AB15" t="s">
        <v>206</v>
      </c>
      <c r="AC15" s="1">
        <v>44341.629467592596</v>
      </c>
      <c r="AD15" t="s">
        <v>36</v>
      </c>
      <c r="AE15" s="1">
        <v>44341.629467592596</v>
      </c>
      <c r="AF15" t="s">
        <v>36</v>
      </c>
      <c r="AG15">
        <v>-119.872332007705</v>
      </c>
      <c r="AH15">
        <v>34.422452782641997</v>
      </c>
    </row>
    <row r="16" spans="1:34">
      <c r="A16" s="2">
        <v>137</v>
      </c>
      <c r="B16" s="3">
        <v>44341</v>
      </c>
      <c r="C16" s="5">
        <f>AC16-(7/24)</f>
        <v>44341.362002314832</v>
      </c>
      <c r="D16" t="s">
        <v>45</v>
      </c>
      <c r="E16" s="4">
        <v>1</v>
      </c>
      <c r="F16" t="s">
        <v>33</v>
      </c>
      <c r="G16" t="s">
        <v>40</v>
      </c>
      <c r="L16" t="s">
        <v>280</v>
      </c>
      <c r="AB16" t="s">
        <v>235</v>
      </c>
      <c r="AC16" s="1">
        <v>44341.653668981497</v>
      </c>
      <c r="AD16" t="s">
        <v>36</v>
      </c>
      <c r="AE16" s="1">
        <v>44341.653668981497</v>
      </c>
      <c r="AF16" t="s">
        <v>36</v>
      </c>
      <c r="AG16">
        <v>-119.875670334151</v>
      </c>
      <c r="AH16">
        <v>34.4210841691038</v>
      </c>
    </row>
    <row r="17" spans="1:34">
      <c r="A17" s="2">
        <v>81</v>
      </c>
      <c r="B17" s="3">
        <v>44341</v>
      </c>
      <c r="C17" s="5">
        <f>AC17-(7/24)</f>
        <v>44341.296979166633</v>
      </c>
      <c r="D17" t="s">
        <v>161</v>
      </c>
      <c r="E17" s="4">
        <v>2</v>
      </c>
      <c r="F17" t="s">
        <v>33</v>
      </c>
      <c r="G17" t="s">
        <v>40</v>
      </c>
      <c r="L17" t="s">
        <v>280</v>
      </c>
      <c r="AB17" t="s">
        <v>162</v>
      </c>
      <c r="AC17" s="1">
        <v>44341.588645833297</v>
      </c>
      <c r="AD17" t="s">
        <v>36</v>
      </c>
      <c r="AE17" s="1">
        <v>44341.588645833297</v>
      </c>
      <c r="AF17" t="s">
        <v>36</v>
      </c>
      <c r="AG17">
        <v>-119.875082355356</v>
      </c>
      <c r="AH17">
        <v>34.418134390458697</v>
      </c>
    </row>
    <row r="18" spans="1:34">
      <c r="A18" s="2">
        <v>94</v>
      </c>
      <c r="B18" s="3">
        <v>44341</v>
      </c>
      <c r="C18" s="5">
        <f>AC18-(7/24)</f>
        <v>44341.308043981437</v>
      </c>
      <c r="D18" t="s">
        <v>161</v>
      </c>
      <c r="E18" s="4">
        <v>1</v>
      </c>
      <c r="F18" t="s">
        <v>33</v>
      </c>
      <c r="G18" t="s">
        <v>40</v>
      </c>
      <c r="L18" t="s">
        <v>280</v>
      </c>
      <c r="AB18" t="s">
        <v>176</v>
      </c>
      <c r="AC18" s="1">
        <v>44341.599710648101</v>
      </c>
      <c r="AD18" t="s">
        <v>36</v>
      </c>
      <c r="AE18" s="1">
        <v>44341.599710648101</v>
      </c>
      <c r="AF18" t="s">
        <v>36</v>
      </c>
      <c r="AG18">
        <v>-119.875237829477</v>
      </c>
      <c r="AH18">
        <v>34.419628089964903</v>
      </c>
    </row>
    <row r="19" spans="1:34">
      <c r="A19" s="2">
        <v>36</v>
      </c>
      <c r="B19" s="3">
        <v>44341</v>
      </c>
      <c r="C19" s="5">
        <f>AC19-(7/24)</f>
        <v>44341.343368055539</v>
      </c>
      <c r="D19" t="s">
        <v>87</v>
      </c>
      <c r="E19" s="4">
        <v>1</v>
      </c>
      <c r="F19" t="s">
        <v>33</v>
      </c>
      <c r="G19" t="s">
        <v>54</v>
      </c>
      <c r="L19" t="s">
        <v>279</v>
      </c>
      <c r="AB19" t="s">
        <v>88</v>
      </c>
      <c r="AC19" s="1">
        <v>44341.635034722203</v>
      </c>
      <c r="AD19" t="s">
        <v>36</v>
      </c>
      <c r="AE19" s="1">
        <v>44341.635034722203</v>
      </c>
      <c r="AF19" t="s">
        <v>36</v>
      </c>
      <c r="AG19">
        <v>-119.877116105227</v>
      </c>
      <c r="AH19">
        <v>34.4197705551708</v>
      </c>
    </row>
    <row r="20" spans="1:34">
      <c r="A20" s="2">
        <v>42</v>
      </c>
      <c r="B20" s="3">
        <v>44341</v>
      </c>
      <c r="C20" s="5">
        <f>AC20-(7/24)</f>
        <v>44341.350856481433</v>
      </c>
      <c r="D20" t="s">
        <v>87</v>
      </c>
      <c r="E20" s="4">
        <v>1</v>
      </c>
      <c r="F20" t="s">
        <v>33</v>
      </c>
      <c r="G20" t="s">
        <v>95</v>
      </c>
      <c r="L20" t="s">
        <v>279</v>
      </c>
      <c r="AB20" t="s">
        <v>96</v>
      </c>
      <c r="AC20" s="1">
        <v>44341.642523148097</v>
      </c>
      <c r="AD20" t="s">
        <v>36</v>
      </c>
      <c r="AE20" s="1">
        <v>44341.642523148097</v>
      </c>
      <c r="AF20" t="s">
        <v>36</v>
      </c>
      <c r="AG20">
        <v>-119.879456833685</v>
      </c>
      <c r="AH20">
        <v>34.420863049839298</v>
      </c>
    </row>
    <row r="21" spans="1:34">
      <c r="A21" s="2">
        <v>67</v>
      </c>
      <c r="B21" s="3">
        <v>44341</v>
      </c>
      <c r="C21" s="5">
        <f>AC21-(7/24)</f>
        <v>44341.380879629636</v>
      </c>
      <c r="D21" t="s">
        <v>87</v>
      </c>
      <c r="E21" s="4">
        <v>1</v>
      </c>
      <c r="F21" t="s">
        <v>33</v>
      </c>
      <c r="G21" t="s">
        <v>54</v>
      </c>
      <c r="L21" t="s">
        <v>279</v>
      </c>
      <c r="AB21" t="s">
        <v>133</v>
      </c>
      <c r="AC21" s="1">
        <v>44341.6725462963</v>
      </c>
      <c r="AD21" t="s">
        <v>36</v>
      </c>
      <c r="AE21" s="1">
        <v>44341.6725462963</v>
      </c>
      <c r="AF21" t="s">
        <v>36</v>
      </c>
      <c r="AG21">
        <v>-119.88219359970699</v>
      </c>
      <c r="AH21">
        <v>34.421641483448902</v>
      </c>
    </row>
    <row r="22" spans="1:34">
      <c r="A22" s="2">
        <v>85</v>
      </c>
      <c r="B22" s="3">
        <v>44341</v>
      </c>
      <c r="C22" s="5">
        <f>AC22-(7/24)</f>
        <v>44341.300381944435</v>
      </c>
      <c r="D22" t="s">
        <v>87</v>
      </c>
      <c r="E22" s="4">
        <v>1</v>
      </c>
      <c r="F22" t="s">
        <v>33</v>
      </c>
      <c r="G22" t="s">
        <v>77</v>
      </c>
      <c r="L22" t="s">
        <v>280</v>
      </c>
      <c r="AB22" t="s">
        <v>166</v>
      </c>
      <c r="AC22" s="1">
        <v>44341.592048611099</v>
      </c>
      <c r="AD22" t="s">
        <v>36</v>
      </c>
      <c r="AE22" s="1">
        <v>44341.592048611099</v>
      </c>
      <c r="AF22" t="s">
        <v>36</v>
      </c>
      <c r="AG22">
        <v>-119.873957488551</v>
      </c>
      <c r="AH22">
        <v>34.418370717343798</v>
      </c>
    </row>
    <row r="23" spans="1:34">
      <c r="A23" s="2">
        <v>103</v>
      </c>
      <c r="B23" s="3">
        <v>44341</v>
      </c>
      <c r="C23" s="5">
        <f>AC23-(7/24)</f>
        <v>44341.321944444433</v>
      </c>
      <c r="D23" t="s">
        <v>87</v>
      </c>
      <c r="E23" s="4">
        <v>1</v>
      </c>
      <c r="F23" t="s">
        <v>33</v>
      </c>
      <c r="G23" t="s">
        <v>58</v>
      </c>
      <c r="L23" t="s">
        <v>280</v>
      </c>
      <c r="AB23" t="s">
        <v>189</v>
      </c>
      <c r="AC23" s="1">
        <v>44341.613611111097</v>
      </c>
      <c r="AD23" t="s">
        <v>36</v>
      </c>
      <c r="AE23" s="1">
        <v>44341.613611111097</v>
      </c>
      <c r="AF23" t="s">
        <v>36</v>
      </c>
      <c r="AG23">
        <v>-119.8713327128</v>
      </c>
      <c r="AH23">
        <v>34.420699509419102</v>
      </c>
    </row>
    <row r="24" spans="1:34">
      <c r="A24" s="2">
        <v>124</v>
      </c>
      <c r="B24" s="3">
        <v>44341</v>
      </c>
      <c r="C24" s="5">
        <f>AC24-(7/24)</f>
        <v>44341.345844907439</v>
      </c>
      <c r="D24" t="s">
        <v>87</v>
      </c>
      <c r="E24" s="4">
        <v>2</v>
      </c>
      <c r="F24" t="s">
        <v>33</v>
      </c>
      <c r="G24" t="s">
        <v>217</v>
      </c>
      <c r="L24" t="s">
        <v>280</v>
      </c>
      <c r="AB24" t="s">
        <v>218</v>
      </c>
      <c r="AC24" s="1">
        <v>44341.637511574103</v>
      </c>
      <c r="AD24" t="s">
        <v>36</v>
      </c>
      <c r="AE24" s="1">
        <v>44341.637511574103</v>
      </c>
      <c r="AF24" t="s">
        <v>36</v>
      </c>
      <c r="AG24">
        <v>-119.873810312168</v>
      </c>
      <c r="AH24">
        <v>34.422006544828697</v>
      </c>
    </row>
    <row r="25" spans="1:34">
      <c r="A25" s="2">
        <v>133</v>
      </c>
      <c r="B25" s="3">
        <v>44341</v>
      </c>
      <c r="C25" s="5">
        <f>AC25-(7/24)</f>
        <v>44341.358981481433</v>
      </c>
      <c r="D25" t="s">
        <v>87</v>
      </c>
      <c r="E25" s="4">
        <v>1</v>
      </c>
      <c r="F25" t="s">
        <v>33</v>
      </c>
      <c r="G25" t="s">
        <v>95</v>
      </c>
      <c r="L25" t="s">
        <v>280</v>
      </c>
      <c r="AB25" t="s">
        <v>230</v>
      </c>
      <c r="AC25" s="1">
        <v>44341.650648148097</v>
      </c>
      <c r="AD25" t="s">
        <v>36</v>
      </c>
      <c r="AE25" s="1">
        <v>44341.650648148097</v>
      </c>
      <c r="AF25" t="s">
        <v>36</v>
      </c>
      <c r="AG25">
        <v>-119.875022505999</v>
      </c>
      <c r="AH25">
        <v>34.420659781380799</v>
      </c>
    </row>
    <row r="26" spans="1:34">
      <c r="A26" s="2">
        <v>143</v>
      </c>
      <c r="B26" s="3">
        <v>44341</v>
      </c>
      <c r="C26" s="5">
        <f>AC26-(7/24)</f>
        <v>44341.367916666633</v>
      </c>
      <c r="D26" t="s">
        <v>87</v>
      </c>
      <c r="E26" s="4">
        <v>1</v>
      </c>
      <c r="F26" t="s">
        <v>33</v>
      </c>
      <c r="G26" t="s">
        <v>95</v>
      </c>
      <c r="L26" t="s">
        <v>280</v>
      </c>
      <c r="AB26" t="s">
        <v>243</v>
      </c>
      <c r="AC26" s="1">
        <v>44341.659583333298</v>
      </c>
      <c r="AD26" t="s">
        <v>36</v>
      </c>
      <c r="AE26" s="1">
        <v>44341.659583333298</v>
      </c>
      <c r="AF26" t="s">
        <v>36</v>
      </c>
      <c r="AG26">
        <v>-119.876745921176</v>
      </c>
      <c r="AH26">
        <v>34.4201731447273</v>
      </c>
    </row>
    <row r="27" spans="1:34">
      <c r="A27" s="2">
        <v>149</v>
      </c>
      <c r="B27" s="3">
        <v>44341</v>
      </c>
      <c r="C27" s="5">
        <f>AC27-(7/24)</f>
        <v>44341.371851851836</v>
      </c>
      <c r="D27" t="s">
        <v>87</v>
      </c>
      <c r="E27" s="4">
        <v>1</v>
      </c>
      <c r="F27" t="s">
        <v>33</v>
      </c>
      <c r="G27" t="s">
        <v>213</v>
      </c>
      <c r="L27" t="s">
        <v>280</v>
      </c>
      <c r="AB27" t="s">
        <v>249</v>
      </c>
      <c r="AC27" s="1">
        <v>44341.6635185185</v>
      </c>
      <c r="AD27" t="s">
        <v>36</v>
      </c>
      <c r="AE27" s="1">
        <v>44341.6635185185</v>
      </c>
      <c r="AF27" t="s">
        <v>36</v>
      </c>
      <c r="AG27">
        <v>-119.876772929924</v>
      </c>
      <c r="AH27">
        <v>34.420353332715599</v>
      </c>
    </row>
    <row r="28" spans="1:34">
      <c r="A28" s="2">
        <v>162</v>
      </c>
      <c r="B28" s="3">
        <v>44341</v>
      </c>
      <c r="C28" s="5">
        <f>AC28-(7/24)</f>
        <v>44341.381412037037</v>
      </c>
      <c r="D28" t="s">
        <v>87</v>
      </c>
      <c r="E28" s="4">
        <v>1</v>
      </c>
      <c r="F28" t="s">
        <v>33</v>
      </c>
      <c r="G28" t="s">
        <v>213</v>
      </c>
      <c r="L28" t="s">
        <v>280</v>
      </c>
      <c r="AB28" t="s">
        <v>263</v>
      </c>
      <c r="AC28" s="1">
        <v>44341.673078703701</v>
      </c>
      <c r="AD28" t="s">
        <v>36</v>
      </c>
      <c r="AE28" s="1">
        <v>44341.673078703701</v>
      </c>
      <c r="AF28" t="s">
        <v>36</v>
      </c>
      <c r="AG28">
        <v>-119.878554560423</v>
      </c>
      <c r="AH28">
        <v>34.4209116263822</v>
      </c>
    </row>
    <row r="29" spans="1:34">
      <c r="A29" s="2">
        <v>77</v>
      </c>
      <c r="B29" s="3">
        <v>44341</v>
      </c>
      <c r="C29" s="5">
        <f>AC29-(7/24)</f>
        <v>44341.286446759237</v>
      </c>
      <c r="D29" t="s">
        <v>154</v>
      </c>
      <c r="E29" s="4">
        <v>1</v>
      </c>
      <c r="F29" t="s">
        <v>33</v>
      </c>
      <c r="G29" t="s">
        <v>155</v>
      </c>
      <c r="L29" t="s">
        <v>280</v>
      </c>
      <c r="AB29" t="s">
        <v>156</v>
      </c>
      <c r="AC29" s="1">
        <v>44341.578113425901</v>
      </c>
      <c r="AD29" t="s">
        <v>36</v>
      </c>
      <c r="AE29" s="1">
        <v>44341.578113425901</v>
      </c>
      <c r="AF29" t="s">
        <v>36</v>
      </c>
      <c r="AG29">
        <v>-119.874008168804</v>
      </c>
      <c r="AH29">
        <v>34.417718953049103</v>
      </c>
    </row>
    <row r="30" spans="1:34">
      <c r="A30" s="2">
        <v>120</v>
      </c>
      <c r="B30" s="3">
        <v>44341</v>
      </c>
      <c r="C30" s="5">
        <f>AC30-(7/24)</f>
        <v>44341.342361111136</v>
      </c>
      <c r="D30" t="s">
        <v>154</v>
      </c>
      <c r="E30" s="4">
        <v>2</v>
      </c>
      <c r="F30" t="s">
        <v>33</v>
      </c>
      <c r="G30" t="s">
        <v>54</v>
      </c>
      <c r="L30" t="s">
        <v>280</v>
      </c>
      <c r="AB30" t="s">
        <v>212</v>
      </c>
      <c r="AC30" s="1">
        <v>44341.6340277778</v>
      </c>
      <c r="AD30" t="s">
        <v>36</v>
      </c>
      <c r="AE30" s="1">
        <v>44341.6340277778</v>
      </c>
      <c r="AF30" t="s">
        <v>36</v>
      </c>
      <c r="AG30">
        <v>-119.873444313368</v>
      </c>
      <c r="AH30">
        <v>34.421799208733503</v>
      </c>
    </row>
    <row r="31" spans="1:34">
      <c r="A31" s="2">
        <v>135</v>
      </c>
      <c r="B31" s="3">
        <v>44341</v>
      </c>
      <c r="C31" s="5">
        <f>AC31-(7/24)</f>
        <v>44341.361076388937</v>
      </c>
      <c r="D31" t="s">
        <v>154</v>
      </c>
      <c r="E31" s="4">
        <v>2</v>
      </c>
      <c r="F31" t="s">
        <v>33</v>
      </c>
      <c r="G31" t="s">
        <v>54</v>
      </c>
      <c r="L31" t="s">
        <v>280</v>
      </c>
      <c r="AB31" t="s">
        <v>233</v>
      </c>
      <c r="AC31" s="1">
        <v>44341.652743055602</v>
      </c>
      <c r="AD31" t="s">
        <v>36</v>
      </c>
      <c r="AE31" s="1">
        <v>44341.652743055602</v>
      </c>
      <c r="AF31" t="s">
        <v>36</v>
      </c>
      <c r="AG31">
        <v>-119.87359661823299</v>
      </c>
      <c r="AH31">
        <v>34.421724482870303</v>
      </c>
    </row>
    <row r="32" spans="1:34">
      <c r="A32" s="2">
        <v>64</v>
      </c>
      <c r="B32" s="3">
        <v>44341</v>
      </c>
      <c r="C32" s="5">
        <f>AC32-(7/24)</f>
        <v>44341.379282407433</v>
      </c>
      <c r="D32" t="s">
        <v>127</v>
      </c>
      <c r="E32" s="4">
        <v>2</v>
      </c>
      <c r="F32" t="s">
        <v>33</v>
      </c>
      <c r="G32" t="s">
        <v>128</v>
      </c>
      <c r="L32" t="s">
        <v>279</v>
      </c>
      <c r="AB32" t="s">
        <v>129</v>
      </c>
      <c r="AC32" s="1">
        <v>44341.670949074098</v>
      </c>
      <c r="AD32" t="s">
        <v>36</v>
      </c>
      <c r="AE32" s="1">
        <v>44341.670949074098</v>
      </c>
      <c r="AF32" t="s">
        <v>36</v>
      </c>
      <c r="AG32">
        <v>-119.88235330669001</v>
      </c>
      <c r="AH32">
        <v>34.421191488017598</v>
      </c>
    </row>
    <row r="33" spans="1:34">
      <c r="A33" s="2">
        <v>80</v>
      </c>
      <c r="B33" s="3">
        <v>44341</v>
      </c>
      <c r="C33" s="5">
        <f>AC33-(7/24)</f>
        <v>44341.296319444438</v>
      </c>
      <c r="D33" t="s">
        <v>127</v>
      </c>
      <c r="E33" s="4">
        <v>1</v>
      </c>
      <c r="F33" t="s">
        <v>33</v>
      </c>
      <c r="G33" t="s">
        <v>128</v>
      </c>
      <c r="L33" t="s">
        <v>280</v>
      </c>
      <c r="AB33" t="s">
        <v>160</v>
      </c>
      <c r="AC33" s="1">
        <v>44341.587986111103</v>
      </c>
      <c r="AD33" t="s">
        <v>36</v>
      </c>
      <c r="AE33" s="1">
        <v>44341.587986111103</v>
      </c>
      <c r="AF33" t="s">
        <v>36</v>
      </c>
      <c r="AG33">
        <v>-119.878029642464</v>
      </c>
      <c r="AH33">
        <v>34.420736909868502</v>
      </c>
    </row>
    <row r="34" spans="1:34">
      <c r="A34" s="2">
        <v>62</v>
      </c>
      <c r="B34" s="3">
        <v>44341</v>
      </c>
      <c r="C34" s="5">
        <f>AC34-(7/24)</f>
        <v>44341.378506944435</v>
      </c>
      <c r="D34" t="s">
        <v>122</v>
      </c>
      <c r="E34" s="4">
        <v>1</v>
      </c>
      <c r="F34" t="s">
        <v>33</v>
      </c>
      <c r="G34" t="s">
        <v>123</v>
      </c>
      <c r="L34" t="s">
        <v>279</v>
      </c>
      <c r="AB34" t="s">
        <v>124</v>
      </c>
      <c r="AC34" s="1">
        <v>44341.670173611099</v>
      </c>
      <c r="AD34" t="s">
        <v>36</v>
      </c>
      <c r="AE34" s="1">
        <v>44341.670173611099</v>
      </c>
      <c r="AF34" t="s">
        <v>36</v>
      </c>
      <c r="AG34">
        <v>-119.88226726784799</v>
      </c>
      <c r="AH34">
        <v>34.421156029256103</v>
      </c>
    </row>
    <row r="35" spans="1:34">
      <c r="A35" s="2">
        <v>78</v>
      </c>
      <c r="B35" s="3">
        <v>44341</v>
      </c>
      <c r="C35" s="5">
        <f>AC35-(7/24)</f>
        <v>44341.286747685233</v>
      </c>
      <c r="D35" t="s">
        <v>157</v>
      </c>
      <c r="E35" s="4">
        <v>2</v>
      </c>
      <c r="F35" t="s">
        <v>33</v>
      </c>
      <c r="G35" t="s">
        <v>58</v>
      </c>
      <c r="L35" t="s">
        <v>280</v>
      </c>
      <c r="AB35" t="s">
        <v>158</v>
      </c>
      <c r="AC35" s="1">
        <v>44341.578414351898</v>
      </c>
      <c r="AD35" t="s">
        <v>36</v>
      </c>
      <c r="AE35" s="1">
        <v>44341.578414351898</v>
      </c>
      <c r="AF35" t="s">
        <v>36</v>
      </c>
      <c r="AG35">
        <v>-119.87459342929699</v>
      </c>
      <c r="AH35">
        <v>34.417566488979197</v>
      </c>
    </row>
    <row r="36" spans="1:34">
      <c r="A36" s="2">
        <v>111</v>
      </c>
      <c r="B36" s="3">
        <v>44341</v>
      </c>
      <c r="C36" s="5">
        <f>AC36-(7/24)</f>
        <v>44341.328946759233</v>
      </c>
      <c r="D36" t="s">
        <v>199</v>
      </c>
      <c r="E36" s="4">
        <v>18</v>
      </c>
      <c r="F36" t="s">
        <v>33</v>
      </c>
      <c r="G36" t="s">
        <v>43</v>
      </c>
      <c r="L36" t="s">
        <v>280</v>
      </c>
      <c r="AB36" t="s">
        <v>200</v>
      </c>
      <c r="AC36" s="1">
        <v>44341.620613425897</v>
      </c>
      <c r="AD36" t="s">
        <v>36</v>
      </c>
      <c r="AE36" s="1">
        <v>44341.622604166703</v>
      </c>
      <c r="AF36" t="s">
        <v>36</v>
      </c>
      <c r="AG36">
        <v>-119.871490314132</v>
      </c>
      <c r="AH36">
        <v>34.421622753417303</v>
      </c>
    </row>
    <row r="37" spans="1:34">
      <c r="A37" s="2">
        <v>132</v>
      </c>
      <c r="B37" s="3">
        <v>44341</v>
      </c>
      <c r="C37" s="5">
        <f>AC37-(7/24)</f>
        <v>44341.358564814836</v>
      </c>
      <c r="D37" t="s">
        <v>228</v>
      </c>
      <c r="E37" s="4">
        <v>1</v>
      </c>
      <c r="F37" t="s">
        <v>33</v>
      </c>
      <c r="G37" t="s">
        <v>213</v>
      </c>
      <c r="L37" t="s">
        <v>280</v>
      </c>
      <c r="AB37" t="s">
        <v>229</v>
      </c>
      <c r="AC37" s="1">
        <v>44341.650231481501</v>
      </c>
      <c r="AD37" t="s">
        <v>36</v>
      </c>
      <c r="AE37" s="1">
        <v>44341.650231481501</v>
      </c>
      <c r="AF37" t="s">
        <v>36</v>
      </c>
      <c r="AG37">
        <v>-119.874637338049</v>
      </c>
      <c r="AH37">
        <v>34.420384135175901</v>
      </c>
    </row>
    <row r="38" spans="1:34">
      <c r="A38" s="2">
        <v>7</v>
      </c>
      <c r="B38" s="3">
        <v>44341</v>
      </c>
      <c r="C38" s="5">
        <f>AC38-(7/24)</f>
        <v>44341.297870370334</v>
      </c>
      <c r="D38" t="s">
        <v>37</v>
      </c>
      <c r="E38" s="4">
        <v>2</v>
      </c>
      <c r="F38" t="s">
        <v>33</v>
      </c>
      <c r="G38" t="s">
        <v>34</v>
      </c>
      <c r="L38" t="s">
        <v>279</v>
      </c>
      <c r="AB38" t="s">
        <v>38</v>
      </c>
      <c r="AC38" s="1">
        <v>44341.589537036998</v>
      </c>
      <c r="AD38" t="s">
        <v>36</v>
      </c>
      <c r="AE38" s="1">
        <v>44341.590162036999</v>
      </c>
      <c r="AF38" t="s">
        <v>36</v>
      </c>
      <c r="AG38">
        <v>-119.874185033609</v>
      </c>
      <c r="AH38">
        <v>34.417537049766302</v>
      </c>
    </row>
    <row r="39" spans="1:34">
      <c r="A39" s="2">
        <v>17</v>
      </c>
      <c r="B39" s="3">
        <v>44341</v>
      </c>
      <c r="C39" s="5">
        <f>AC39-(7/24)</f>
        <v>44341.317418981438</v>
      </c>
      <c r="D39" t="s">
        <v>37</v>
      </c>
      <c r="E39" s="4">
        <v>2</v>
      </c>
      <c r="F39" t="s">
        <v>33</v>
      </c>
      <c r="G39" t="s">
        <v>58</v>
      </c>
      <c r="L39" t="s">
        <v>279</v>
      </c>
      <c r="AB39" t="s">
        <v>59</v>
      </c>
      <c r="AC39" s="1">
        <v>44341.609085648102</v>
      </c>
      <c r="AD39" t="s">
        <v>36</v>
      </c>
      <c r="AE39" s="1">
        <v>44341.610428240703</v>
      </c>
      <c r="AF39" t="s">
        <v>36</v>
      </c>
      <c r="AG39">
        <v>-119.878855755657</v>
      </c>
      <c r="AH39">
        <v>34.417667560122602</v>
      </c>
    </row>
    <row r="40" spans="1:34">
      <c r="A40" s="2">
        <v>51</v>
      </c>
      <c r="B40" s="3">
        <v>44341</v>
      </c>
      <c r="C40" s="5">
        <f>AC40-(7/24)</f>
        <v>44341.364467592633</v>
      </c>
      <c r="D40" t="s">
        <v>37</v>
      </c>
      <c r="E40" s="4">
        <v>2</v>
      </c>
      <c r="F40" t="s">
        <v>33</v>
      </c>
      <c r="G40" t="s">
        <v>77</v>
      </c>
      <c r="L40" t="s">
        <v>279</v>
      </c>
      <c r="AB40" t="s">
        <v>110</v>
      </c>
      <c r="AC40" s="1">
        <v>44341.656134259298</v>
      </c>
      <c r="AD40" t="s">
        <v>36</v>
      </c>
      <c r="AE40" s="1">
        <v>44341.656134259298</v>
      </c>
      <c r="AF40" t="s">
        <v>36</v>
      </c>
      <c r="AG40">
        <v>-119.882991839973</v>
      </c>
      <c r="AH40">
        <v>34.420573095020501</v>
      </c>
    </row>
    <row r="41" spans="1:34">
      <c r="A41" s="2">
        <v>91</v>
      </c>
      <c r="B41" s="3">
        <v>44341</v>
      </c>
      <c r="C41" s="5">
        <f>AC41-(7/24)</f>
        <v>44341.303136574039</v>
      </c>
      <c r="D41" t="s">
        <v>37</v>
      </c>
      <c r="E41" s="4">
        <v>1</v>
      </c>
      <c r="F41" t="s">
        <v>33</v>
      </c>
      <c r="G41" t="s">
        <v>34</v>
      </c>
      <c r="L41" t="s">
        <v>280</v>
      </c>
      <c r="AB41" t="s">
        <v>173</v>
      </c>
      <c r="AC41" s="1">
        <v>44341.594803240703</v>
      </c>
      <c r="AD41" t="s">
        <v>36</v>
      </c>
      <c r="AE41" s="1">
        <v>44341.594803240703</v>
      </c>
      <c r="AF41" t="s">
        <v>36</v>
      </c>
      <c r="AG41">
        <v>-119.873702461333</v>
      </c>
      <c r="AH41">
        <v>34.418803815076998</v>
      </c>
    </row>
    <row r="42" spans="1:34">
      <c r="A42" s="2">
        <v>74</v>
      </c>
      <c r="B42" s="3">
        <v>44341</v>
      </c>
      <c r="C42" s="5">
        <f>AC42-(7/24)</f>
        <v>44341.284247685238</v>
      </c>
      <c r="D42" t="s">
        <v>146</v>
      </c>
      <c r="E42" s="4">
        <v>6</v>
      </c>
      <c r="F42" t="s">
        <v>33</v>
      </c>
      <c r="G42" t="s">
        <v>123</v>
      </c>
      <c r="I42" t="s">
        <v>104</v>
      </c>
      <c r="J42" t="s">
        <v>147</v>
      </c>
      <c r="K42">
        <v>5</v>
      </c>
      <c r="L42" t="s">
        <v>280</v>
      </c>
      <c r="M42" t="s">
        <v>148</v>
      </c>
      <c r="O42">
        <v>65</v>
      </c>
      <c r="P42">
        <v>0</v>
      </c>
      <c r="AB42" t="s">
        <v>149</v>
      </c>
      <c r="AC42" s="1">
        <v>44341.575914351903</v>
      </c>
      <c r="AD42" t="s">
        <v>36</v>
      </c>
      <c r="AE42" s="1">
        <v>44341.575914351903</v>
      </c>
      <c r="AF42" t="s">
        <v>36</v>
      </c>
      <c r="AG42">
        <v>-119.874162467031</v>
      </c>
      <c r="AH42">
        <v>34.417562882998602</v>
      </c>
    </row>
    <row r="43" spans="1:34">
      <c r="A43" s="2">
        <v>146</v>
      </c>
      <c r="B43" s="3">
        <v>44341</v>
      </c>
      <c r="C43" s="5">
        <f>AC43-(7/24)</f>
        <v>44341.369571759235</v>
      </c>
      <c r="D43" t="s">
        <v>146</v>
      </c>
      <c r="E43" s="4">
        <v>4</v>
      </c>
      <c r="F43" t="s">
        <v>182</v>
      </c>
      <c r="G43" t="s">
        <v>213</v>
      </c>
      <c r="L43" t="s">
        <v>280</v>
      </c>
      <c r="AB43" t="s">
        <v>246</v>
      </c>
      <c r="AC43" s="1">
        <v>44341.661238425899</v>
      </c>
      <c r="AD43" t="s">
        <v>36</v>
      </c>
      <c r="AE43" s="1">
        <v>44341.661238425899</v>
      </c>
      <c r="AF43" t="s">
        <v>36</v>
      </c>
      <c r="AG43">
        <v>-119.878829180796</v>
      </c>
      <c r="AH43">
        <v>34.420970804019198</v>
      </c>
    </row>
    <row r="44" spans="1:34">
      <c r="A44" s="2">
        <v>27</v>
      </c>
      <c r="B44" s="3">
        <v>44341</v>
      </c>
      <c r="C44" s="5">
        <f>AC44-(7/24)</f>
        <v>44341.330196759234</v>
      </c>
      <c r="D44" t="s">
        <v>73</v>
      </c>
      <c r="E44" s="4">
        <v>1</v>
      </c>
      <c r="F44" t="s">
        <v>33</v>
      </c>
      <c r="G44" t="s">
        <v>43</v>
      </c>
      <c r="L44" t="s">
        <v>279</v>
      </c>
      <c r="AB44" t="s">
        <v>74</v>
      </c>
      <c r="AC44" s="1">
        <v>44341.621863425898</v>
      </c>
      <c r="AD44" t="s">
        <v>36</v>
      </c>
      <c r="AE44" s="1">
        <v>44341.621863425898</v>
      </c>
      <c r="AF44" t="s">
        <v>36</v>
      </c>
      <c r="AG44">
        <v>-119.882454909741</v>
      </c>
      <c r="AH44">
        <v>34.419704610271303</v>
      </c>
    </row>
    <row r="45" spans="1:34">
      <c r="A45" s="2">
        <v>8</v>
      </c>
      <c r="B45" s="3">
        <v>44341</v>
      </c>
      <c r="C45" s="5">
        <f>AC45-(7/24)</f>
        <v>44341.299664351835</v>
      </c>
      <c r="D45" t="s">
        <v>39</v>
      </c>
      <c r="E45" s="4">
        <v>2</v>
      </c>
      <c r="F45" t="s">
        <v>33</v>
      </c>
      <c r="G45" t="s">
        <v>40</v>
      </c>
      <c r="L45" t="s">
        <v>279</v>
      </c>
      <c r="AB45" t="s">
        <v>41</v>
      </c>
      <c r="AC45" s="1">
        <v>44341.591331018499</v>
      </c>
      <c r="AD45" t="s">
        <v>36</v>
      </c>
      <c r="AE45" s="1">
        <v>44341.592824074098</v>
      </c>
      <c r="AF45" t="s">
        <v>36</v>
      </c>
      <c r="AG45">
        <v>-119.874936287495</v>
      </c>
      <c r="AH45">
        <v>34.417542909301403</v>
      </c>
    </row>
    <row r="46" spans="1:34">
      <c r="A46" s="2">
        <v>19</v>
      </c>
      <c r="B46" s="3">
        <v>44341</v>
      </c>
      <c r="C46" s="5">
        <f>AC46-(7/24)</f>
        <v>44341.319803240738</v>
      </c>
      <c r="D46" t="s">
        <v>39</v>
      </c>
      <c r="E46" s="4">
        <v>1</v>
      </c>
      <c r="F46" t="s">
        <v>33</v>
      </c>
      <c r="G46" t="s">
        <v>40</v>
      </c>
      <c r="L46" t="s">
        <v>279</v>
      </c>
      <c r="AB46" t="s">
        <v>62</v>
      </c>
      <c r="AC46" s="1">
        <v>44341.611469907402</v>
      </c>
      <c r="AD46" t="s">
        <v>36</v>
      </c>
      <c r="AE46" s="1">
        <v>44341.611469907402</v>
      </c>
      <c r="AF46" t="s">
        <v>36</v>
      </c>
      <c r="AG46">
        <v>-119.879425900198</v>
      </c>
      <c r="AH46">
        <v>34.418027783477797</v>
      </c>
    </row>
    <row r="47" spans="1:34">
      <c r="A47" s="2">
        <v>33</v>
      </c>
      <c r="B47" s="3">
        <v>44341</v>
      </c>
      <c r="C47" s="5">
        <f>AC47-(7/24)</f>
        <v>44341.339907407433</v>
      </c>
      <c r="D47" t="s">
        <v>39</v>
      </c>
      <c r="E47" s="4">
        <v>2</v>
      </c>
      <c r="F47" t="s">
        <v>33</v>
      </c>
      <c r="G47" t="s">
        <v>40</v>
      </c>
      <c r="L47" t="s">
        <v>279</v>
      </c>
      <c r="AB47" t="s">
        <v>84</v>
      </c>
      <c r="AC47" s="1">
        <v>44341.631574074097</v>
      </c>
      <c r="AD47" t="s">
        <v>36</v>
      </c>
      <c r="AE47" s="1">
        <v>44341.631574074097</v>
      </c>
      <c r="AF47" t="s">
        <v>36</v>
      </c>
      <c r="AG47">
        <v>-119.879395282918</v>
      </c>
      <c r="AH47">
        <v>34.419084616740399</v>
      </c>
    </row>
    <row r="48" spans="1:34">
      <c r="A48" s="2">
        <v>48</v>
      </c>
      <c r="B48" s="3">
        <v>44341</v>
      </c>
      <c r="C48" s="5">
        <f>AC48-(7/24)</f>
        <v>44341.359456018537</v>
      </c>
      <c r="D48" t="s">
        <v>39</v>
      </c>
      <c r="E48" s="4">
        <v>100</v>
      </c>
      <c r="F48" t="s">
        <v>33</v>
      </c>
      <c r="G48" t="s">
        <v>104</v>
      </c>
      <c r="I48" t="s">
        <v>105</v>
      </c>
      <c r="J48" t="s">
        <v>106</v>
      </c>
      <c r="L48" t="s">
        <v>279</v>
      </c>
      <c r="AB48" t="s">
        <v>107</v>
      </c>
      <c r="AC48" s="1">
        <v>44341.651122685202</v>
      </c>
      <c r="AD48" t="s">
        <v>36</v>
      </c>
      <c r="AE48" s="1">
        <v>44341.681689814803</v>
      </c>
      <c r="AF48" t="s">
        <v>36</v>
      </c>
      <c r="AG48">
        <v>-119.880924993473</v>
      </c>
      <c r="AH48">
        <v>34.422327487602701</v>
      </c>
    </row>
    <row r="49" spans="1:34">
      <c r="A49" s="2">
        <v>89</v>
      </c>
      <c r="B49" s="3">
        <v>44341</v>
      </c>
      <c r="C49" s="5">
        <f>AC49-(7/24)</f>
        <v>44341.302673611135</v>
      </c>
      <c r="D49" t="s">
        <v>39</v>
      </c>
      <c r="E49" s="4">
        <v>4</v>
      </c>
      <c r="F49" t="s">
        <v>33</v>
      </c>
      <c r="G49" t="s">
        <v>40</v>
      </c>
      <c r="L49" t="s">
        <v>280</v>
      </c>
      <c r="AB49" t="s">
        <v>171</v>
      </c>
      <c r="AC49" s="1">
        <v>44341.594340277799</v>
      </c>
      <c r="AD49" t="s">
        <v>36</v>
      </c>
      <c r="AE49" s="1">
        <v>44341.594340277799</v>
      </c>
      <c r="AF49" t="s">
        <v>36</v>
      </c>
      <c r="AG49">
        <v>-119.874404810935</v>
      </c>
      <c r="AH49">
        <v>34.418149355249298</v>
      </c>
    </row>
    <row r="50" spans="1:34">
      <c r="A50" s="2">
        <v>113</v>
      </c>
      <c r="B50" s="3">
        <v>44341</v>
      </c>
      <c r="C50" s="5">
        <f>AC50-(7/24)</f>
        <v>44341.334710648138</v>
      </c>
      <c r="D50" t="s">
        <v>39</v>
      </c>
      <c r="E50" s="4">
        <v>10</v>
      </c>
      <c r="F50" t="s">
        <v>33</v>
      </c>
      <c r="G50" t="s">
        <v>40</v>
      </c>
      <c r="I50" t="s">
        <v>104</v>
      </c>
      <c r="J50" t="s">
        <v>202</v>
      </c>
      <c r="L50" t="s">
        <v>280</v>
      </c>
      <c r="AB50" t="s">
        <v>203</v>
      </c>
      <c r="AC50" s="1">
        <v>44341.626377314802</v>
      </c>
      <c r="AD50" t="s">
        <v>36</v>
      </c>
      <c r="AE50" s="1">
        <v>44341.626377314802</v>
      </c>
      <c r="AF50" t="s">
        <v>36</v>
      </c>
      <c r="AG50">
        <v>-119.87201680594001</v>
      </c>
      <c r="AH50">
        <v>34.422864222498703</v>
      </c>
    </row>
    <row r="51" spans="1:34">
      <c r="A51" s="2">
        <v>41</v>
      </c>
      <c r="B51" s="3">
        <v>44341</v>
      </c>
      <c r="C51" s="5">
        <f>AC51-(7/24)</f>
        <v>44341.348819444436</v>
      </c>
      <c r="D51" t="s">
        <v>93</v>
      </c>
      <c r="E51" s="4">
        <v>1</v>
      </c>
      <c r="F51" t="s">
        <v>33</v>
      </c>
      <c r="G51" t="s">
        <v>77</v>
      </c>
      <c r="L51" t="s">
        <v>279</v>
      </c>
      <c r="AB51" t="s">
        <v>94</v>
      </c>
      <c r="AC51" s="1">
        <v>44341.6404861111</v>
      </c>
      <c r="AD51" t="s">
        <v>36</v>
      </c>
      <c r="AE51" s="1">
        <v>44341.6404861111</v>
      </c>
      <c r="AF51" t="s">
        <v>36</v>
      </c>
      <c r="AG51">
        <v>-119.87763649927101</v>
      </c>
      <c r="AH51">
        <v>34.420846885811102</v>
      </c>
    </row>
    <row r="52" spans="1:34">
      <c r="A52" s="2">
        <v>47</v>
      </c>
      <c r="B52" s="3">
        <v>44341</v>
      </c>
      <c r="C52" s="5">
        <f>AC52-(7/24)</f>
        <v>44341.355405092632</v>
      </c>
      <c r="D52" t="s">
        <v>93</v>
      </c>
      <c r="E52" s="4">
        <v>1</v>
      </c>
      <c r="F52" t="s">
        <v>33</v>
      </c>
      <c r="G52" t="s">
        <v>54</v>
      </c>
      <c r="L52" t="s">
        <v>279</v>
      </c>
      <c r="AB52" t="s">
        <v>103</v>
      </c>
      <c r="AC52" s="1">
        <v>44341.647071759297</v>
      </c>
      <c r="AD52" t="s">
        <v>36</v>
      </c>
      <c r="AE52" s="1">
        <v>44341.647071759297</v>
      </c>
      <c r="AF52" t="s">
        <v>36</v>
      </c>
      <c r="AG52">
        <v>-119.880686617427</v>
      </c>
      <c r="AH52">
        <v>34.421352211588598</v>
      </c>
    </row>
    <row r="53" spans="1:34">
      <c r="A53" s="2">
        <v>52</v>
      </c>
      <c r="B53" s="3">
        <v>44341</v>
      </c>
      <c r="C53" s="5">
        <f>AC53-(7/24)</f>
        <v>44341.364699074038</v>
      </c>
      <c r="D53" t="s">
        <v>93</v>
      </c>
      <c r="E53" s="4">
        <v>1</v>
      </c>
      <c r="F53" t="s">
        <v>33</v>
      </c>
      <c r="G53" t="s">
        <v>54</v>
      </c>
      <c r="L53" t="s">
        <v>279</v>
      </c>
      <c r="AB53" t="s">
        <v>111</v>
      </c>
      <c r="AC53" s="1">
        <v>44341.656365740702</v>
      </c>
      <c r="AD53" t="s">
        <v>36</v>
      </c>
      <c r="AE53" s="1">
        <v>44341.656365740702</v>
      </c>
      <c r="AF53" t="s">
        <v>36</v>
      </c>
      <c r="AG53">
        <v>-119.88226068589201</v>
      </c>
      <c r="AH53">
        <v>34.420918189656199</v>
      </c>
    </row>
    <row r="54" spans="1:34">
      <c r="A54" s="2">
        <v>116</v>
      </c>
      <c r="B54" s="3">
        <v>44341</v>
      </c>
      <c r="C54" s="5">
        <f>AC54-(7/24)</f>
        <v>44341.339328703732</v>
      </c>
      <c r="D54" t="s">
        <v>93</v>
      </c>
      <c r="E54" s="4">
        <v>1</v>
      </c>
      <c r="F54" t="s">
        <v>33</v>
      </c>
      <c r="G54" t="s">
        <v>43</v>
      </c>
      <c r="H54" t="s">
        <v>190</v>
      </c>
      <c r="L54" t="s">
        <v>280</v>
      </c>
      <c r="AB54" t="s">
        <v>207</v>
      </c>
      <c r="AC54" s="1">
        <v>44341.630995370397</v>
      </c>
      <c r="AD54" t="s">
        <v>36</v>
      </c>
      <c r="AE54" s="1">
        <v>44341.630995370397</v>
      </c>
      <c r="AF54" t="s">
        <v>36</v>
      </c>
      <c r="AG54">
        <v>-119.87252461817999</v>
      </c>
      <c r="AH54">
        <v>34.422187459507199</v>
      </c>
    </row>
    <row r="55" spans="1:34">
      <c r="A55" s="2">
        <v>128</v>
      </c>
      <c r="B55" s="3">
        <v>44341</v>
      </c>
      <c r="C55" s="5">
        <f>AC55-(7/24)</f>
        <v>44341.355381944435</v>
      </c>
      <c r="D55" t="s">
        <v>93</v>
      </c>
      <c r="E55" s="4">
        <v>1</v>
      </c>
      <c r="F55" t="s">
        <v>33</v>
      </c>
      <c r="G55" t="s">
        <v>77</v>
      </c>
      <c r="L55" t="s">
        <v>280</v>
      </c>
      <c r="AB55" t="s">
        <v>224</v>
      </c>
      <c r="AC55" s="1">
        <v>44341.647048611099</v>
      </c>
      <c r="AD55" t="s">
        <v>36</v>
      </c>
      <c r="AE55" s="1">
        <v>44341.647048611099</v>
      </c>
      <c r="AF55" t="s">
        <v>36</v>
      </c>
      <c r="AG55">
        <v>-119.87387085233</v>
      </c>
      <c r="AH55">
        <v>34.421668009748998</v>
      </c>
    </row>
    <row r="56" spans="1:34">
      <c r="A56" s="2">
        <v>157</v>
      </c>
      <c r="B56" s="3">
        <v>44341</v>
      </c>
      <c r="C56" s="5">
        <f>AC56-(7/24)</f>
        <v>44341.375914351833</v>
      </c>
      <c r="D56" t="s">
        <v>93</v>
      </c>
      <c r="E56" s="4">
        <v>1</v>
      </c>
      <c r="F56" t="s">
        <v>33</v>
      </c>
      <c r="G56" t="s">
        <v>77</v>
      </c>
      <c r="L56" t="s">
        <v>280</v>
      </c>
      <c r="AB56" t="s">
        <v>258</v>
      </c>
      <c r="AC56" s="1">
        <v>44341.667581018497</v>
      </c>
      <c r="AD56" t="s">
        <v>36</v>
      </c>
      <c r="AE56" s="1">
        <v>44341.667581018497</v>
      </c>
      <c r="AF56" t="s">
        <v>36</v>
      </c>
      <c r="AG56">
        <v>-119.877055993561</v>
      </c>
      <c r="AH56">
        <v>34.421007298072603</v>
      </c>
    </row>
    <row r="57" spans="1:34">
      <c r="A57" s="2">
        <v>163</v>
      </c>
      <c r="B57" s="3">
        <v>44341</v>
      </c>
      <c r="C57" s="5">
        <f>AC57-(7/24)</f>
        <v>44341.382743055539</v>
      </c>
      <c r="D57" t="s">
        <v>93</v>
      </c>
      <c r="E57" s="4">
        <v>1</v>
      </c>
      <c r="F57" t="s">
        <v>33</v>
      </c>
      <c r="G57" t="s">
        <v>77</v>
      </c>
      <c r="L57" t="s">
        <v>280</v>
      </c>
      <c r="AB57" t="s">
        <v>264</v>
      </c>
      <c r="AC57" s="1">
        <v>44341.674409722204</v>
      </c>
      <c r="AD57" t="s">
        <v>36</v>
      </c>
      <c r="AE57" s="1">
        <v>44341.674409722204</v>
      </c>
      <c r="AF57" t="s">
        <v>36</v>
      </c>
      <c r="AG57">
        <v>-119.878967271618</v>
      </c>
      <c r="AH57">
        <v>34.421611023803301</v>
      </c>
    </row>
    <row r="58" spans="1:34">
      <c r="A58" s="2">
        <v>169</v>
      </c>
      <c r="B58" s="3">
        <v>44341</v>
      </c>
      <c r="C58" s="5">
        <f>AC58-(7/24)</f>
        <v>44341.386990740735</v>
      </c>
      <c r="D58" t="s">
        <v>93</v>
      </c>
      <c r="E58" s="4">
        <v>2</v>
      </c>
      <c r="F58" t="s">
        <v>33</v>
      </c>
      <c r="G58" t="s">
        <v>77</v>
      </c>
      <c r="L58" t="s">
        <v>280</v>
      </c>
      <c r="AB58" t="s">
        <v>271</v>
      </c>
      <c r="AC58" s="1">
        <v>44341.678657407399</v>
      </c>
      <c r="AD58" t="s">
        <v>36</v>
      </c>
      <c r="AE58" s="1">
        <v>44341.678657407399</v>
      </c>
      <c r="AF58" t="s">
        <v>36</v>
      </c>
      <c r="AG58">
        <v>-119.878782139618</v>
      </c>
      <c r="AH58">
        <v>34.4214504000267</v>
      </c>
    </row>
    <row r="59" spans="1:34">
      <c r="A59" s="2">
        <v>171</v>
      </c>
      <c r="B59" s="3">
        <v>44341</v>
      </c>
      <c r="C59" s="5">
        <f>AC59-(7/24)</f>
        <v>44341.394791666637</v>
      </c>
      <c r="D59" t="s">
        <v>274</v>
      </c>
      <c r="E59" s="4">
        <v>2</v>
      </c>
      <c r="F59" t="s">
        <v>33</v>
      </c>
      <c r="G59" t="s">
        <v>40</v>
      </c>
      <c r="J59" t="s">
        <v>275</v>
      </c>
      <c r="L59" t="s">
        <v>280</v>
      </c>
      <c r="AB59" t="s">
        <v>276</v>
      </c>
      <c r="AC59" s="1">
        <v>44341.686458333301</v>
      </c>
      <c r="AD59" t="s">
        <v>36</v>
      </c>
      <c r="AE59" s="1">
        <v>44341.686458333301</v>
      </c>
      <c r="AF59" t="s">
        <v>36</v>
      </c>
      <c r="AG59">
        <v>-119.882058750006</v>
      </c>
      <c r="AH59">
        <v>34.419424723651098</v>
      </c>
    </row>
    <row r="60" spans="1:34">
      <c r="A60" s="2">
        <v>65</v>
      </c>
      <c r="B60" s="3">
        <v>44341</v>
      </c>
      <c r="C60" s="5">
        <f>AC60-(7/24)</f>
        <v>44341.379618055536</v>
      </c>
      <c r="D60" t="s">
        <v>130</v>
      </c>
      <c r="E60" s="4">
        <v>1</v>
      </c>
      <c r="F60" t="s">
        <v>33</v>
      </c>
      <c r="G60" t="s">
        <v>43</v>
      </c>
      <c r="L60" t="s">
        <v>279</v>
      </c>
      <c r="AB60" t="s">
        <v>131</v>
      </c>
      <c r="AC60" s="1">
        <v>44341.671284722201</v>
      </c>
      <c r="AD60" t="s">
        <v>36</v>
      </c>
      <c r="AE60" s="1">
        <v>44341.671284722201</v>
      </c>
      <c r="AF60" t="s">
        <v>36</v>
      </c>
      <c r="AG60">
        <v>-119.882221433108</v>
      </c>
      <c r="AH60">
        <v>34.421612016770901</v>
      </c>
    </row>
    <row r="61" spans="1:34">
      <c r="A61" s="2">
        <v>134</v>
      </c>
      <c r="B61" s="3">
        <v>44341</v>
      </c>
      <c r="C61" s="5">
        <f>AC61-(7/24)</f>
        <v>44341.359166666633</v>
      </c>
      <c r="D61" t="s">
        <v>231</v>
      </c>
      <c r="E61" s="4">
        <v>1</v>
      </c>
      <c r="F61" t="s">
        <v>33</v>
      </c>
      <c r="G61" t="s">
        <v>40</v>
      </c>
      <c r="L61" t="s">
        <v>280</v>
      </c>
      <c r="AB61" t="s">
        <v>232</v>
      </c>
      <c r="AC61" s="1">
        <v>44341.650833333297</v>
      </c>
      <c r="AD61" t="s">
        <v>36</v>
      </c>
      <c r="AE61" s="1">
        <v>44341.650833333297</v>
      </c>
      <c r="AF61" t="s">
        <v>36</v>
      </c>
      <c r="AG61">
        <v>-119.87471896256901</v>
      </c>
      <c r="AH61">
        <v>34.421017488660702</v>
      </c>
    </row>
    <row r="62" spans="1:34">
      <c r="A62" s="2">
        <v>76</v>
      </c>
      <c r="B62" s="3">
        <v>44341</v>
      </c>
      <c r="C62" s="5">
        <f>AC62-(7/24)</f>
        <v>44341.285370370337</v>
      </c>
      <c r="D62" t="s">
        <v>152</v>
      </c>
      <c r="E62" s="4">
        <v>1</v>
      </c>
      <c r="F62" t="s">
        <v>33</v>
      </c>
      <c r="G62" t="s">
        <v>128</v>
      </c>
      <c r="L62" t="s">
        <v>280</v>
      </c>
      <c r="AB62" t="s">
        <v>153</v>
      </c>
      <c r="AC62" s="1">
        <v>44341.577037037001</v>
      </c>
      <c r="AD62" t="s">
        <v>36</v>
      </c>
      <c r="AE62" s="1">
        <v>44341.577037037001</v>
      </c>
      <c r="AF62" t="s">
        <v>36</v>
      </c>
      <c r="AG62">
        <v>-119.874593749097</v>
      </c>
      <c r="AH62">
        <v>34.417894710379599</v>
      </c>
    </row>
    <row r="63" spans="1:34">
      <c r="A63" s="2">
        <v>92</v>
      </c>
      <c r="B63" s="3">
        <v>44341</v>
      </c>
      <c r="C63" s="5">
        <f>AC63-(7/24)</f>
        <v>44341.305798611138</v>
      </c>
      <c r="D63" t="s">
        <v>152</v>
      </c>
      <c r="E63" s="4">
        <v>5</v>
      </c>
      <c r="F63" t="s">
        <v>33</v>
      </c>
      <c r="G63" t="s">
        <v>123</v>
      </c>
      <c r="L63" t="s">
        <v>280</v>
      </c>
      <c r="AB63" t="s">
        <v>174</v>
      </c>
      <c r="AC63" s="1">
        <v>44341.597465277802</v>
      </c>
      <c r="AD63" t="s">
        <v>36</v>
      </c>
      <c r="AE63" s="1">
        <v>44341.597465277802</v>
      </c>
      <c r="AF63" t="s">
        <v>36</v>
      </c>
      <c r="AG63">
        <v>-119.875674172652</v>
      </c>
      <c r="AH63">
        <v>34.419410148875897</v>
      </c>
    </row>
    <row r="64" spans="1:34">
      <c r="A64" s="2">
        <v>126</v>
      </c>
      <c r="B64" s="3">
        <v>44341</v>
      </c>
      <c r="C64" s="5">
        <f>AC64-(7/24)</f>
        <v>44341.354293981538</v>
      </c>
      <c r="D64" t="s">
        <v>152</v>
      </c>
      <c r="E64" s="4">
        <v>1</v>
      </c>
      <c r="F64" t="s">
        <v>33</v>
      </c>
      <c r="G64" t="s">
        <v>123</v>
      </c>
      <c r="L64" t="s">
        <v>280</v>
      </c>
      <c r="AB64" t="s">
        <v>221</v>
      </c>
      <c r="AC64" s="1">
        <v>44341.645960648202</v>
      </c>
      <c r="AD64" t="s">
        <v>36</v>
      </c>
      <c r="AE64" s="1">
        <v>44341.645960648202</v>
      </c>
      <c r="AF64" t="s">
        <v>36</v>
      </c>
      <c r="AG64">
        <v>-119.87352720541099</v>
      </c>
      <c r="AH64">
        <v>34.421730848969297</v>
      </c>
    </row>
    <row r="65" spans="1:34">
      <c r="A65" s="2">
        <v>145</v>
      </c>
      <c r="B65" s="3">
        <v>44341</v>
      </c>
      <c r="C65" s="5">
        <f>AC65-(7/24)</f>
        <v>44341.369305555534</v>
      </c>
      <c r="D65" t="s">
        <v>152</v>
      </c>
      <c r="E65" s="4">
        <v>2</v>
      </c>
      <c r="F65" t="s">
        <v>182</v>
      </c>
      <c r="G65" t="s">
        <v>123</v>
      </c>
      <c r="L65" t="s">
        <v>280</v>
      </c>
      <c r="AB65" t="s">
        <v>245</v>
      </c>
      <c r="AC65" s="1">
        <v>44341.660972222198</v>
      </c>
      <c r="AD65" t="s">
        <v>36</v>
      </c>
      <c r="AE65" s="1">
        <v>44341.660972222198</v>
      </c>
      <c r="AF65" t="s">
        <v>36</v>
      </c>
      <c r="AG65">
        <v>-119.877615334963</v>
      </c>
      <c r="AH65">
        <v>34.420535451440003</v>
      </c>
    </row>
    <row r="66" spans="1:34">
      <c r="A66" s="2">
        <v>148</v>
      </c>
      <c r="B66" s="3">
        <v>44341</v>
      </c>
      <c r="C66" s="5">
        <f>AC66-(7/24)</f>
        <v>44341.370162037034</v>
      </c>
      <c r="D66" t="s">
        <v>152</v>
      </c>
      <c r="E66" s="4">
        <v>1</v>
      </c>
      <c r="F66" t="s">
        <v>182</v>
      </c>
      <c r="G66" t="s">
        <v>213</v>
      </c>
      <c r="L66" t="s">
        <v>280</v>
      </c>
      <c r="AB66" t="s">
        <v>248</v>
      </c>
      <c r="AC66" s="1">
        <v>44341.661828703698</v>
      </c>
      <c r="AD66" t="s">
        <v>36</v>
      </c>
      <c r="AE66" s="1">
        <v>44341.661828703698</v>
      </c>
      <c r="AF66" t="s">
        <v>36</v>
      </c>
      <c r="AG66">
        <v>-119.87856146756999</v>
      </c>
      <c r="AH66">
        <v>34.421019769538198</v>
      </c>
    </row>
    <row r="67" spans="1:34">
      <c r="A67" s="2">
        <v>165</v>
      </c>
      <c r="B67" s="3">
        <v>44341</v>
      </c>
      <c r="C67" s="5">
        <f>AC67-(7/24)</f>
        <v>44341.384629629632</v>
      </c>
      <c r="D67" t="s">
        <v>152</v>
      </c>
      <c r="E67" s="4">
        <v>2</v>
      </c>
      <c r="F67" t="s">
        <v>33</v>
      </c>
      <c r="G67" t="s">
        <v>213</v>
      </c>
      <c r="L67" t="s">
        <v>280</v>
      </c>
      <c r="AB67" t="s">
        <v>267</v>
      </c>
      <c r="AC67" s="1">
        <v>44341.676296296297</v>
      </c>
      <c r="AD67" t="s">
        <v>36</v>
      </c>
      <c r="AE67" s="1">
        <v>44341.676296296297</v>
      </c>
      <c r="AF67" t="s">
        <v>36</v>
      </c>
      <c r="AG67">
        <v>-119.87898224024499</v>
      </c>
      <c r="AH67">
        <v>34.421289200907403</v>
      </c>
    </row>
    <row r="68" spans="1:34">
      <c r="A68" s="2">
        <v>125</v>
      </c>
      <c r="B68" s="3">
        <v>44341</v>
      </c>
      <c r="C68" s="5">
        <f>AC68-(7/24)</f>
        <v>44341.349317129636</v>
      </c>
      <c r="D68" t="s">
        <v>219</v>
      </c>
      <c r="E68" s="4">
        <v>1</v>
      </c>
      <c r="F68" t="s">
        <v>33</v>
      </c>
      <c r="G68" t="s">
        <v>40</v>
      </c>
      <c r="L68" t="s">
        <v>280</v>
      </c>
      <c r="AB68" t="s">
        <v>220</v>
      </c>
      <c r="AC68" s="1">
        <v>44341.6409837963</v>
      </c>
      <c r="AD68" t="s">
        <v>36</v>
      </c>
      <c r="AE68" s="1">
        <v>44341.6409837963</v>
      </c>
      <c r="AF68" t="s">
        <v>36</v>
      </c>
      <c r="AG68">
        <v>-119.87284019633999</v>
      </c>
      <c r="AH68">
        <v>34.422179324638897</v>
      </c>
    </row>
    <row r="69" spans="1:34">
      <c r="A69" s="2">
        <v>45</v>
      </c>
      <c r="B69" s="3">
        <v>44341</v>
      </c>
      <c r="C69" s="5">
        <f>AC69-(7/24)</f>
        <v>44341.351770833338</v>
      </c>
      <c r="D69" t="s">
        <v>100</v>
      </c>
      <c r="E69" s="4">
        <v>1</v>
      </c>
      <c r="F69" t="s">
        <v>33</v>
      </c>
      <c r="G69" t="s">
        <v>64</v>
      </c>
      <c r="L69" t="s">
        <v>279</v>
      </c>
      <c r="AB69" t="s">
        <v>101</v>
      </c>
      <c r="AC69" s="1">
        <v>44341.643437500003</v>
      </c>
      <c r="AD69" t="s">
        <v>36</v>
      </c>
      <c r="AE69" s="1">
        <v>44341.643437500003</v>
      </c>
      <c r="AF69" t="s">
        <v>36</v>
      </c>
      <c r="AG69">
        <v>-119.87946194959</v>
      </c>
      <c r="AH69">
        <v>34.420877333137597</v>
      </c>
    </row>
    <row r="70" spans="1:34">
      <c r="A70" s="2">
        <v>164</v>
      </c>
      <c r="B70" s="3">
        <v>44341</v>
      </c>
      <c r="C70" s="5">
        <f>AC70-(7/24)</f>
        <v>44341.383877314838</v>
      </c>
      <c r="D70" t="s">
        <v>265</v>
      </c>
      <c r="E70" s="4">
        <v>1</v>
      </c>
      <c r="F70" t="s">
        <v>182</v>
      </c>
      <c r="G70" t="s">
        <v>213</v>
      </c>
      <c r="J70" t="s">
        <v>289</v>
      </c>
      <c r="L70" t="s">
        <v>280</v>
      </c>
      <c r="AB70" t="s">
        <v>266</v>
      </c>
      <c r="AC70" s="1">
        <v>44341.675543981502</v>
      </c>
      <c r="AD70" t="s">
        <v>36</v>
      </c>
      <c r="AE70" s="1">
        <v>44341.675543981502</v>
      </c>
      <c r="AF70" t="s">
        <v>36</v>
      </c>
      <c r="AG70">
        <v>-119.878940071529</v>
      </c>
      <c r="AH70">
        <v>34.421503830660598</v>
      </c>
    </row>
    <row r="71" spans="1:34">
      <c r="A71" s="2">
        <v>170</v>
      </c>
      <c r="B71" s="3">
        <v>44341</v>
      </c>
      <c r="C71" s="5">
        <f>AC71-(7/24)</f>
        <v>44341.389652777732</v>
      </c>
      <c r="D71" t="s">
        <v>265</v>
      </c>
      <c r="E71" s="4">
        <v>2</v>
      </c>
      <c r="F71" t="s">
        <v>33</v>
      </c>
      <c r="G71" t="s">
        <v>43</v>
      </c>
      <c r="J71" t="s">
        <v>272</v>
      </c>
      <c r="L71" t="s">
        <v>280</v>
      </c>
      <c r="AB71" t="s">
        <v>273</v>
      </c>
      <c r="AC71" s="1">
        <v>44341.681319444397</v>
      </c>
      <c r="AD71" t="s">
        <v>36</v>
      </c>
      <c r="AE71" s="1">
        <v>44341.681319444397</v>
      </c>
      <c r="AF71" t="s">
        <v>36</v>
      </c>
      <c r="AG71">
        <v>-119.87903959588</v>
      </c>
      <c r="AH71">
        <v>34.4221172304769</v>
      </c>
    </row>
    <row r="72" spans="1:34">
      <c r="A72" s="2">
        <v>12</v>
      </c>
      <c r="B72" s="3">
        <v>44341</v>
      </c>
      <c r="C72" s="5">
        <f>AC72-(7/24)</f>
        <v>44341.305613425939</v>
      </c>
      <c r="D72" t="s">
        <v>49</v>
      </c>
      <c r="E72" s="4">
        <v>1</v>
      </c>
      <c r="F72" t="s">
        <v>33</v>
      </c>
      <c r="G72" t="s">
        <v>43</v>
      </c>
      <c r="L72" t="s">
        <v>279</v>
      </c>
      <c r="AB72" t="s">
        <v>50</v>
      </c>
      <c r="AC72" s="1">
        <v>44341.597280092603</v>
      </c>
      <c r="AD72" t="s">
        <v>36</v>
      </c>
      <c r="AE72" s="1">
        <v>44341.597280092603</v>
      </c>
      <c r="AF72" t="s">
        <v>36</v>
      </c>
      <c r="AG72">
        <v>-119.87679913378101</v>
      </c>
      <c r="AH72">
        <v>34.417702783225799</v>
      </c>
    </row>
    <row r="73" spans="1:34">
      <c r="A73" s="2">
        <v>22</v>
      </c>
      <c r="B73" s="3">
        <v>44341</v>
      </c>
      <c r="C73" s="5">
        <f>AC73-(7/24)</f>
        <v>44341.324629629635</v>
      </c>
      <c r="D73" t="s">
        <v>49</v>
      </c>
      <c r="E73" s="4">
        <v>2</v>
      </c>
      <c r="F73" t="s">
        <v>33</v>
      </c>
      <c r="G73" t="s">
        <v>43</v>
      </c>
      <c r="L73" t="s">
        <v>279</v>
      </c>
      <c r="AB73" t="s">
        <v>67</v>
      </c>
      <c r="AC73" s="1">
        <v>44341.616296296299</v>
      </c>
      <c r="AD73" t="s">
        <v>36</v>
      </c>
      <c r="AE73" s="1">
        <v>44341.616296296299</v>
      </c>
      <c r="AF73" t="s">
        <v>36</v>
      </c>
      <c r="AG73">
        <v>-119.88115526851099</v>
      </c>
      <c r="AH73">
        <v>34.418442842900298</v>
      </c>
    </row>
    <row r="74" spans="1:34">
      <c r="A74" s="2">
        <v>29</v>
      </c>
      <c r="B74" s="3">
        <v>44341</v>
      </c>
      <c r="C74" s="5">
        <f>AC74-(7/24)</f>
        <v>44341.332476851836</v>
      </c>
      <c r="D74" t="s">
        <v>49</v>
      </c>
      <c r="E74" s="4">
        <v>6</v>
      </c>
      <c r="F74" t="s">
        <v>33</v>
      </c>
      <c r="G74" t="s">
        <v>77</v>
      </c>
      <c r="L74" t="s">
        <v>279</v>
      </c>
      <c r="AB74" t="s">
        <v>78</v>
      </c>
      <c r="AC74" s="1">
        <v>44341.6241435185</v>
      </c>
      <c r="AD74" t="s">
        <v>36</v>
      </c>
      <c r="AE74" s="1">
        <v>44341.6241435185</v>
      </c>
      <c r="AF74" t="s">
        <v>36</v>
      </c>
      <c r="AG74">
        <v>-119.882356483132</v>
      </c>
      <c r="AH74">
        <v>34.420156730096501</v>
      </c>
    </row>
    <row r="75" spans="1:34">
      <c r="A75" s="2">
        <v>34</v>
      </c>
      <c r="B75" s="3">
        <v>44341</v>
      </c>
      <c r="C75" s="5">
        <f>AC75-(7/24)</f>
        <v>44341.340439814834</v>
      </c>
      <c r="D75" t="s">
        <v>49</v>
      </c>
      <c r="E75" s="4">
        <v>2</v>
      </c>
      <c r="F75" t="s">
        <v>33</v>
      </c>
      <c r="G75" t="s">
        <v>54</v>
      </c>
      <c r="L75" t="s">
        <v>279</v>
      </c>
      <c r="AB75" t="s">
        <v>85</v>
      </c>
      <c r="AC75" s="1">
        <v>44341.632106481498</v>
      </c>
      <c r="AD75" t="s">
        <v>36</v>
      </c>
      <c r="AE75" s="1">
        <v>44341.632106481498</v>
      </c>
      <c r="AF75" t="s">
        <v>36</v>
      </c>
      <c r="AG75">
        <v>-119.878025247905</v>
      </c>
      <c r="AH75">
        <v>34.4202620168073</v>
      </c>
    </row>
    <row r="76" spans="1:34">
      <c r="A76" s="2">
        <v>37</v>
      </c>
      <c r="B76" s="3">
        <v>44341</v>
      </c>
      <c r="C76" s="5">
        <f>AC76-(7/24)</f>
        <v>44341.343842592636</v>
      </c>
      <c r="D76" t="s">
        <v>49</v>
      </c>
      <c r="E76" s="4">
        <v>1</v>
      </c>
      <c r="F76" t="s">
        <v>33</v>
      </c>
      <c r="G76" t="s">
        <v>43</v>
      </c>
      <c r="L76" t="s">
        <v>279</v>
      </c>
      <c r="AB76" t="s">
        <v>89</v>
      </c>
      <c r="AC76" s="1">
        <v>44341.6355092593</v>
      </c>
      <c r="AD76" t="s">
        <v>36</v>
      </c>
      <c r="AE76" s="1">
        <v>44341.6355092593</v>
      </c>
      <c r="AF76" t="s">
        <v>36</v>
      </c>
      <c r="AG76">
        <v>-119.877584133778</v>
      </c>
      <c r="AH76">
        <v>34.4195221169946</v>
      </c>
    </row>
    <row r="77" spans="1:34">
      <c r="A77" s="2">
        <v>46</v>
      </c>
      <c r="B77" s="3">
        <v>44341</v>
      </c>
      <c r="C77" s="5">
        <f>AC77-(7/24)</f>
        <v>44341.352233796337</v>
      </c>
      <c r="D77" t="s">
        <v>49</v>
      </c>
      <c r="E77" s="4">
        <v>2</v>
      </c>
      <c r="F77" t="s">
        <v>33</v>
      </c>
      <c r="G77" t="s">
        <v>54</v>
      </c>
      <c r="L77" t="s">
        <v>279</v>
      </c>
      <c r="AB77" t="s">
        <v>102</v>
      </c>
      <c r="AC77" s="1">
        <v>44341.643900463001</v>
      </c>
      <c r="AD77" t="s">
        <v>36</v>
      </c>
      <c r="AE77" s="1">
        <v>44341.643900463001</v>
      </c>
      <c r="AF77" t="s">
        <v>36</v>
      </c>
      <c r="AG77">
        <v>-119.879509233314</v>
      </c>
      <c r="AH77">
        <v>34.420906266535297</v>
      </c>
    </row>
    <row r="78" spans="1:34">
      <c r="A78" s="2">
        <v>49</v>
      </c>
      <c r="B78" s="3">
        <v>44341</v>
      </c>
      <c r="C78" s="5">
        <f>AC78-(7/24)</f>
        <v>44341.360000000037</v>
      </c>
      <c r="D78" t="s">
        <v>49</v>
      </c>
      <c r="E78" s="4">
        <v>3</v>
      </c>
      <c r="F78" t="s">
        <v>33</v>
      </c>
      <c r="G78" t="s">
        <v>58</v>
      </c>
      <c r="L78" t="s">
        <v>279</v>
      </c>
      <c r="AB78" t="s">
        <v>108</v>
      </c>
      <c r="AC78" s="1">
        <v>44341.651666666701</v>
      </c>
      <c r="AD78" t="s">
        <v>36</v>
      </c>
      <c r="AE78" s="1">
        <v>44341.651666666701</v>
      </c>
      <c r="AF78" t="s">
        <v>36</v>
      </c>
      <c r="AG78">
        <v>-119.880992683326</v>
      </c>
      <c r="AH78">
        <v>34.421110866757502</v>
      </c>
    </row>
    <row r="79" spans="1:34">
      <c r="A79" s="2">
        <v>61</v>
      </c>
      <c r="B79" s="3">
        <v>44341</v>
      </c>
      <c r="C79" s="5">
        <f>AC79-(7/24)</f>
        <v>44341.371238425934</v>
      </c>
      <c r="D79" t="s">
        <v>49</v>
      </c>
      <c r="E79" s="4">
        <v>2</v>
      </c>
      <c r="F79" t="s">
        <v>33</v>
      </c>
      <c r="G79" t="s">
        <v>95</v>
      </c>
      <c r="L79" t="s">
        <v>279</v>
      </c>
      <c r="AB79" t="s">
        <v>121</v>
      </c>
      <c r="AC79" s="1">
        <v>44341.662905092599</v>
      </c>
      <c r="AD79" t="s">
        <v>36</v>
      </c>
      <c r="AE79" s="1">
        <v>44341.669398148202</v>
      </c>
      <c r="AF79" t="s">
        <v>36</v>
      </c>
      <c r="AG79">
        <v>-119.884141086157</v>
      </c>
      <c r="AH79">
        <v>34.4211554201339</v>
      </c>
    </row>
    <row r="80" spans="1:34">
      <c r="A80" s="2">
        <v>90</v>
      </c>
      <c r="B80" s="3">
        <v>44341</v>
      </c>
      <c r="C80" s="5">
        <f>AC80-(7/24)</f>
        <v>44341.302847222236</v>
      </c>
      <c r="D80" t="s">
        <v>49</v>
      </c>
      <c r="E80" s="4">
        <v>2</v>
      </c>
      <c r="F80" t="s">
        <v>33</v>
      </c>
      <c r="G80" t="s">
        <v>77</v>
      </c>
      <c r="L80" t="s">
        <v>280</v>
      </c>
      <c r="AB80" t="s">
        <v>172</v>
      </c>
      <c r="AC80" s="1">
        <v>44341.5945138889</v>
      </c>
      <c r="AD80" t="s">
        <v>36</v>
      </c>
      <c r="AE80" s="1">
        <v>44341.5945138889</v>
      </c>
      <c r="AF80" t="s">
        <v>36</v>
      </c>
      <c r="AG80">
        <v>-119.873793463366</v>
      </c>
      <c r="AH80">
        <v>34.418980904006297</v>
      </c>
    </row>
    <row r="81" spans="1:34">
      <c r="A81" s="2">
        <v>100</v>
      </c>
      <c r="B81" s="3">
        <v>44341</v>
      </c>
      <c r="C81" s="5">
        <f>AC81-(7/24)</f>
        <v>44341.318680555538</v>
      </c>
      <c r="D81" t="s">
        <v>49</v>
      </c>
      <c r="E81" s="4">
        <v>1</v>
      </c>
      <c r="F81" t="s">
        <v>33</v>
      </c>
      <c r="G81" t="s">
        <v>58</v>
      </c>
      <c r="L81" t="s">
        <v>280</v>
      </c>
      <c r="AB81" t="s">
        <v>186</v>
      </c>
      <c r="AC81" s="1">
        <v>44341.610347222202</v>
      </c>
      <c r="AD81" t="s">
        <v>36</v>
      </c>
      <c r="AE81" s="1">
        <v>44341.610347222202</v>
      </c>
      <c r="AF81" t="s">
        <v>36</v>
      </c>
      <c r="AG81">
        <v>-119.872111781222</v>
      </c>
      <c r="AH81">
        <v>34.420901021547202</v>
      </c>
    </row>
    <row r="82" spans="1:34">
      <c r="A82" s="2">
        <v>105</v>
      </c>
      <c r="B82" s="3">
        <v>44341</v>
      </c>
      <c r="C82" s="5">
        <f>AC82-(7/24)</f>
        <v>44341.323599537034</v>
      </c>
      <c r="D82" t="s">
        <v>49</v>
      </c>
      <c r="E82" s="4">
        <v>1</v>
      </c>
      <c r="F82" t="s">
        <v>33</v>
      </c>
      <c r="G82" t="s">
        <v>34</v>
      </c>
      <c r="L82" t="s">
        <v>280</v>
      </c>
      <c r="AB82" t="s">
        <v>192</v>
      </c>
      <c r="AC82" s="1">
        <v>44341.615266203698</v>
      </c>
      <c r="AD82" t="s">
        <v>36</v>
      </c>
      <c r="AE82" s="1">
        <v>44341.615266203698</v>
      </c>
      <c r="AF82" t="s">
        <v>36</v>
      </c>
      <c r="AG82">
        <v>-119.871059076083</v>
      </c>
      <c r="AH82">
        <v>34.420616648293702</v>
      </c>
    </row>
    <row r="83" spans="1:34">
      <c r="A83" s="2">
        <v>110</v>
      </c>
      <c r="B83" s="3">
        <v>44341</v>
      </c>
      <c r="C83" s="5">
        <f>AC83-(7/24)</f>
        <v>44341.327939814837</v>
      </c>
      <c r="D83" t="s">
        <v>49</v>
      </c>
      <c r="E83" s="4">
        <v>2</v>
      </c>
      <c r="F83" t="s">
        <v>33</v>
      </c>
      <c r="G83" t="s">
        <v>77</v>
      </c>
      <c r="L83" t="s">
        <v>280</v>
      </c>
      <c r="AB83" t="s">
        <v>198</v>
      </c>
      <c r="AC83" s="1">
        <v>44341.619606481501</v>
      </c>
      <c r="AD83" t="s">
        <v>36</v>
      </c>
      <c r="AE83" s="1">
        <v>44341.619606481501</v>
      </c>
      <c r="AF83" t="s">
        <v>36</v>
      </c>
      <c r="AG83">
        <v>-119.870333417895</v>
      </c>
      <c r="AH83">
        <v>34.421428115268803</v>
      </c>
    </row>
    <row r="84" spans="1:34">
      <c r="A84" s="2">
        <v>112</v>
      </c>
      <c r="B84" s="3">
        <v>44341</v>
      </c>
      <c r="C84" s="5">
        <f>AC84-(7/24)</f>
        <v>44341.332476851836</v>
      </c>
      <c r="D84" t="s">
        <v>49</v>
      </c>
      <c r="E84" s="4">
        <v>2</v>
      </c>
      <c r="F84" t="s">
        <v>33</v>
      </c>
      <c r="G84" t="s">
        <v>43</v>
      </c>
      <c r="L84" t="s">
        <v>280</v>
      </c>
      <c r="AB84" t="s">
        <v>201</v>
      </c>
      <c r="AC84" s="1">
        <v>44341.6241435185</v>
      </c>
      <c r="AD84" t="s">
        <v>36</v>
      </c>
      <c r="AE84" s="1">
        <v>44341.6241435185</v>
      </c>
      <c r="AF84" t="s">
        <v>36</v>
      </c>
      <c r="AG84">
        <v>-119.871493778036</v>
      </c>
      <c r="AH84">
        <v>34.422182774066201</v>
      </c>
    </row>
    <row r="85" spans="1:34">
      <c r="A85" s="2">
        <v>114</v>
      </c>
      <c r="B85" s="3">
        <v>44341</v>
      </c>
      <c r="C85" s="5">
        <f>AC85-(7/24)</f>
        <v>44341.335254629637</v>
      </c>
      <c r="D85" t="s">
        <v>49</v>
      </c>
      <c r="E85" s="4">
        <v>2</v>
      </c>
      <c r="F85" t="s">
        <v>33</v>
      </c>
      <c r="G85" t="s">
        <v>43</v>
      </c>
      <c r="I85" t="s">
        <v>179</v>
      </c>
      <c r="J85" t="s">
        <v>204</v>
      </c>
      <c r="L85" t="s">
        <v>280</v>
      </c>
      <c r="AB85" t="s">
        <v>205</v>
      </c>
      <c r="AC85" s="1">
        <v>44341.626921296302</v>
      </c>
      <c r="AD85" t="s">
        <v>36</v>
      </c>
      <c r="AE85" s="1">
        <v>44341.626921296302</v>
      </c>
      <c r="AF85" t="s">
        <v>36</v>
      </c>
      <c r="AG85">
        <v>-119.872231558989</v>
      </c>
      <c r="AH85">
        <v>34.422541356635101</v>
      </c>
    </row>
    <row r="86" spans="1:34">
      <c r="A86" s="2">
        <v>151</v>
      </c>
      <c r="B86" s="3">
        <v>44341</v>
      </c>
      <c r="C86" s="5">
        <f>AC86-(7/24)</f>
        <v>44341.373472222236</v>
      </c>
      <c r="D86" t="s">
        <v>49</v>
      </c>
      <c r="E86" s="4">
        <v>4</v>
      </c>
      <c r="F86" t="s">
        <v>33</v>
      </c>
      <c r="G86" t="s">
        <v>77</v>
      </c>
      <c r="I86" t="s">
        <v>179</v>
      </c>
      <c r="J86" t="s">
        <v>251</v>
      </c>
      <c r="L86" t="s">
        <v>280</v>
      </c>
      <c r="AB86" t="s">
        <v>252</v>
      </c>
      <c r="AC86" s="1">
        <v>44341.6651388889</v>
      </c>
      <c r="AD86" t="s">
        <v>36</v>
      </c>
      <c r="AE86" s="1">
        <v>44341.6651388889</v>
      </c>
      <c r="AF86" t="s">
        <v>36</v>
      </c>
      <c r="AG86">
        <v>-119.877461427504</v>
      </c>
      <c r="AH86">
        <v>34.420843045807203</v>
      </c>
    </row>
    <row r="87" spans="1:34">
      <c r="A87" s="2">
        <v>156</v>
      </c>
      <c r="B87" s="3">
        <v>44341</v>
      </c>
      <c r="C87" s="5">
        <f>AC87-(7/24)</f>
        <v>44341.375613425938</v>
      </c>
      <c r="D87" t="s">
        <v>49</v>
      </c>
      <c r="E87" s="4">
        <v>4</v>
      </c>
      <c r="F87" t="s">
        <v>33</v>
      </c>
      <c r="G87" t="s">
        <v>40</v>
      </c>
      <c r="L87" t="s">
        <v>280</v>
      </c>
      <c r="AB87" t="s">
        <v>257</v>
      </c>
      <c r="AC87" s="1">
        <v>44341.667280092603</v>
      </c>
      <c r="AD87" t="s">
        <v>36</v>
      </c>
      <c r="AE87" s="1">
        <v>44341.667280092603</v>
      </c>
      <c r="AF87" t="s">
        <v>36</v>
      </c>
      <c r="AG87">
        <v>-119.877047225106</v>
      </c>
      <c r="AH87">
        <v>34.4210289982733</v>
      </c>
    </row>
    <row r="88" spans="1:34">
      <c r="A88" s="2">
        <v>159</v>
      </c>
      <c r="B88" s="3">
        <v>44341</v>
      </c>
      <c r="C88" s="5">
        <f>AC88-(7/24)</f>
        <v>44341.377592592638</v>
      </c>
      <c r="D88" t="s">
        <v>49</v>
      </c>
      <c r="E88" s="4">
        <v>1</v>
      </c>
      <c r="F88" t="s">
        <v>33</v>
      </c>
      <c r="G88" t="s">
        <v>43</v>
      </c>
      <c r="L88" t="s">
        <v>280</v>
      </c>
      <c r="AB88" t="s">
        <v>259</v>
      </c>
      <c r="AC88" s="1">
        <v>44341.669259259303</v>
      </c>
      <c r="AD88" t="s">
        <v>36</v>
      </c>
      <c r="AE88" s="1">
        <v>44341.669259259303</v>
      </c>
      <c r="AF88" t="s">
        <v>36</v>
      </c>
      <c r="AG88">
        <v>-119.87779377271799</v>
      </c>
      <c r="AH88">
        <v>34.421697071069502</v>
      </c>
    </row>
    <row r="89" spans="1:34">
      <c r="A89" s="2">
        <v>72</v>
      </c>
      <c r="B89" s="3">
        <v>44341</v>
      </c>
      <c r="C89" s="5">
        <f>AC89-(7/24)</f>
        <v>44341.386388888939</v>
      </c>
      <c r="D89" t="s">
        <v>139</v>
      </c>
      <c r="E89" s="4">
        <v>1</v>
      </c>
      <c r="F89" t="s">
        <v>33</v>
      </c>
      <c r="L89" t="s">
        <v>279</v>
      </c>
      <c r="AB89" t="s">
        <v>140</v>
      </c>
      <c r="AC89" s="1">
        <v>44341.678055555603</v>
      </c>
      <c r="AD89" t="s">
        <v>36</v>
      </c>
      <c r="AE89" s="1">
        <v>44341.678055555603</v>
      </c>
      <c r="AF89" t="s">
        <v>36</v>
      </c>
      <c r="AG89">
        <v>-119.881314016991</v>
      </c>
      <c r="AH89">
        <v>34.422001145778097</v>
      </c>
    </row>
    <row r="90" spans="1:34">
      <c r="A90" s="2">
        <v>166</v>
      </c>
      <c r="B90" s="3">
        <v>44341</v>
      </c>
      <c r="C90" s="5">
        <f>AC90-(7/24)</f>
        <v>44341.385381944434</v>
      </c>
      <c r="D90" t="s">
        <v>139</v>
      </c>
      <c r="E90" s="4">
        <v>2</v>
      </c>
      <c r="F90" t="s">
        <v>33</v>
      </c>
      <c r="G90" t="s">
        <v>58</v>
      </c>
      <c r="L90" t="s">
        <v>280</v>
      </c>
      <c r="AB90" t="s">
        <v>268</v>
      </c>
      <c r="AC90" s="1">
        <v>44341.677048611098</v>
      </c>
      <c r="AD90" t="s">
        <v>36</v>
      </c>
      <c r="AE90" s="1">
        <v>44341.677048611098</v>
      </c>
      <c r="AF90" t="s">
        <v>36</v>
      </c>
      <c r="AG90">
        <v>-119.878786372479</v>
      </c>
      <c r="AH90">
        <v>34.421319535437398</v>
      </c>
    </row>
    <row r="91" spans="1:34">
      <c r="A91" s="2">
        <v>6</v>
      </c>
      <c r="B91" s="3">
        <v>44341</v>
      </c>
      <c r="C91" s="5">
        <f>AC91-(7/24)</f>
        <v>44341.296782407437</v>
      </c>
      <c r="D91" t="s">
        <v>32</v>
      </c>
      <c r="E91" s="4">
        <v>4</v>
      </c>
      <c r="F91" t="s">
        <v>33</v>
      </c>
      <c r="G91" t="s">
        <v>34</v>
      </c>
      <c r="L91" t="s">
        <v>279</v>
      </c>
      <c r="AB91" t="s">
        <v>35</v>
      </c>
      <c r="AC91" s="1">
        <v>44341.588449074101</v>
      </c>
      <c r="AD91" t="s">
        <v>36</v>
      </c>
      <c r="AE91" s="1">
        <v>44341.601550925901</v>
      </c>
      <c r="AF91" t="s">
        <v>36</v>
      </c>
      <c r="AG91">
        <v>-119.87544342779501</v>
      </c>
      <c r="AH91">
        <v>34.418173984825501</v>
      </c>
    </row>
    <row r="92" spans="1:34">
      <c r="A92" s="2">
        <v>26</v>
      </c>
      <c r="B92" s="3">
        <v>44341</v>
      </c>
      <c r="C92" s="5">
        <f>AC92-(7/24)</f>
        <v>44341.328750000037</v>
      </c>
      <c r="D92" t="s">
        <v>32</v>
      </c>
      <c r="E92" s="4">
        <v>1</v>
      </c>
      <c r="F92" t="s">
        <v>33</v>
      </c>
      <c r="G92" t="s">
        <v>54</v>
      </c>
      <c r="L92" t="s">
        <v>279</v>
      </c>
      <c r="AB92" t="s">
        <v>72</v>
      </c>
      <c r="AC92" s="1">
        <v>44341.620416666701</v>
      </c>
      <c r="AD92" t="s">
        <v>36</v>
      </c>
      <c r="AE92" s="1">
        <v>44341.620416666701</v>
      </c>
      <c r="AF92" t="s">
        <v>36</v>
      </c>
      <c r="AG92">
        <v>-119.880509997863</v>
      </c>
      <c r="AH92">
        <v>34.419286217239197</v>
      </c>
    </row>
    <row r="93" spans="1:34">
      <c r="A93" s="2">
        <v>31</v>
      </c>
      <c r="B93" s="3">
        <v>44341</v>
      </c>
      <c r="C93" s="5">
        <f>AC93-(7/24)</f>
        <v>44341.335937500036</v>
      </c>
      <c r="D93" t="s">
        <v>32</v>
      </c>
      <c r="E93" s="4">
        <v>4</v>
      </c>
      <c r="F93" t="s">
        <v>33</v>
      </c>
      <c r="G93" t="s">
        <v>34</v>
      </c>
      <c r="L93" t="s">
        <v>279</v>
      </c>
      <c r="M93" t="s">
        <v>81</v>
      </c>
      <c r="AB93" t="s">
        <v>82</v>
      </c>
      <c r="AC93" s="1">
        <v>44341.627604166701</v>
      </c>
      <c r="AD93" t="s">
        <v>36</v>
      </c>
      <c r="AE93" s="1">
        <v>44341.627604166701</v>
      </c>
      <c r="AF93" t="s">
        <v>36</v>
      </c>
      <c r="AG93">
        <v>-119.87853671628901</v>
      </c>
      <c r="AH93">
        <v>34.420433750181601</v>
      </c>
    </row>
    <row r="94" spans="1:34">
      <c r="A94" s="2">
        <v>32</v>
      </c>
      <c r="B94" s="3">
        <v>44341</v>
      </c>
      <c r="C94" s="5">
        <f>AC94-(7/24)</f>
        <v>44341.339212962936</v>
      </c>
      <c r="D94" t="s">
        <v>32</v>
      </c>
      <c r="E94" s="4">
        <v>1</v>
      </c>
      <c r="F94" t="s">
        <v>33</v>
      </c>
      <c r="G94" t="s">
        <v>54</v>
      </c>
      <c r="L94" t="s">
        <v>279</v>
      </c>
      <c r="AB94" t="s">
        <v>83</v>
      </c>
      <c r="AC94" s="1">
        <v>44341.6308796296</v>
      </c>
      <c r="AD94" t="s">
        <v>36</v>
      </c>
      <c r="AE94" s="1">
        <v>44341.6308796296</v>
      </c>
      <c r="AF94" t="s">
        <v>36</v>
      </c>
      <c r="AG94">
        <v>-119.879554450912</v>
      </c>
      <c r="AH94">
        <v>34.4195615662018</v>
      </c>
    </row>
    <row r="95" spans="1:34">
      <c r="A95" s="2">
        <v>39</v>
      </c>
      <c r="B95" s="3">
        <v>44341</v>
      </c>
      <c r="C95" s="5">
        <f>AC95-(7/24)</f>
        <v>44341.347141203732</v>
      </c>
      <c r="D95" t="s">
        <v>32</v>
      </c>
      <c r="E95" s="4">
        <v>2</v>
      </c>
      <c r="F95" t="s">
        <v>33</v>
      </c>
      <c r="G95" t="s">
        <v>34</v>
      </c>
      <c r="L95" t="s">
        <v>279</v>
      </c>
      <c r="AB95" t="s">
        <v>91</v>
      </c>
      <c r="AC95" s="1">
        <v>44341.638807870397</v>
      </c>
      <c r="AD95" t="s">
        <v>36</v>
      </c>
      <c r="AE95" s="1">
        <v>44341.638807870397</v>
      </c>
      <c r="AF95" t="s">
        <v>36</v>
      </c>
      <c r="AG95">
        <v>-119.879174096136</v>
      </c>
      <c r="AH95">
        <v>34.420447488895498</v>
      </c>
    </row>
    <row r="96" spans="1:34">
      <c r="A96" s="2">
        <v>18</v>
      </c>
      <c r="B96" s="3">
        <v>44341</v>
      </c>
      <c r="C96" s="5">
        <f>AC96-(7/24)</f>
        <v>44341.319432870339</v>
      </c>
      <c r="D96" t="s">
        <v>60</v>
      </c>
      <c r="E96" s="4">
        <v>2</v>
      </c>
      <c r="F96" t="s">
        <v>33</v>
      </c>
      <c r="G96" t="s">
        <v>54</v>
      </c>
      <c r="L96" t="s">
        <v>279</v>
      </c>
      <c r="AB96" t="s">
        <v>61</v>
      </c>
      <c r="AC96" s="1">
        <v>44341.611099537004</v>
      </c>
      <c r="AD96" t="s">
        <v>36</v>
      </c>
      <c r="AE96" s="1">
        <v>44341.612442129597</v>
      </c>
      <c r="AF96" t="s">
        <v>36</v>
      </c>
      <c r="AG96">
        <v>-119.87942035040599</v>
      </c>
      <c r="AH96">
        <v>34.418026483672001</v>
      </c>
    </row>
    <row r="97" spans="1:34">
      <c r="A97" s="2">
        <v>23</v>
      </c>
      <c r="B97" s="3">
        <v>44341</v>
      </c>
      <c r="C97" s="5">
        <f>AC97-(7/24)</f>
        <v>44341.324988425935</v>
      </c>
      <c r="D97" t="s">
        <v>60</v>
      </c>
      <c r="E97" s="4">
        <v>1</v>
      </c>
      <c r="F97" t="s">
        <v>33</v>
      </c>
      <c r="G97" t="s">
        <v>43</v>
      </c>
      <c r="L97" t="s">
        <v>279</v>
      </c>
      <c r="AB97" t="s">
        <v>68</v>
      </c>
      <c r="AC97" s="1">
        <v>44341.616655092599</v>
      </c>
      <c r="AD97" t="s">
        <v>36</v>
      </c>
      <c r="AE97" s="1">
        <v>44341.616655092599</v>
      </c>
      <c r="AF97" t="s">
        <v>36</v>
      </c>
      <c r="AG97">
        <v>-119.881627688027</v>
      </c>
      <c r="AH97">
        <v>34.419091658130498</v>
      </c>
    </row>
    <row r="98" spans="1:34">
      <c r="A98" s="2">
        <v>11</v>
      </c>
      <c r="B98" s="3">
        <v>44341</v>
      </c>
      <c r="C98" s="5">
        <f>AC98-(7/24)</f>
        <v>44341.304375000036</v>
      </c>
      <c r="D98" t="s">
        <v>47</v>
      </c>
      <c r="E98" s="4">
        <v>2</v>
      </c>
      <c r="F98" t="s">
        <v>33</v>
      </c>
      <c r="G98" t="s">
        <v>43</v>
      </c>
      <c r="L98" t="s">
        <v>279</v>
      </c>
      <c r="AB98" t="s">
        <v>48</v>
      </c>
      <c r="AC98" s="1">
        <v>44341.5960416667</v>
      </c>
      <c r="AD98" t="s">
        <v>36</v>
      </c>
      <c r="AE98" s="1">
        <v>44341.5964930556</v>
      </c>
      <c r="AF98" t="s">
        <v>36</v>
      </c>
      <c r="AG98">
        <v>-119.876658569897</v>
      </c>
      <c r="AH98">
        <v>34.417631021630399</v>
      </c>
    </row>
    <row r="99" spans="1:34">
      <c r="A99" s="2">
        <v>15</v>
      </c>
      <c r="B99" s="3">
        <v>44341</v>
      </c>
      <c r="C99" s="5">
        <f>AC99-(7/24)</f>
        <v>44341.309317129635</v>
      </c>
      <c r="D99" t="s">
        <v>47</v>
      </c>
      <c r="E99" s="4">
        <v>1</v>
      </c>
      <c r="F99" t="s">
        <v>33</v>
      </c>
      <c r="G99" t="s">
        <v>54</v>
      </c>
      <c r="L99" t="s">
        <v>279</v>
      </c>
      <c r="AB99" t="s">
        <v>55</v>
      </c>
      <c r="AC99" s="1">
        <v>44341.600983796299</v>
      </c>
      <c r="AD99" t="s">
        <v>36</v>
      </c>
      <c r="AE99" s="1">
        <v>44341.600983796299</v>
      </c>
      <c r="AF99" t="s">
        <v>36</v>
      </c>
      <c r="AG99">
        <v>-119.87631781285801</v>
      </c>
      <c r="AH99">
        <v>34.418681827788802</v>
      </c>
    </row>
    <row r="100" spans="1:34">
      <c r="A100" s="2">
        <v>25</v>
      </c>
      <c r="B100" s="3">
        <v>44341</v>
      </c>
      <c r="C100" s="5">
        <f>AC100-(7/24)</f>
        <v>44341.328298611137</v>
      </c>
      <c r="D100" t="s">
        <v>47</v>
      </c>
      <c r="E100" s="4">
        <v>1</v>
      </c>
      <c r="F100" t="s">
        <v>33</v>
      </c>
      <c r="G100" t="s">
        <v>54</v>
      </c>
      <c r="L100" t="s">
        <v>279</v>
      </c>
      <c r="AB100" t="s">
        <v>71</v>
      </c>
      <c r="AC100" s="1">
        <v>44341.619965277801</v>
      </c>
      <c r="AD100" t="s">
        <v>36</v>
      </c>
      <c r="AE100" s="1">
        <v>44341.619965277801</v>
      </c>
      <c r="AF100" t="s">
        <v>36</v>
      </c>
      <c r="AG100">
        <v>-119.880888673687</v>
      </c>
      <c r="AH100">
        <v>34.420118511286198</v>
      </c>
    </row>
    <row r="101" spans="1:34">
      <c r="A101" s="2">
        <v>122</v>
      </c>
      <c r="B101" s="3">
        <v>44341</v>
      </c>
      <c r="C101" s="5">
        <f>AC101-(7/24)</f>
        <v>44341.342719907436</v>
      </c>
      <c r="D101" t="s">
        <v>47</v>
      </c>
      <c r="E101" s="4">
        <v>3</v>
      </c>
      <c r="F101" t="s">
        <v>33</v>
      </c>
      <c r="G101" t="s">
        <v>40</v>
      </c>
      <c r="L101" t="s">
        <v>280</v>
      </c>
      <c r="AB101" t="s">
        <v>215</v>
      </c>
      <c r="AC101" s="1">
        <v>44341.6343865741</v>
      </c>
      <c r="AD101" t="s">
        <v>36</v>
      </c>
      <c r="AE101" s="1">
        <v>44341.6343865741</v>
      </c>
      <c r="AF101" t="s">
        <v>36</v>
      </c>
      <c r="AG101">
        <v>-119.873618494007</v>
      </c>
      <c r="AH101">
        <v>34.421773745837498</v>
      </c>
    </row>
    <row r="102" spans="1:34">
      <c r="A102" s="2">
        <v>130</v>
      </c>
      <c r="B102" s="3">
        <v>44341</v>
      </c>
      <c r="C102" s="5">
        <f>AC102-(7/24)</f>
        <v>44341.357037037036</v>
      </c>
      <c r="D102" t="s">
        <v>47</v>
      </c>
      <c r="E102" s="4">
        <v>1</v>
      </c>
      <c r="F102" t="s">
        <v>33</v>
      </c>
      <c r="G102" t="s">
        <v>40</v>
      </c>
      <c r="L102" t="s">
        <v>280</v>
      </c>
      <c r="AB102" t="s">
        <v>226</v>
      </c>
      <c r="AC102" s="1">
        <v>44341.6487037037</v>
      </c>
      <c r="AD102" t="s">
        <v>36</v>
      </c>
      <c r="AE102" s="1">
        <v>44341.6487037037</v>
      </c>
      <c r="AF102" t="s">
        <v>36</v>
      </c>
      <c r="AG102">
        <v>-119.874132282739</v>
      </c>
      <c r="AH102">
        <v>34.420927010096896</v>
      </c>
    </row>
    <row r="103" spans="1:34">
      <c r="A103" s="2">
        <v>154</v>
      </c>
      <c r="B103" s="3">
        <v>44341</v>
      </c>
      <c r="C103" s="5">
        <f>AC103-(7/24)</f>
        <v>44341.375138888936</v>
      </c>
      <c r="D103" t="s">
        <v>47</v>
      </c>
      <c r="E103" s="4">
        <v>1</v>
      </c>
      <c r="F103" t="s">
        <v>33</v>
      </c>
      <c r="G103" t="s">
        <v>54</v>
      </c>
      <c r="L103" t="s">
        <v>280</v>
      </c>
      <c r="AB103" t="s">
        <v>255</v>
      </c>
      <c r="AC103" s="1">
        <v>44341.6668055556</v>
      </c>
      <c r="AD103" t="s">
        <v>36</v>
      </c>
      <c r="AE103" s="1">
        <v>44341.6668055556</v>
      </c>
      <c r="AF103" t="s">
        <v>36</v>
      </c>
      <c r="AG103">
        <v>-119.877139199116</v>
      </c>
      <c r="AH103">
        <v>34.4204438030077</v>
      </c>
    </row>
    <row r="104" spans="1:34">
      <c r="A104" s="2">
        <v>63</v>
      </c>
      <c r="B104" s="3">
        <v>44341</v>
      </c>
      <c r="C104" s="5">
        <f>AC104-(7/24)</f>
        <v>44341.378900462936</v>
      </c>
      <c r="D104" t="s">
        <v>125</v>
      </c>
      <c r="E104" s="4">
        <v>20</v>
      </c>
      <c r="F104" t="s">
        <v>182</v>
      </c>
      <c r="G104" t="s">
        <v>123</v>
      </c>
      <c r="J104" t="s">
        <v>289</v>
      </c>
      <c r="L104" t="s">
        <v>279</v>
      </c>
      <c r="AB104" t="s">
        <v>126</v>
      </c>
      <c r="AC104" s="1">
        <v>44341.6705671296</v>
      </c>
      <c r="AD104" t="s">
        <v>36</v>
      </c>
      <c r="AE104" s="1">
        <v>44341.6705671296</v>
      </c>
      <c r="AF104" t="s">
        <v>36</v>
      </c>
      <c r="AG104">
        <v>-119.882078769861</v>
      </c>
      <c r="AH104">
        <v>34.4212812726972</v>
      </c>
    </row>
    <row r="105" spans="1:34">
      <c r="A105" s="2">
        <v>71</v>
      </c>
      <c r="B105" s="3">
        <v>44341</v>
      </c>
      <c r="C105" s="5">
        <f>AC105-(7/24)</f>
        <v>44341.383819444432</v>
      </c>
      <c r="D105" t="s">
        <v>125</v>
      </c>
      <c r="E105" s="4">
        <v>1</v>
      </c>
      <c r="F105" t="s">
        <v>33</v>
      </c>
      <c r="G105" t="s">
        <v>123</v>
      </c>
      <c r="L105" t="s">
        <v>279</v>
      </c>
      <c r="AB105" t="s">
        <v>138</v>
      </c>
      <c r="AC105" s="1">
        <v>44341.675486111097</v>
      </c>
      <c r="AD105" t="s">
        <v>36</v>
      </c>
      <c r="AE105" s="1">
        <v>44341.675486111097</v>
      </c>
      <c r="AF105" t="s">
        <v>36</v>
      </c>
      <c r="AG105">
        <v>-119.880866185263</v>
      </c>
      <c r="AH105">
        <v>34.421624617083801</v>
      </c>
    </row>
    <row r="106" spans="1:34">
      <c r="A106" s="2">
        <v>75</v>
      </c>
      <c r="B106" s="3">
        <v>44341</v>
      </c>
      <c r="C106" s="5">
        <f>AC106-(7/24)</f>
        <v>44341.284756944435</v>
      </c>
      <c r="D106" t="s">
        <v>125</v>
      </c>
      <c r="E106" s="4">
        <v>4</v>
      </c>
      <c r="F106" t="s">
        <v>33</v>
      </c>
      <c r="G106" t="s">
        <v>123</v>
      </c>
      <c r="J106" t="s">
        <v>150</v>
      </c>
      <c r="L106" t="s">
        <v>280</v>
      </c>
      <c r="AB106" t="s">
        <v>151</v>
      </c>
      <c r="AC106" s="1">
        <v>44341.576423611099</v>
      </c>
      <c r="AD106" t="s">
        <v>36</v>
      </c>
      <c r="AE106" s="1">
        <v>44341.576423611099</v>
      </c>
      <c r="AF106" t="s">
        <v>36</v>
      </c>
      <c r="AG106">
        <v>-119.87435245712</v>
      </c>
      <c r="AH106">
        <v>34.417839412206497</v>
      </c>
    </row>
    <row r="107" spans="1:34">
      <c r="A107" s="2">
        <v>79</v>
      </c>
      <c r="B107" s="3">
        <v>44341</v>
      </c>
      <c r="C107" s="5">
        <f>AC107-(7/24)</f>
        <v>44341.288194444438</v>
      </c>
      <c r="D107" t="s">
        <v>125</v>
      </c>
      <c r="E107" s="4">
        <v>2</v>
      </c>
      <c r="F107" t="s">
        <v>33</v>
      </c>
      <c r="G107" t="s">
        <v>123</v>
      </c>
      <c r="L107" t="s">
        <v>280</v>
      </c>
      <c r="AB107" t="s">
        <v>159</v>
      </c>
      <c r="AC107" s="1">
        <v>44341.579861111102</v>
      </c>
      <c r="AD107" t="s">
        <v>36</v>
      </c>
      <c r="AE107" s="1">
        <v>44341.579861111102</v>
      </c>
      <c r="AF107" t="s">
        <v>36</v>
      </c>
      <c r="AG107">
        <v>-119.87455235832201</v>
      </c>
      <c r="AH107">
        <v>34.418161521828097</v>
      </c>
    </row>
    <row r="108" spans="1:34">
      <c r="A108" s="2">
        <v>93</v>
      </c>
      <c r="B108" s="3">
        <v>44341</v>
      </c>
      <c r="C108" s="5">
        <f>AC108-(7/24)</f>
        <v>44341.307569444434</v>
      </c>
      <c r="D108" t="s">
        <v>125</v>
      </c>
      <c r="E108" s="4">
        <v>3</v>
      </c>
      <c r="F108" t="s">
        <v>33</v>
      </c>
      <c r="G108" t="s">
        <v>123</v>
      </c>
      <c r="L108" t="s">
        <v>280</v>
      </c>
      <c r="AB108" t="s">
        <v>175</v>
      </c>
      <c r="AC108" s="1">
        <v>44341.599236111098</v>
      </c>
      <c r="AD108" t="s">
        <v>36</v>
      </c>
      <c r="AE108" s="1">
        <v>44341.599236111098</v>
      </c>
      <c r="AF108" t="s">
        <v>36</v>
      </c>
      <c r="AG108">
        <v>-119.875249495898</v>
      </c>
      <c r="AH108">
        <v>34.420086204428799</v>
      </c>
    </row>
    <row r="109" spans="1:34">
      <c r="A109" s="2">
        <v>95</v>
      </c>
      <c r="B109" s="3">
        <v>44341</v>
      </c>
      <c r="C109" s="5">
        <f>AC109-(7/24)</f>
        <v>44341.309131944436</v>
      </c>
      <c r="D109" t="s">
        <v>125</v>
      </c>
      <c r="E109" s="4">
        <v>2</v>
      </c>
      <c r="F109" t="s">
        <v>33</v>
      </c>
      <c r="G109" t="s">
        <v>123</v>
      </c>
      <c r="L109" t="s">
        <v>280</v>
      </c>
      <c r="AB109" t="s">
        <v>177</v>
      </c>
      <c r="AC109" s="1">
        <v>44341.6007986111</v>
      </c>
      <c r="AD109" t="s">
        <v>36</v>
      </c>
      <c r="AE109" s="1">
        <v>44341.6007986111</v>
      </c>
      <c r="AF109" t="s">
        <v>36</v>
      </c>
      <c r="AG109">
        <v>-119.873728128896</v>
      </c>
      <c r="AH109">
        <v>34.420942756170597</v>
      </c>
    </row>
    <row r="110" spans="1:34">
      <c r="A110" s="2">
        <v>121</v>
      </c>
      <c r="B110" s="3">
        <v>44341</v>
      </c>
      <c r="C110" s="5">
        <f>AC110-(7/24)</f>
        <v>44341.342546296335</v>
      </c>
      <c r="D110" t="s">
        <v>125</v>
      </c>
      <c r="E110" s="4">
        <v>12</v>
      </c>
      <c r="F110" t="s">
        <v>33</v>
      </c>
      <c r="G110" t="s">
        <v>213</v>
      </c>
      <c r="L110" t="s">
        <v>280</v>
      </c>
      <c r="AB110" t="s">
        <v>214</v>
      </c>
      <c r="AC110" s="1">
        <v>44341.634212962999</v>
      </c>
      <c r="AD110" t="s">
        <v>36</v>
      </c>
      <c r="AE110" s="1">
        <v>44341.634212962999</v>
      </c>
      <c r="AF110" t="s">
        <v>36</v>
      </c>
      <c r="AG110">
        <v>-119.873417856187</v>
      </c>
      <c r="AH110">
        <v>34.421686446326497</v>
      </c>
    </row>
    <row r="111" spans="1:34">
      <c r="A111" s="2">
        <v>144</v>
      </c>
      <c r="B111" s="3">
        <v>44341</v>
      </c>
      <c r="C111" s="5">
        <f>AC111-(7/24)</f>
        <v>44341.369074074035</v>
      </c>
      <c r="D111" t="s">
        <v>125</v>
      </c>
      <c r="E111" s="4">
        <v>6</v>
      </c>
      <c r="F111" t="s">
        <v>182</v>
      </c>
      <c r="G111" t="s">
        <v>123</v>
      </c>
      <c r="L111" t="s">
        <v>280</v>
      </c>
      <c r="AB111" t="s">
        <v>244</v>
      </c>
      <c r="AC111" s="1">
        <v>44341.660740740699</v>
      </c>
      <c r="AD111" t="s">
        <v>36</v>
      </c>
      <c r="AE111" s="1">
        <v>44341.660740740699</v>
      </c>
      <c r="AF111" t="s">
        <v>36</v>
      </c>
      <c r="AG111">
        <v>-119.877714867398</v>
      </c>
      <c r="AH111">
        <v>34.420645735915699</v>
      </c>
    </row>
    <row r="112" spans="1:34">
      <c r="A112" s="2">
        <v>155</v>
      </c>
      <c r="B112" s="3">
        <v>44341</v>
      </c>
      <c r="C112" s="5">
        <f>AC112-(7/24)</f>
        <v>44341.375381944439</v>
      </c>
      <c r="D112" t="s">
        <v>125</v>
      </c>
      <c r="E112" s="4">
        <v>8</v>
      </c>
      <c r="F112" t="s">
        <v>33</v>
      </c>
      <c r="G112" t="s">
        <v>213</v>
      </c>
      <c r="L112" t="s">
        <v>280</v>
      </c>
      <c r="AB112" t="s">
        <v>256</v>
      </c>
      <c r="AC112" s="1">
        <v>44341.667048611103</v>
      </c>
      <c r="AD112" t="s">
        <v>36</v>
      </c>
      <c r="AE112" s="1">
        <v>44341.667048611103</v>
      </c>
      <c r="AF112" t="s">
        <v>36</v>
      </c>
      <c r="AG112">
        <v>-119.87845902908499</v>
      </c>
      <c r="AH112">
        <v>34.420866242925499</v>
      </c>
    </row>
    <row r="113" spans="1:34">
      <c r="A113" s="2">
        <v>160</v>
      </c>
      <c r="B113" s="3">
        <v>44341</v>
      </c>
      <c r="C113" s="5">
        <f>AC113-(7/24)</f>
        <v>44341.378263888939</v>
      </c>
      <c r="D113" t="s">
        <v>260</v>
      </c>
      <c r="E113" s="4">
        <v>1</v>
      </c>
      <c r="F113" t="s">
        <v>33</v>
      </c>
      <c r="G113" t="s">
        <v>43</v>
      </c>
      <c r="L113" t="s">
        <v>280</v>
      </c>
      <c r="AB113" t="s">
        <v>261</v>
      </c>
      <c r="AC113" s="1">
        <v>44341.669930555603</v>
      </c>
      <c r="AD113" t="s">
        <v>36</v>
      </c>
      <c r="AE113" s="1">
        <v>44341.669930555603</v>
      </c>
      <c r="AF113" t="s">
        <v>36</v>
      </c>
      <c r="AG113">
        <v>-119.878092043935</v>
      </c>
      <c r="AH113">
        <v>34.421793619968597</v>
      </c>
    </row>
    <row r="114" spans="1:34">
      <c r="A114" s="2">
        <v>142</v>
      </c>
      <c r="B114" s="3">
        <v>44341</v>
      </c>
      <c r="C114" s="5">
        <f>AC114-(7/24)</f>
        <v>44341.366921296336</v>
      </c>
      <c r="D114" t="s">
        <v>241</v>
      </c>
      <c r="E114" s="4">
        <v>1</v>
      </c>
      <c r="F114" t="s">
        <v>33</v>
      </c>
      <c r="G114" t="s">
        <v>40</v>
      </c>
      <c r="L114" t="s">
        <v>280</v>
      </c>
      <c r="AB114" t="s">
        <v>242</v>
      </c>
      <c r="AC114" s="1">
        <v>44341.658587963</v>
      </c>
      <c r="AD114" t="s">
        <v>36</v>
      </c>
      <c r="AE114" s="1">
        <v>44341.658587963</v>
      </c>
      <c r="AF114" t="s">
        <v>36</v>
      </c>
      <c r="AG114">
        <v>-119.877400173181</v>
      </c>
      <c r="AH114">
        <v>34.4192737877543</v>
      </c>
    </row>
    <row r="115" spans="1:34">
      <c r="A115" s="2">
        <v>86</v>
      </c>
      <c r="B115" s="3">
        <v>44341</v>
      </c>
      <c r="C115" s="5">
        <f>AC115-(7/24)</f>
        <v>44341.300671296332</v>
      </c>
      <c r="D115" t="s">
        <v>167</v>
      </c>
      <c r="E115" s="4">
        <v>1</v>
      </c>
      <c r="F115" t="s">
        <v>33</v>
      </c>
      <c r="G115" t="s">
        <v>43</v>
      </c>
      <c r="L115" t="s">
        <v>280</v>
      </c>
      <c r="AB115" t="s">
        <v>168</v>
      </c>
      <c r="AC115" s="1">
        <v>44341.592337962997</v>
      </c>
      <c r="AD115" t="s">
        <v>36</v>
      </c>
      <c r="AE115" s="1">
        <v>44341.592337962997</v>
      </c>
      <c r="AF115" t="s">
        <v>36</v>
      </c>
      <c r="AG115">
        <v>-119.873579480174</v>
      </c>
      <c r="AH115">
        <v>34.4186940972955</v>
      </c>
    </row>
    <row r="116" spans="1:34">
      <c r="A116" s="2">
        <v>98</v>
      </c>
      <c r="B116" s="3">
        <v>44341</v>
      </c>
      <c r="C116" s="5">
        <f>AC116-(7/24)</f>
        <v>44341.316793981438</v>
      </c>
      <c r="D116" t="s">
        <v>167</v>
      </c>
      <c r="E116" s="4">
        <v>1</v>
      </c>
      <c r="F116" t="s">
        <v>182</v>
      </c>
      <c r="G116" t="s">
        <v>43</v>
      </c>
      <c r="L116" t="s">
        <v>280</v>
      </c>
      <c r="AB116" t="s">
        <v>183</v>
      </c>
      <c r="AC116" s="1">
        <v>44341.608460648102</v>
      </c>
      <c r="AD116" t="s">
        <v>36</v>
      </c>
      <c r="AE116" s="1">
        <v>44341.608460648102</v>
      </c>
      <c r="AF116" t="s">
        <v>36</v>
      </c>
      <c r="AG116">
        <v>-119.873378810014</v>
      </c>
      <c r="AH116">
        <v>34.419909729935803</v>
      </c>
    </row>
    <row r="117" spans="1:34">
      <c r="A117" s="2">
        <v>106</v>
      </c>
      <c r="B117" s="3">
        <v>44341</v>
      </c>
      <c r="C117" s="5">
        <f>AC117-(7/24)</f>
        <v>44341.324270833335</v>
      </c>
      <c r="D117" t="s">
        <v>167</v>
      </c>
      <c r="E117" s="4">
        <v>1</v>
      </c>
      <c r="F117" t="s">
        <v>33</v>
      </c>
      <c r="G117" t="s">
        <v>43</v>
      </c>
      <c r="L117" t="s">
        <v>280</v>
      </c>
      <c r="AB117" t="s">
        <v>193</v>
      </c>
      <c r="AC117" s="1">
        <v>44341.615937499999</v>
      </c>
      <c r="AD117" t="s">
        <v>36</v>
      </c>
      <c r="AE117" s="1">
        <v>44341.615937499999</v>
      </c>
      <c r="AF117" t="s">
        <v>36</v>
      </c>
      <c r="AG117">
        <v>-119.869495187327</v>
      </c>
      <c r="AH117">
        <v>34.420950950441402</v>
      </c>
    </row>
    <row r="118" spans="1:34">
      <c r="A118" s="2">
        <v>55</v>
      </c>
      <c r="B118" s="3">
        <v>44341</v>
      </c>
      <c r="C118" s="5">
        <f>AC118-(7/24)</f>
        <v>44341.367025462932</v>
      </c>
      <c r="D118" t="s">
        <v>114</v>
      </c>
      <c r="E118" s="4">
        <v>1</v>
      </c>
      <c r="F118" t="s">
        <v>33</v>
      </c>
      <c r="G118" t="s">
        <v>40</v>
      </c>
      <c r="L118" t="s">
        <v>279</v>
      </c>
      <c r="AB118" t="s">
        <v>115</v>
      </c>
      <c r="AC118" s="1">
        <v>44341.658692129597</v>
      </c>
      <c r="AD118" t="s">
        <v>36</v>
      </c>
      <c r="AE118" s="1">
        <v>44341.658692129597</v>
      </c>
      <c r="AF118" t="s">
        <v>36</v>
      </c>
      <c r="AG118">
        <v>-119.88429989931601</v>
      </c>
      <c r="AH118">
        <v>34.4197645898236</v>
      </c>
    </row>
    <row r="119" spans="1:34">
      <c r="A119" s="2">
        <v>56</v>
      </c>
      <c r="B119" s="3">
        <v>44341</v>
      </c>
      <c r="C119" s="5">
        <f>AC119-(7/24)</f>
        <v>44341.367337962933</v>
      </c>
      <c r="D119" t="s">
        <v>114</v>
      </c>
      <c r="E119" s="4">
        <v>1</v>
      </c>
      <c r="F119" t="s">
        <v>33</v>
      </c>
      <c r="G119" t="s">
        <v>40</v>
      </c>
      <c r="L119" t="s">
        <v>279</v>
      </c>
      <c r="AB119" t="s">
        <v>116</v>
      </c>
      <c r="AC119" s="1">
        <v>44341.659004629597</v>
      </c>
      <c r="AD119" t="s">
        <v>36</v>
      </c>
      <c r="AE119" s="1">
        <v>44341.659004629597</v>
      </c>
      <c r="AF119" t="s">
        <v>36</v>
      </c>
      <c r="AG119">
        <v>-119.884216773712</v>
      </c>
      <c r="AH119">
        <v>34.418366522263597</v>
      </c>
    </row>
    <row r="120" spans="1:34">
      <c r="A120" s="2">
        <v>57</v>
      </c>
      <c r="B120" s="3">
        <v>44341</v>
      </c>
      <c r="C120" s="5">
        <f>AC120-(7/24)</f>
        <v>44341.367685185134</v>
      </c>
      <c r="D120" t="s">
        <v>114</v>
      </c>
      <c r="E120" s="4">
        <v>1</v>
      </c>
      <c r="F120" t="s">
        <v>33</v>
      </c>
      <c r="G120" t="s">
        <v>40</v>
      </c>
      <c r="L120" t="s">
        <v>279</v>
      </c>
      <c r="AB120" t="s">
        <v>117</v>
      </c>
      <c r="AC120" s="1">
        <v>44341.659351851798</v>
      </c>
      <c r="AD120" t="s">
        <v>36</v>
      </c>
      <c r="AE120" s="1">
        <v>44341.659351851798</v>
      </c>
      <c r="AF120" t="s">
        <v>36</v>
      </c>
      <c r="AG120">
        <v>-119.884690262223</v>
      </c>
      <c r="AH120">
        <v>34.421220732536703</v>
      </c>
    </row>
    <row r="121" spans="1:34">
      <c r="A121" s="2">
        <v>153</v>
      </c>
      <c r="B121" s="3">
        <v>44341</v>
      </c>
      <c r="C121" s="5">
        <f>AC121-(7/24)</f>
        <v>44341.374108796335</v>
      </c>
      <c r="D121" t="s">
        <v>114</v>
      </c>
      <c r="E121" s="4">
        <v>1</v>
      </c>
      <c r="F121" t="s">
        <v>182</v>
      </c>
      <c r="G121" t="s">
        <v>43</v>
      </c>
      <c r="J121" t="s">
        <v>289</v>
      </c>
      <c r="L121" t="s">
        <v>280</v>
      </c>
      <c r="AB121" t="s">
        <v>254</v>
      </c>
      <c r="AC121" s="1">
        <v>44341.665775463</v>
      </c>
      <c r="AD121" t="s">
        <v>36</v>
      </c>
      <c r="AE121" s="1">
        <v>44341.665775463</v>
      </c>
      <c r="AF121" t="s">
        <v>36</v>
      </c>
      <c r="AG121">
        <v>-119.88478583937599</v>
      </c>
      <c r="AH121">
        <v>34.420244151992897</v>
      </c>
    </row>
    <row r="122" spans="1:34">
      <c r="A122" s="2">
        <v>24</v>
      </c>
      <c r="B122" s="3">
        <v>44341</v>
      </c>
      <c r="C122" s="5">
        <f>AC122-(7/24)</f>
        <v>44341.327858796336</v>
      </c>
      <c r="D122" t="s">
        <v>69</v>
      </c>
      <c r="E122" s="4">
        <v>2</v>
      </c>
      <c r="F122" t="s">
        <v>33</v>
      </c>
      <c r="G122" t="s">
        <v>64</v>
      </c>
      <c r="L122" t="s">
        <v>279</v>
      </c>
      <c r="AB122" t="s">
        <v>70</v>
      </c>
      <c r="AC122" s="1">
        <v>44341.619525463</v>
      </c>
      <c r="AD122" t="s">
        <v>36</v>
      </c>
      <c r="AE122" s="1">
        <v>44341.621481481503</v>
      </c>
      <c r="AF122" t="s">
        <v>36</v>
      </c>
      <c r="AG122">
        <v>-119.880968900429</v>
      </c>
      <c r="AH122">
        <v>34.419494716328401</v>
      </c>
    </row>
    <row r="123" spans="1:34">
      <c r="A123" s="2">
        <v>50</v>
      </c>
      <c r="B123" s="3">
        <v>44341</v>
      </c>
      <c r="C123" s="5">
        <f>AC123-(7/24)</f>
        <v>44341.363622685232</v>
      </c>
      <c r="D123" t="s">
        <v>69</v>
      </c>
      <c r="E123" s="4">
        <v>1</v>
      </c>
      <c r="F123" t="s">
        <v>33</v>
      </c>
      <c r="G123" t="s">
        <v>54</v>
      </c>
      <c r="L123" t="s">
        <v>279</v>
      </c>
      <c r="AB123" t="s">
        <v>109</v>
      </c>
      <c r="AC123" s="1">
        <v>44341.655289351896</v>
      </c>
      <c r="AD123" t="s">
        <v>36</v>
      </c>
      <c r="AE123" s="1">
        <v>44341.655289351896</v>
      </c>
      <c r="AF123" t="s">
        <v>36</v>
      </c>
      <c r="AG123">
        <v>-119.881972166786</v>
      </c>
      <c r="AH123">
        <v>34.420767733677302</v>
      </c>
    </row>
    <row r="124" spans="1:34">
      <c r="A124" s="2">
        <v>54</v>
      </c>
      <c r="B124" s="3">
        <v>44341</v>
      </c>
      <c r="C124" s="5">
        <f>AC124-(7/24)</f>
        <v>44341.366516203736</v>
      </c>
      <c r="D124" t="s">
        <v>69</v>
      </c>
      <c r="E124" s="4">
        <v>2</v>
      </c>
      <c r="F124" t="s">
        <v>33</v>
      </c>
      <c r="G124" t="s">
        <v>54</v>
      </c>
      <c r="L124" t="s">
        <v>279</v>
      </c>
      <c r="AB124" t="s">
        <v>113</v>
      </c>
      <c r="AC124" s="1">
        <v>44341.6581828704</v>
      </c>
      <c r="AD124" t="s">
        <v>36</v>
      </c>
      <c r="AE124" s="1">
        <v>44341.6581828704</v>
      </c>
      <c r="AF124" t="s">
        <v>36</v>
      </c>
      <c r="AG124">
        <v>-119.883249138132</v>
      </c>
      <c r="AH124">
        <v>34.421171452941103</v>
      </c>
    </row>
    <row r="125" spans="1:34">
      <c r="A125" s="2">
        <v>99</v>
      </c>
      <c r="B125" s="3">
        <v>44341</v>
      </c>
      <c r="C125" s="5">
        <f>AC125-(7/24)</f>
        <v>44341.317685185233</v>
      </c>
      <c r="D125" t="s">
        <v>184</v>
      </c>
      <c r="E125" s="4">
        <v>12</v>
      </c>
      <c r="F125" t="s">
        <v>33</v>
      </c>
      <c r="G125" t="s">
        <v>40</v>
      </c>
      <c r="J125" t="s">
        <v>290</v>
      </c>
      <c r="L125" t="s">
        <v>280</v>
      </c>
      <c r="AB125" t="s">
        <v>185</v>
      </c>
      <c r="AC125" s="1">
        <v>44341.609351851897</v>
      </c>
      <c r="AD125" t="s">
        <v>36</v>
      </c>
      <c r="AE125" s="1">
        <v>44341.609351851897</v>
      </c>
      <c r="AF125" t="s">
        <v>36</v>
      </c>
      <c r="AG125">
        <v>-119.872046446751</v>
      </c>
      <c r="AH125">
        <v>34.420504506016499</v>
      </c>
    </row>
    <row r="126" spans="1:34">
      <c r="A126" s="2">
        <v>43</v>
      </c>
      <c r="B126" s="3">
        <v>44341</v>
      </c>
      <c r="C126" s="5">
        <f>AC126-(7/24)</f>
        <v>44341.351261574033</v>
      </c>
      <c r="D126" t="s">
        <v>97</v>
      </c>
      <c r="E126" s="4">
        <v>1</v>
      </c>
      <c r="F126" t="s">
        <v>33</v>
      </c>
      <c r="G126" t="s">
        <v>54</v>
      </c>
      <c r="L126" t="s">
        <v>279</v>
      </c>
      <c r="AB126" t="s">
        <v>98</v>
      </c>
      <c r="AC126" s="1">
        <v>44341.642928240697</v>
      </c>
      <c r="AD126" t="s">
        <v>36</v>
      </c>
      <c r="AE126" s="1">
        <v>44341.642928240697</v>
      </c>
      <c r="AF126" t="s">
        <v>36</v>
      </c>
      <c r="AG126">
        <v>-119.879052930472</v>
      </c>
      <c r="AH126">
        <v>34.420934698989001</v>
      </c>
    </row>
    <row r="127" spans="1:34">
      <c r="A127" s="2">
        <v>59</v>
      </c>
      <c r="B127" s="3">
        <v>44341</v>
      </c>
      <c r="C127" s="5">
        <f>AC127-(7/24)</f>
        <v>44341.368819444433</v>
      </c>
      <c r="D127" t="s">
        <v>97</v>
      </c>
      <c r="E127" s="4">
        <v>1</v>
      </c>
      <c r="F127" t="s">
        <v>33</v>
      </c>
      <c r="G127" t="s">
        <v>54</v>
      </c>
      <c r="L127" t="s">
        <v>279</v>
      </c>
      <c r="AB127" t="s">
        <v>119</v>
      </c>
      <c r="AC127" s="1">
        <v>44341.660486111097</v>
      </c>
      <c r="AD127" t="s">
        <v>36</v>
      </c>
      <c r="AE127" s="1">
        <v>44341.660486111097</v>
      </c>
      <c r="AF127" t="s">
        <v>36</v>
      </c>
      <c r="AG127">
        <v>-119.882838783219</v>
      </c>
      <c r="AH127">
        <v>34.4209270330687</v>
      </c>
    </row>
    <row r="128" spans="1:34">
      <c r="A128" s="2">
        <v>70</v>
      </c>
      <c r="B128" s="3">
        <v>44341</v>
      </c>
      <c r="C128" s="5">
        <f>AC128-(7/24)</f>
        <v>44341.383194444439</v>
      </c>
      <c r="D128" t="s">
        <v>97</v>
      </c>
      <c r="E128" s="4">
        <v>1</v>
      </c>
      <c r="F128" t="s">
        <v>33</v>
      </c>
      <c r="G128" t="s">
        <v>95</v>
      </c>
      <c r="L128" t="s">
        <v>279</v>
      </c>
      <c r="AB128" t="s">
        <v>137</v>
      </c>
      <c r="AC128" s="1">
        <v>44341.674861111103</v>
      </c>
      <c r="AD128" t="s">
        <v>36</v>
      </c>
      <c r="AE128" s="1">
        <v>44341.674861111103</v>
      </c>
      <c r="AF128" t="s">
        <v>36</v>
      </c>
      <c r="AG128">
        <v>-119.881440983077</v>
      </c>
      <c r="AH128">
        <v>34.421872399881003</v>
      </c>
    </row>
    <row r="129" spans="1:34">
      <c r="A129" s="2">
        <v>97</v>
      </c>
      <c r="B129" s="3">
        <v>44341</v>
      </c>
      <c r="C129" s="5">
        <f>AC129-(7/24)</f>
        <v>44341.311643518537</v>
      </c>
      <c r="D129" t="s">
        <v>97</v>
      </c>
      <c r="E129" s="4">
        <v>4</v>
      </c>
      <c r="F129" t="s">
        <v>33</v>
      </c>
      <c r="G129" t="s">
        <v>58</v>
      </c>
      <c r="I129" t="s">
        <v>179</v>
      </c>
      <c r="J129" t="s">
        <v>180</v>
      </c>
      <c r="L129" t="s">
        <v>280</v>
      </c>
      <c r="AB129" t="s">
        <v>181</v>
      </c>
      <c r="AC129" s="1">
        <v>44341.603310185201</v>
      </c>
      <c r="AD129" t="s">
        <v>36</v>
      </c>
      <c r="AE129" s="1">
        <v>44341.607685185198</v>
      </c>
      <c r="AF129" t="s">
        <v>36</v>
      </c>
      <c r="AG129">
        <v>-119.873379784687</v>
      </c>
      <c r="AH129">
        <v>34.420539641224103</v>
      </c>
    </row>
    <row r="130" spans="1:34">
      <c r="A130" s="2">
        <v>167</v>
      </c>
      <c r="B130" s="3">
        <v>44341</v>
      </c>
      <c r="C130" s="5">
        <f>AC130-(7/24)</f>
        <v>44341.385601851835</v>
      </c>
      <c r="D130" t="s">
        <v>97</v>
      </c>
      <c r="E130" s="4">
        <v>1</v>
      </c>
      <c r="F130" t="s">
        <v>33</v>
      </c>
      <c r="G130" t="s">
        <v>54</v>
      </c>
      <c r="L130" t="s">
        <v>280</v>
      </c>
      <c r="AB130" t="s">
        <v>269</v>
      </c>
      <c r="AC130" s="1">
        <v>44341.677268518499</v>
      </c>
      <c r="AD130" t="s">
        <v>36</v>
      </c>
      <c r="AE130" s="1">
        <v>44341.677268518499</v>
      </c>
      <c r="AF130" t="s">
        <v>36</v>
      </c>
      <c r="AG130">
        <v>-119.878645512151</v>
      </c>
      <c r="AH130">
        <v>34.420848828784699</v>
      </c>
    </row>
    <row r="131" spans="1:34">
      <c r="A131" s="2">
        <v>118</v>
      </c>
      <c r="B131" s="3">
        <v>44341</v>
      </c>
      <c r="C131" s="5">
        <f>AC131-(7/24)</f>
        <v>44341.341157407434</v>
      </c>
      <c r="D131" t="s">
        <v>209</v>
      </c>
      <c r="E131" s="4">
        <v>6</v>
      </c>
      <c r="F131" t="s">
        <v>33</v>
      </c>
      <c r="G131" t="s">
        <v>54</v>
      </c>
      <c r="L131" t="s">
        <v>280</v>
      </c>
      <c r="AB131" t="s">
        <v>210</v>
      </c>
      <c r="AC131" s="1">
        <v>44341.632824074099</v>
      </c>
      <c r="AD131" t="s">
        <v>36</v>
      </c>
      <c r="AE131" s="1">
        <v>44341.634490740696</v>
      </c>
      <c r="AF131" t="s">
        <v>36</v>
      </c>
      <c r="AG131">
        <v>-119.873267929162</v>
      </c>
      <c r="AH131">
        <v>34.421802846395202</v>
      </c>
    </row>
    <row r="132" spans="1:34">
      <c r="A132" s="2">
        <v>69</v>
      </c>
      <c r="B132" s="3">
        <v>44341</v>
      </c>
      <c r="C132" s="5">
        <f>AC132-(7/24)</f>
        <v>44341.382685185134</v>
      </c>
      <c r="D132" t="s">
        <v>135</v>
      </c>
      <c r="E132" s="4">
        <v>1</v>
      </c>
      <c r="F132" t="s">
        <v>33</v>
      </c>
      <c r="G132" t="s">
        <v>34</v>
      </c>
      <c r="L132" t="s">
        <v>279</v>
      </c>
      <c r="AB132" t="s">
        <v>136</v>
      </c>
      <c r="AC132" s="1">
        <v>44341.674351851798</v>
      </c>
      <c r="AD132" t="s">
        <v>36</v>
      </c>
      <c r="AE132" s="1">
        <v>44341.674351851798</v>
      </c>
      <c r="AF132" t="s">
        <v>36</v>
      </c>
      <c r="AG132">
        <v>-119.881740544275</v>
      </c>
      <c r="AH132">
        <v>34.4219476243168</v>
      </c>
    </row>
    <row r="133" spans="1:34">
      <c r="A133" s="2">
        <v>140</v>
      </c>
      <c r="B133" s="3">
        <v>44341</v>
      </c>
      <c r="C133" s="5">
        <f>AC133-(7/24)</f>
        <v>44341.364340277738</v>
      </c>
      <c r="D133" t="s">
        <v>238</v>
      </c>
      <c r="E133" s="4">
        <v>1</v>
      </c>
      <c r="F133" t="s">
        <v>33</v>
      </c>
      <c r="G133" t="s">
        <v>213</v>
      </c>
      <c r="L133" t="s">
        <v>280</v>
      </c>
      <c r="AB133" t="s">
        <v>239</v>
      </c>
      <c r="AC133" s="1">
        <v>44341.656006944402</v>
      </c>
      <c r="AD133" t="s">
        <v>36</v>
      </c>
      <c r="AE133" s="1">
        <v>44341.656006944402</v>
      </c>
      <c r="AF133" t="s">
        <v>36</v>
      </c>
      <c r="AG133">
        <v>-119.876842371492</v>
      </c>
      <c r="AH133">
        <v>34.419737968066897</v>
      </c>
    </row>
    <row r="134" spans="1:34">
      <c r="A134" s="2">
        <v>9</v>
      </c>
      <c r="B134" s="3">
        <v>44341</v>
      </c>
      <c r="C134" s="5">
        <f>AC134-(7/24)</f>
        <v>44341.303530092635</v>
      </c>
      <c r="D134" t="s">
        <v>42</v>
      </c>
      <c r="E134" s="4">
        <v>1</v>
      </c>
      <c r="F134" t="s">
        <v>33</v>
      </c>
      <c r="G134" t="s">
        <v>43</v>
      </c>
      <c r="L134" t="s">
        <v>279</v>
      </c>
      <c r="AB134" t="s">
        <v>44</v>
      </c>
      <c r="AC134" s="1">
        <v>44341.595196759299</v>
      </c>
      <c r="AD134" t="s">
        <v>36</v>
      </c>
      <c r="AE134" s="1">
        <v>44341.595196759299</v>
      </c>
      <c r="AF134" t="s">
        <v>36</v>
      </c>
      <c r="AG134">
        <v>-119.87673801151</v>
      </c>
      <c r="AH134">
        <v>34.417900073383798</v>
      </c>
    </row>
    <row r="135" spans="1:34">
      <c r="A135" s="2">
        <v>21</v>
      </c>
      <c r="B135" s="3">
        <v>44341</v>
      </c>
      <c r="C135" s="5">
        <f>AC135-(7/24)</f>
        <v>44341.323310185238</v>
      </c>
      <c r="D135" t="s">
        <v>42</v>
      </c>
      <c r="E135" s="4">
        <v>1</v>
      </c>
      <c r="F135" t="s">
        <v>33</v>
      </c>
      <c r="G135" t="s">
        <v>43</v>
      </c>
      <c r="L135" t="s">
        <v>279</v>
      </c>
      <c r="AB135" t="s">
        <v>66</v>
      </c>
      <c r="AC135" s="1">
        <v>44341.614976851903</v>
      </c>
      <c r="AD135" t="s">
        <v>36</v>
      </c>
      <c r="AE135" s="1">
        <v>44341.614976851903</v>
      </c>
      <c r="AF135" t="s">
        <v>36</v>
      </c>
      <c r="AG135">
        <v>-119.881104374458</v>
      </c>
      <c r="AH135">
        <v>34.418945542125201</v>
      </c>
    </row>
    <row r="136" spans="1:34">
      <c r="A136" s="2">
        <v>38</v>
      </c>
      <c r="B136" s="3">
        <v>44341</v>
      </c>
      <c r="C136" s="5">
        <f>AC136-(7/24)</f>
        <v>44341.344097222238</v>
      </c>
      <c r="D136" t="s">
        <v>42</v>
      </c>
      <c r="E136" s="4">
        <v>1</v>
      </c>
      <c r="F136" t="s">
        <v>33</v>
      </c>
      <c r="G136" t="s">
        <v>43</v>
      </c>
      <c r="L136" t="s">
        <v>279</v>
      </c>
      <c r="AB136" t="s">
        <v>90</v>
      </c>
      <c r="AC136" s="1">
        <v>44341.635763888902</v>
      </c>
      <c r="AD136" t="s">
        <v>36</v>
      </c>
      <c r="AE136" s="1">
        <v>44341.635763888902</v>
      </c>
      <c r="AF136" t="s">
        <v>36</v>
      </c>
      <c r="AG136">
        <v>-119.877774155309</v>
      </c>
      <c r="AH136">
        <v>34.4193327042221</v>
      </c>
    </row>
    <row r="137" spans="1:34">
      <c r="A137" s="2">
        <v>44</v>
      </c>
      <c r="B137" s="3">
        <v>44341</v>
      </c>
      <c r="C137" s="5">
        <f>AC137-(7/24)</f>
        <v>44341.351516203737</v>
      </c>
      <c r="D137" t="s">
        <v>42</v>
      </c>
      <c r="E137" s="4">
        <v>1</v>
      </c>
      <c r="F137" t="s">
        <v>33</v>
      </c>
      <c r="G137" t="s">
        <v>54</v>
      </c>
      <c r="L137" t="s">
        <v>279</v>
      </c>
      <c r="AB137" t="s">
        <v>99</v>
      </c>
      <c r="AC137" s="1">
        <v>44341.643182870401</v>
      </c>
      <c r="AD137" t="s">
        <v>36</v>
      </c>
      <c r="AE137" s="1">
        <v>44341.643182870401</v>
      </c>
      <c r="AF137" t="s">
        <v>36</v>
      </c>
      <c r="AG137">
        <v>-119.87911392787601</v>
      </c>
      <c r="AH137">
        <v>34.421093373378</v>
      </c>
    </row>
    <row r="138" spans="1:34">
      <c r="A138" s="2">
        <v>53</v>
      </c>
      <c r="B138" s="3">
        <v>44341</v>
      </c>
      <c r="C138" s="5">
        <f>AC138-(7/24)</f>
        <v>44341.366134259239</v>
      </c>
      <c r="D138" t="s">
        <v>42</v>
      </c>
      <c r="E138" s="4">
        <v>1</v>
      </c>
      <c r="F138" t="s">
        <v>33</v>
      </c>
      <c r="G138" t="s">
        <v>54</v>
      </c>
      <c r="L138" t="s">
        <v>279</v>
      </c>
      <c r="AB138" t="s">
        <v>112</v>
      </c>
      <c r="AC138" s="1">
        <v>44341.657800925903</v>
      </c>
      <c r="AD138" t="s">
        <v>36</v>
      </c>
      <c r="AE138" s="1">
        <v>44341.657800925903</v>
      </c>
      <c r="AF138" t="s">
        <v>36</v>
      </c>
      <c r="AG138">
        <v>-119.88340709070501</v>
      </c>
      <c r="AH138">
        <v>34.420553230973702</v>
      </c>
    </row>
    <row r="139" spans="1:34">
      <c r="A139" s="2">
        <v>58</v>
      </c>
      <c r="B139" s="3">
        <v>44341</v>
      </c>
      <c r="C139" s="5">
        <f>AC139-(7/24)</f>
        <v>44341.368541666634</v>
      </c>
      <c r="D139" t="s">
        <v>42</v>
      </c>
      <c r="E139" s="4">
        <v>1</v>
      </c>
      <c r="F139" t="s">
        <v>33</v>
      </c>
      <c r="G139" t="s">
        <v>54</v>
      </c>
      <c r="L139" t="s">
        <v>279</v>
      </c>
      <c r="AB139" t="s">
        <v>118</v>
      </c>
      <c r="AC139" s="1">
        <v>44341.660208333298</v>
      </c>
      <c r="AD139" t="s">
        <v>36</v>
      </c>
      <c r="AE139" s="1">
        <v>44341.660208333298</v>
      </c>
      <c r="AF139" t="s">
        <v>36</v>
      </c>
      <c r="AG139">
        <v>-119.88284286696</v>
      </c>
      <c r="AH139">
        <v>34.420923650281999</v>
      </c>
    </row>
    <row r="140" spans="1:34">
      <c r="A140" s="2">
        <v>68</v>
      </c>
      <c r="B140" s="3">
        <v>44341</v>
      </c>
      <c r="C140" s="5">
        <f>AC140-(7/24)</f>
        <v>44341.381412037037</v>
      </c>
      <c r="D140" t="s">
        <v>42</v>
      </c>
      <c r="E140" s="4">
        <v>1</v>
      </c>
      <c r="F140" t="s">
        <v>33</v>
      </c>
      <c r="G140" t="s">
        <v>54</v>
      </c>
      <c r="L140" t="s">
        <v>279</v>
      </c>
      <c r="AB140" t="s">
        <v>134</v>
      </c>
      <c r="AC140" s="1">
        <v>44341.673078703701</v>
      </c>
      <c r="AD140" t="s">
        <v>36</v>
      </c>
      <c r="AE140" s="1">
        <v>44341.673078703701</v>
      </c>
      <c r="AF140" t="s">
        <v>36</v>
      </c>
      <c r="AG140">
        <v>-119.88179133951201</v>
      </c>
      <c r="AH140">
        <v>34.4218402107822</v>
      </c>
    </row>
    <row r="141" spans="1:34">
      <c r="A141" s="2">
        <v>83</v>
      </c>
      <c r="B141" s="3">
        <v>44341</v>
      </c>
      <c r="C141" s="5">
        <f>AC141-(7/24)</f>
        <v>44341.299016203739</v>
      </c>
      <c r="D141" t="s">
        <v>42</v>
      </c>
      <c r="E141" s="4">
        <v>1</v>
      </c>
      <c r="F141" t="s">
        <v>33</v>
      </c>
      <c r="G141" t="s">
        <v>77</v>
      </c>
      <c r="L141" t="s">
        <v>280</v>
      </c>
      <c r="AB141" t="s">
        <v>164</v>
      </c>
      <c r="AC141" s="1">
        <v>44341.590682870403</v>
      </c>
      <c r="AD141" t="s">
        <v>36</v>
      </c>
      <c r="AE141" s="1">
        <v>44341.590682870403</v>
      </c>
      <c r="AF141" t="s">
        <v>36</v>
      </c>
      <c r="AG141">
        <v>-119.873709189715</v>
      </c>
      <c r="AH141">
        <v>34.418088709815002</v>
      </c>
    </row>
    <row r="142" spans="1:34">
      <c r="A142" s="2">
        <v>88</v>
      </c>
      <c r="B142" s="3">
        <v>44341</v>
      </c>
      <c r="C142" s="5">
        <f>AC142-(7/24)</f>
        <v>44341.301747685233</v>
      </c>
      <c r="D142" t="s">
        <v>42</v>
      </c>
      <c r="E142" s="4">
        <v>1</v>
      </c>
      <c r="F142" t="s">
        <v>33</v>
      </c>
      <c r="G142" t="s">
        <v>77</v>
      </c>
      <c r="L142" t="s">
        <v>280</v>
      </c>
      <c r="AB142" t="s">
        <v>170</v>
      </c>
      <c r="AC142" s="1">
        <v>44341.593414351897</v>
      </c>
      <c r="AD142" t="s">
        <v>36</v>
      </c>
      <c r="AE142" s="1">
        <v>44341.593414351897</v>
      </c>
      <c r="AF142" t="s">
        <v>36</v>
      </c>
      <c r="AG142">
        <v>-119.873679127594</v>
      </c>
      <c r="AH142">
        <v>34.418903908769003</v>
      </c>
    </row>
    <row r="143" spans="1:34">
      <c r="A143" s="2">
        <v>102</v>
      </c>
      <c r="B143" s="3">
        <v>44341</v>
      </c>
      <c r="C143" s="5">
        <f>AC143-(7/24)</f>
        <v>44341.320798611137</v>
      </c>
      <c r="D143" t="s">
        <v>42</v>
      </c>
      <c r="E143" s="4">
        <v>1</v>
      </c>
      <c r="F143" t="s">
        <v>33</v>
      </c>
      <c r="G143" t="s">
        <v>77</v>
      </c>
      <c r="L143" t="s">
        <v>280</v>
      </c>
      <c r="AB143" t="s">
        <v>188</v>
      </c>
      <c r="AC143" s="1">
        <v>44341.612465277802</v>
      </c>
      <c r="AD143" t="s">
        <v>36</v>
      </c>
      <c r="AE143" s="1">
        <v>44341.612465277802</v>
      </c>
      <c r="AF143" t="s">
        <v>36</v>
      </c>
      <c r="AG143">
        <v>-119.871855740705</v>
      </c>
      <c r="AH143">
        <v>34.421188104500601</v>
      </c>
    </row>
    <row r="144" spans="1:34">
      <c r="A144" s="2">
        <v>108</v>
      </c>
      <c r="B144" s="3">
        <v>44341</v>
      </c>
      <c r="C144" s="5">
        <f>AC144-(7/24)</f>
        <v>44341.325150462937</v>
      </c>
      <c r="D144" t="s">
        <v>42</v>
      </c>
      <c r="E144" s="4">
        <v>2</v>
      </c>
      <c r="F144" t="s">
        <v>33</v>
      </c>
      <c r="G144" t="s">
        <v>54</v>
      </c>
      <c r="L144" t="s">
        <v>280</v>
      </c>
      <c r="AB144" t="s">
        <v>196</v>
      </c>
      <c r="AC144" s="1">
        <v>44341.616817129601</v>
      </c>
      <c r="AD144" t="s">
        <v>36</v>
      </c>
      <c r="AE144" s="1">
        <v>44341.618726851899</v>
      </c>
      <c r="AF144" t="s">
        <v>36</v>
      </c>
      <c r="AG144">
        <v>-119.87052392451599</v>
      </c>
      <c r="AH144">
        <v>34.421159531338397</v>
      </c>
    </row>
    <row r="145" spans="1:34">
      <c r="A145" s="2">
        <v>117</v>
      </c>
      <c r="B145" s="3">
        <v>44341</v>
      </c>
      <c r="C145" s="5">
        <f>AC145-(7/24)</f>
        <v>44341.339861111133</v>
      </c>
      <c r="D145" t="s">
        <v>42</v>
      </c>
      <c r="E145" s="4">
        <v>1</v>
      </c>
      <c r="F145" t="s">
        <v>33</v>
      </c>
      <c r="G145" t="s">
        <v>77</v>
      </c>
      <c r="L145" t="s">
        <v>280</v>
      </c>
      <c r="AB145" t="s">
        <v>208</v>
      </c>
      <c r="AC145" s="1">
        <v>44341.631527777798</v>
      </c>
      <c r="AD145" t="s">
        <v>36</v>
      </c>
      <c r="AE145" s="1">
        <v>44341.631527777798</v>
      </c>
      <c r="AF145" t="s">
        <v>36</v>
      </c>
      <c r="AG145">
        <v>-119.87263734327399</v>
      </c>
      <c r="AH145">
        <v>34.422100433863299</v>
      </c>
    </row>
    <row r="146" spans="1:34">
      <c r="A146" s="2">
        <v>123</v>
      </c>
      <c r="B146" s="3">
        <v>44341</v>
      </c>
      <c r="C146" s="5">
        <f>AC146-(7/24)</f>
        <v>44341.343553240738</v>
      </c>
      <c r="D146" t="s">
        <v>42</v>
      </c>
      <c r="E146" s="4">
        <v>1</v>
      </c>
      <c r="F146" t="s">
        <v>33</v>
      </c>
      <c r="G146" t="s">
        <v>77</v>
      </c>
      <c r="L146" t="s">
        <v>280</v>
      </c>
      <c r="AB146" t="s">
        <v>216</v>
      </c>
      <c r="AC146" s="1">
        <v>44341.635219907403</v>
      </c>
      <c r="AD146" t="s">
        <v>36</v>
      </c>
      <c r="AE146" s="1">
        <v>44341.635219907403</v>
      </c>
      <c r="AF146" t="s">
        <v>36</v>
      </c>
      <c r="AG146">
        <v>-119.873739758486</v>
      </c>
      <c r="AH146">
        <v>34.421750102136301</v>
      </c>
    </row>
    <row r="147" spans="1:34">
      <c r="A147" s="2">
        <v>138</v>
      </c>
      <c r="B147" s="3">
        <v>44341</v>
      </c>
      <c r="C147" s="5">
        <f>AC147-(7/24)</f>
        <v>44341.362349537034</v>
      </c>
      <c r="D147" t="s">
        <v>42</v>
      </c>
      <c r="E147" s="4">
        <v>1</v>
      </c>
      <c r="F147" t="s">
        <v>33</v>
      </c>
      <c r="G147" t="s">
        <v>77</v>
      </c>
      <c r="L147" t="s">
        <v>280</v>
      </c>
      <c r="AB147" t="s">
        <v>236</v>
      </c>
      <c r="AC147" s="1">
        <v>44341.654016203698</v>
      </c>
      <c r="AD147" t="s">
        <v>36</v>
      </c>
      <c r="AE147" s="1">
        <v>44341.654016203698</v>
      </c>
      <c r="AF147" t="s">
        <v>36</v>
      </c>
      <c r="AG147">
        <v>-119.875869603837</v>
      </c>
      <c r="AH147">
        <v>34.420805361591697</v>
      </c>
    </row>
    <row r="148" spans="1:34">
      <c r="A148" s="2">
        <v>139</v>
      </c>
      <c r="B148" s="3">
        <v>44341</v>
      </c>
      <c r="C148" s="5">
        <f>AC148-(7/24)</f>
        <v>44341.363379629634</v>
      </c>
      <c r="D148" t="s">
        <v>42</v>
      </c>
      <c r="E148" s="4">
        <v>1</v>
      </c>
      <c r="F148" t="s">
        <v>33</v>
      </c>
      <c r="G148" t="s">
        <v>77</v>
      </c>
      <c r="L148" t="s">
        <v>280</v>
      </c>
      <c r="AB148" t="s">
        <v>237</v>
      </c>
      <c r="AC148" s="1">
        <v>44341.655046296299</v>
      </c>
      <c r="AD148" t="s">
        <v>36</v>
      </c>
      <c r="AE148" s="1">
        <v>44341.655046296299</v>
      </c>
      <c r="AF148" t="s">
        <v>36</v>
      </c>
      <c r="AG148">
        <v>-119.87585299129201</v>
      </c>
      <c r="AH148">
        <v>34.420304403857997</v>
      </c>
    </row>
    <row r="149" spans="1:34">
      <c r="A149" s="2">
        <v>150</v>
      </c>
      <c r="B149" s="3">
        <v>44341</v>
      </c>
      <c r="C149" s="5">
        <f>AC149-(7/24)</f>
        <v>44341.372974537036</v>
      </c>
      <c r="D149" t="s">
        <v>42</v>
      </c>
      <c r="E149" s="4">
        <v>3</v>
      </c>
      <c r="F149" t="s">
        <v>33</v>
      </c>
      <c r="G149" t="s">
        <v>77</v>
      </c>
      <c r="L149" t="s">
        <v>280</v>
      </c>
      <c r="AB149" t="s">
        <v>250</v>
      </c>
      <c r="AC149" s="1">
        <v>44341.664641203701</v>
      </c>
      <c r="AD149" t="s">
        <v>36</v>
      </c>
      <c r="AE149" s="1">
        <v>44341.664641203701</v>
      </c>
      <c r="AF149" t="s">
        <v>36</v>
      </c>
      <c r="AG149">
        <v>-119.877149076093</v>
      </c>
      <c r="AH149">
        <v>34.420633696414399</v>
      </c>
    </row>
    <row r="150" spans="1:34">
      <c r="A150" s="2">
        <v>152</v>
      </c>
      <c r="B150" s="3">
        <v>44341</v>
      </c>
      <c r="C150" s="5">
        <f>AC150-(7/24)</f>
        <v>44341.373680555538</v>
      </c>
      <c r="D150" t="s">
        <v>42</v>
      </c>
      <c r="E150" s="4">
        <v>2</v>
      </c>
      <c r="F150" t="s">
        <v>33</v>
      </c>
      <c r="G150" t="s">
        <v>77</v>
      </c>
      <c r="L150" t="s">
        <v>280</v>
      </c>
      <c r="AB150" t="s">
        <v>253</v>
      </c>
      <c r="AC150" s="1">
        <v>44341.665347222202</v>
      </c>
      <c r="AD150" t="s">
        <v>36</v>
      </c>
      <c r="AE150" s="1">
        <v>44341.665347222202</v>
      </c>
      <c r="AF150" t="s">
        <v>36</v>
      </c>
      <c r="AG150">
        <v>-119.87684892649899</v>
      </c>
      <c r="AH150">
        <v>34.420772591857201</v>
      </c>
    </row>
    <row r="151" spans="1:34">
      <c r="A151" s="2">
        <v>161</v>
      </c>
      <c r="B151" s="3">
        <v>44341</v>
      </c>
      <c r="C151" s="5">
        <f>AC151-(7/24)</f>
        <v>44341.379502314834</v>
      </c>
      <c r="D151" t="s">
        <v>42</v>
      </c>
      <c r="E151" s="4">
        <v>3</v>
      </c>
      <c r="F151" t="s">
        <v>33</v>
      </c>
      <c r="G151" t="s">
        <v>77</v>
      </c>
      <c r="I151" t="s">
        <v>179</v>
      </c>
      <c r="L151" t="s">
        <v>280</v>
      </c>
      <c r="AB151" t="s">
        <v>262</v>
      </c>
      <c r="AC151" s="1">
        <v>44341.671168981498</v>
      </c>
      <c r="AD151" t="s">
        <v>36</v>
      </c>
      <c r="AE151" s="1">
        <v>44341.671168981498</v>
      </c>
      <c r="AF151" t="s">
        <v>36</v>
      </c>
      <c r="AG151">
        <v>-119.877868361632</v>
      </c>
      <c r="AH151">
        <v>34.421240334843503</v>
      </c>
    </row>
    <row r="152" spans="1:34">
      <c r="A152" s="2">
        <v>168</v>
      </c>
      <c r="B152" s="3">
        <v>44341</v>
      </c>
      <c r="C152" s="5">
        <f>AC152-(7/24)</f>
        <v>44341.386238425934</v>
      </c>
      <c r="D152" t="s">
        <v>42</v>
      </c>
      <c r="E152" s="4">
        <v>1</v>
      </c>
      <c r="F152" t="s">
        <v>33</v>
      </c>
      <c r="G152" t="s">
        <v>213</v>
      </c>
      <c r="L152" t="s">
        <v>280</v>
      </c>
      <c r="AB152" t="s">
        <v>270</v>
      </c>
      <c r="AC152" s="1">
        <v>44341.677905092598</v>
      </c>
      <c r="AD152" t="s">
        <v>36</v>
      </c>
      <c r="AE152" s="1">
        <v>44341.677905092598</v>
      </c>
      <c r="AF152" t="s">
        <v>36</v>
      </c>
      <c r="AG152">
        <v>-119.878900569911</v>
      </c>
      <c r="AH152">
        <v>34.421149918766801</v>
      </c>
    </row>
    <row r="153" spans="1:34">
      <c r="A153" s="2">
        <v>28</v>
      </c>
      <c r="B153" s="3">
        <v>44341</v>
      </c>
      <c r="C153" s="5">
        <f>AC153-(7/24)</f>
        <v>44341.331932870336</v>
      </c>
      <c r="D153" t="s">
        <v>75</v>
      </c>
      <c r="E153" s="4">
        <v>1</v>
      </c>
      <c r="F153" t="s">
        <v>33</v>
      </c>
      <c r="G153" t="s">
        <v>43</v>
      </c>
      <c r="L153" t="s">
        <v>279</v>
      </c>
      <c r="AB153" t="s">
        <v>76</v>
      </c>
      <c r="AC153" s="1">
        <v>44341.623599537001</v>
      </c>
      <c r="AD153" t="s">
        <v>36</v>
      </c>
      <c r="AE153" s="1">
        <v>44341.623599537001</v>
      </c>
      <c r="AF153" t="s">
        <v>36</v>
      </c>
      <c r="AG153">
        <v>-119.881882030729</v>
      </c>
      <c r="AH153">
        <v>34.418819688269302</v>
      </c>
    </row>
    <row r="154" spans="1:34">
      <c r="A154" s="2">
        <v>60</v>
      </c>
      <c r="B154" s="3">
        <v>44341</v>
      </c>
      <c r="C154" s="5">
        <f>AC154-(7/24)</f>
        <v>44341.370324074036</v>
      </c>
      <c r="D154" t="s">
        <v>75</v>
      </c>
      <c r="E154" s="4">
        <v>1</v>
      </c>
      <c r="F154" t="s">
        <v>33</v>
      </c>
      <c r="G154" t="s">
        <v>77</v>
      </c>
      <c r="L154" t="s">
        <v>279</v>
      </c>
      <c r="AB154" t="s">
        <v>120</v>
      </c>
      <c r="AC154" s="1">
        <v>44341.6619907407</v>
      </c>
      <c r="AD154" t="s">
        <v>36</v>
      </c>
      <c r="AE154" s="1">
        <v>44341.6619907407</v>
      </c>
      <c r="AF154" t="s">
        <v>36</v>
      </c>
      <c r="AG154">
        <v>-119.88324583323001</v>
      </c>
      <c r="AH154">
        <v>34.421028533650102</v>
      </c>
    </row>
    <row r="155" spans="1:34">
      <c r="A155" s="2">
        <v>30</v>
      </c>
      <c r="B155" s="3">
        <v>44341</v>
      </c>
      <c r="C155" s="5">
        <f>AC155-(7/24)</f>
        <v>44341.332719907434</v>
      </c>
      <c r="D155" t="s">
        <v>79</v>
      </c>
      <c r="E155" s="4">
        <v>1</v>
      </c>
      <c r="F155" t="s">
        <v>33</v>
      </c>
      <c r="G155" t="s">
        <v>40</v>
      </c>
      <c r="L155" t="s">
        <v>279</v>
      </c>
      <c r="AB155" t="s">
        <v>80</v>
      </c>
      <c r="AC155" s="1">
        <v>44341.624386574098</v>
      </c>
      <c r="AD155" t="s">
        <v>36</v>
      </c>
      <c r="AE155" s="1">
        <v>44341.624386574098</v>
      </c>
      <c r="AF155" t="s">
        <v>36</v>
      </c>
      <c r="AG155">
        <v>-119.883851177357</v>
      </c>
      <c r="AH155">
        <v>34.420779003972299</v>
      </c>
    </row>
    <row r="156" spans="1:34">
      <c r="A156" s="2">
        <v>119</v>
      </c>
      <c r="B156" s="3">
        <v>44341</v>
      </c>
      <c r="C156" s="5">
        <f>AC156-(7/24)</f>
        <v>44341.341481481439</v>
      </c>
      <c r="D156" t="s">
        <v>79</v>
      </c>
      <c r="E156" s="4">
        <v>1</v>
      </c>
      <c r="F156" t="s">
        <v>33</v>
      </c>
      <c r="G156" t="s">
        <v>40</v>
      </c>
      <c r="L156" t="s">
        <v>280</v>
      </c>
      <c r="AB156" t="s">
        <v>211</v>
      </c>
      <c r="AC156" s="1">
        <v>44341.633148148103</v>
      </c>
      <c r="AD156" t="s">
        <v>36</v>
      </c>
      <c r="AE156" s="1">
        <v>44341.633148148103</v>
      </c>
      <c r="AF156" t="s">
        <v>36</v>
      </c>
      <c r="AG156">
        <v>-119.87303201450101</v>
      </c>
      <c r="AH156">
        <v>34.4214445526218</v>
      </c>
    </row>
    <row r="157" spans="1:34">
      <c r="A157" s="2">
        <v>16</v>
      </c>
      <c r="B157" s="3">
        <v>44341</v>
      </c>
      <c r="C157" s="5">
        <f>AC157-(7/24)</f>
        <v>44341.316516203733</v>
      </c>
      <c r="D157" t="s">
        <v>56</v>
      </c>
      <c r="E157" s="4">
        <v>1</v>
      </c>
      <c r="F157" t="s">
        <v>33</v>
      </c>
      <c r="G157" t="s">
        <v>54</v>
      </c>
      <c r="L157" t="s">
        <v>279</v>
      </c>
      <c r="AB157" t="s">
        <v>57</v>
      </c>
      <c r="AC157" s="1">
        <v>44341.608182870397</v>
      </c>
      <c r="AD157" t="s">
        <v>36</v>
      </c>
      <c r="AE157" s="1">
        <v>44341.608368055597</v>
      </c>
      <c r="AF157" t="s">
        <v>36</v>
      </c>
      <c r="AG157">
        <v>-119.879175934987</v>
      </c>
      <c r="AH157">
        <v>34.418236408719203</v>
      </c>
    </row>
    <row r="158" spans="1:34">
      <c r="A158" s="2">
        <v>66</v>
      </c>
      <c r="B158" s="3">
        <v>44341</v>
      </c>
      <c r="C158" s="5">
        <f>AC158-(7/24)</f>
        <v>44341.379861111134</v>
      </c>
      <c r="D158" t="s">
        <v>56</v>
      </c>
      <c r="E158" s="4">
        <v>2</v>
      </c>
      <c r="F158" t="s">
        <v>33</v>
      </c>
      <c r="G158" t="s">
        <v>58</v>
      </c>
      <c r="L158" t="s">
        <v>279</v>
      </c>
      <c r="AB158" t="s">
        <v>132</v>
      </c>
      <c r="AC158" s="1">
        <v>44341.671527777798</v>
      </c>
      <c r="AD158" t="s">
        <v>36</v>
      </c>
      <c r="AE158" s="1">
        <v>44341.671527777798</v>
      </c>
      <c r="AF158" t="s">
        <v>36</v>
      </c>
      <c r="AG158">
        <v>-119.88158639516899</v>
      </c>
      <c r="AH158">
        <v>34.421371764957101</v>
      </c>
    </row>
    <row r="159" spans="1:34">
      <c r="A159" s="2">
        <v>82</v>
      </c>
      <c r="B159" s="3">
        <v>44341</v>
      </c>
      <c r="C159" s="5">
        <f>AC159-(7/24)</f>
        <v>44341.297349537039</v>
      </c>
      <c r="D159" t="s">
        <v>56</v>
      </c>
      <c r="E159" s="4">
        <v>1</v>
      </c>
      <c r="F159" t="s">
        <v>33</v>
      </c>
      <c r="G159" t="s">
        <v>58</v>
      </c>
      <c r="L159" t="s">
        <v>280</v>
      </c>
      <c r="AB159" t="s">
        <v>163</v>
      </c>
      <c r="AC159" s="1">
        <v>44341.589016203703</v>
      </c>
      <c r="AD159" t="s">
        <v>36</v>
      </c>
      <c r="AE159" s="1">
        <v>44341.589016203703</v>
      </c>
      <c r="AF159" t="s">
        <v>36</v>
      </c>
      <c r="AG159">
        <v>-119.874974844983</v>
      </c>
      <c r="AH159">
        <v>34.417541087784102</v>
      </c>
    </row>
    <row r="160" spans="1:34">
      <c r="A160" s="2">
        <v>104</v>
      </c>
      <c r="B160" s="3">
        <v>44341</v>
      </c>
      <c r="C160" s="5">
        <f>AC160-(7/24)</f>
        <v>44341.323368055535</v>
      </c>
      <c r="D160" t="s">
        <v>56</v>
      </c>
      <c r="E160" s="4">
        <v>1</v>
      </c>
      <c r="F160" t="s">
        <v>33</v>
      </c>
      <c r="G160" t="s">
        <v>58</v>
      </c>
      <c r="H160" t="s">
        <v>190</v>
      </c>
      <c r="L160" t="s">
        <v>280</v>
      </c>
      <c r="AB160" t="s">
        <v>191</v>
      </c>
      <c r="AC160" s="1">
        <v>44341.615034722199</v>
      </c>
      <c r="AD160" t="s">
        <v>36</v>
      </c>
      <c r="AE160" s="1">
        <v>44341.615034722199</v>
      </c>
      <c r="AF160" t="s">
        <v>36</v>
      </c>
      <c r="AG160">
        <v>-119.87083046742001</v>
      </c>
      <c r="AH160">
        <v>34.420610933474798</v>
      </c>
    </row>
    <row r="161" spans="1:34">
      <c r="A161" s="2">
        <v>107</v>
      </c>
      <c r="B161" s="3">
        <v>44341</v>
      </c>
      <c r="C161" s="5">
        <f>AC161-(7/24)</f>
        <v>44341.324641203733</v>
      </c>
      <c r="D161" t="s">
        <v>56</v>
      </c>
      <c r="E161" s="4">
        <v>1</v>
      </c>
      <c r="F161" t="s">
        <v>33</v>
      </c>
      <c r="G161" t="s">
        <v>58</v>
      </c>
      <c r="H161" t="s">
        <v>194</v>
      </c>
      <c r="L161" t="s">
        <v>280</v>
      </c>
      <c r="AB161" t="s">
        <v>195</v>
      </c>
      <c r="AC161" s="1">
        <v>44341.616307870398</v>
      </c>
      <c r="AD161" t="s">
        <v>36</v>
      </c>
      <c r="AE161" s="1">
        <v>44341.616307870398</v>
      </c>
      <c r="AF161" t="s">
        <v>36</v>
      </c>
      <c r="AG161">
        <v>-119.870142911274</v>
      </c>
      <c r="AH161">
        <v>34.420748083092903</v>
      </c>
    </row>
    <row r="162" spans="1:34">
      <c r="A162" s="2">
        <v>127</v>
      </c>
      <c r="B162" s="3">
        <v>44341</v>
      </c>
      <c r="C162" s="5">
        <f>AC162-(7/24)</f>
        <v>44341.354814814833</v>
      </c>
      <c r="D162" t="s">
        <v>222</v>
      </c>
      <c r="E162" s="4">
        <v>3</v>
      </c>
      <c r="F162" t="s">
        <v>33</v>
      </c>
      <c r="G162" t="s">
        <v>123</v>
      </c>
      <c r="J162" t="s">
        <v>291</v>
      </c>
      <c r="L162" t="s">
        <v>280</v>
      </c>
      <c r="AB162" t="s">
        <v>223</v>
      </c>
      <c r="AC162" s="1">
        <v>44341.646481481497</v>
      </c>
      <c r="AD162" t="s">
        <v>36</v>
      </c>
      <c r="AE162" s="1">
        <v>44341.646481481497</v>
      </c>
      <c r="AF162" t="s">
        <v>36</v>
      </c>
      <c r="AG162">
        <v>-119.873385006593</v>
      </c>
      <c r="AH162">
        <v>34.421730848969297</v>
      </c>
    </row>
    <row r="163" spans="1:34">
      <c r="A163" s="2">
        <v>131</v>
      </c>
      <c r="B163" s="3">
        <v>44341</v>
      </c>
      <c r="C163" s="5">
        <f>AC163-(7/24)</f>
        <v>44341.357939814836</v>
      </c>
      <c r="D163" t="s">
        <v>222</v>
      </c>
      <c r="E163" s="4">
        <v>1</v>
      </c>
      <c r="F163" t="s">
        <v>33</v>
      </c>
      <c r="G163" t="s">
        <v>213</v>
      </c>
      <c r="L163" t="s">
        <v>280</v>
      </c>
      <c r="AB163" t="s">
        <v>227</v>
      </c>
      <c r="AC163" s="1">
        <v>44341.6496064815</v>
      </c>
      <c r="AD163" t="s">
        <v>36</v>
      </c>
      <c r="AE163" s="1">
        <v>44341.6496064815</v>
      </c>
      <c r="AF163" t="s">
        <v>36</v>
      </c>
      <c r="AG163">
        <v>-119.874491943026</v>
      </c>
      <c r="AH163">
        <v>34.420661885903201</v>
      </c>
    </row>
    <row r="164" spans="1:34">
      <c r="A164" s="2">
        <v>20</v>
      </c>
      <c r="B164" s="3">
        <v>44341</v>
      </c>
      <c r="C164" s="5">
        <f>AC164-(7/24)</f>
        <v>44341.320185185134</v>
      </c>
      <c r="D164" t="s">
        <v>63</v>
      </c>
      <c r="E164" s="4">
        <v>1</v>
      </c>
      <c r="F164" t="s">
        <v>33</v>
      </c>
      <c r="G164" t="s">
        <v>64</v>
      </c>
      <c r="L164" t="s">
        <v>279</v>
      </c>
      <c r="AB164" t="s">
        <v>65</v>
      </c>
      <c r="AC164" s="1">
        <v>44341.611851851798</v>
      </c>
      <c r="AD164" t="s">
        <v>36</v>
      </c>
      <c r="AE164" s="1">
        <v>44341.611851851798</v>
      </c>
      <c r="AF164" t="s">
        <v>36</v>
      </c>
      <c r="AG164">
        <v>-119.88003324756799</v>
      </c>
      <c r="AH164">
        <v>34.418745950521803</v>
      </c>
    </row>
    <row r="165" spans="1:34">
      <c r="A165" s="2">
        <v>40</v>
      </c>
      <c r="B165" s="3">
        <v>44341</v>
      </c>
      <c r="C165" s="5">
        <f>AC165-(7/24)</f>
        <v>44341.347569444435</v>
      </c>
      <c r="D165" t="s">
        <v>63</v>
      </c>
      <c r="E165" s="4">
        <v>1</v>
      </c>
      <c r="F165" t="s">
        <v>33</v>
      </c>
      <c r="G165" t="s">
        <v>40</v>
      </c>
      <c r="L165" t="s">
        <v>279</v>
      </c>
      <c r="AB165" t="s">
        <v>92</v>
      </c>
      <c r="AC165" s="1">
        <v>44341.639236111099</v>
      </c>
      <c r="AD165" t="s">
        <v>36</v>
      </c>
      <c r="AE165" s="1">
        <v>44341.646527777797</v>
      </c>
      <c r="AF165" t="s">
        <v>36</v>
      </c>
      <c r="AG165">
        <v>-119.87976761753499</v>
      </c>
      <c r="AH165">
        <v>34.4201268612549</v>
      </c>
    </row>
    <row r="166" spans="1:34">
      <c r="A166" s="2">
        <v>147</v>
      </c>
      <c r="B166" s="3">
        <v>44341</v>
      </c>
      <c r="C166" s="5">
        <f>AC166-(7/24)</f>
        <v>44341.369826388938</v>
      </c>
      <c r="D166" t="s">
        <v>63</v>
      </c>
      <c r="E166" s="4">
        <v>1</v>
      </c>
      <c r="F166" t="s">
        <v>182</v>
      </c>
      <c r="G166" t="s">
        <v>40</v>
      </c>
      <c r="J166" t="s">
        <v>289</v>
      </c>
      <c r="L166" t="s">
        <v>280</v>
      </c>
      <c r="AB166" t="s">
        <v>247</v>
      </c>
      <c r="AC166" s="1">
        <v>44341.661493055602</v>
      </c>
      <c r="AD166" t="s">
        <v>36</v>
      </c>
      <c r="AE166" s="1">
        <v>44341.661493055602</v>
      </c>
      <c r="AF166" t="s">
        <v>36</v>
      </c>
      <c r="AG166">
        <v>-119.879389682821</v>
      </c>
      <c r="AH166">
        <v>34.418316267246396</v>
      </c>
    </row>
    <row r="167" spans="1:34">
      <c r="B167" s="3">
        <v>44341</v>
      </c>
      <c r="D167" t="s">
        <v>292</v>
      </c>
      <c r="E167" s="4">
        <v>1</v>
      </c>
      <c r="F167" t="s">
        <v>33</v>
      </c>
      <c r="G167" t="s">
        <v>77</v>
      </c>
      <c r="J167" t="s">
        <v>293</v>
      </c>
      <c r="L167" t="s">
        <v>279</v>
      </c>
    </row>
  </sheetData>
  <autoFilter ref="A1:AH166">
    <sortState ref="A2:AH167">
      <sortCondition ref="D1:D167"/>
    </sortState>
  </autoFilter>
  <pageMargins left="0.75" right="0.75" top="0.75" bottom="0.5" header="0.5" footer="0.75"/>
  <pageSetup orientation="portrait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Table</vt:lpstr>
      <vt:lpstr>NCOS Bird Survey Data 20210525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Darwin Richardson</cp:lastModifiedBy>
  <dcterms:created xsi:type="dcterms:W3CDTF">2021-05-25T21:16:46Z</dcterms:created>
  <dcterms:modified xsi:type="dcterms:W3CDTF">2021-07-08T21:21:22Z</dcterms:modified>
</cp:coreProperties>
</file>