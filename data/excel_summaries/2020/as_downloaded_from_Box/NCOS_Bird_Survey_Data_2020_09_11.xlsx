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rydcl\Box\CCBER_Data\NCOS\Bird_Surveys\Excel_Data\"/>
    </mc:Choice>
  </mc:AlternateContent>
  <xr:revisionPtr revIDLastSave="0" documentId="13_ncr:1_{D73FEA3F-84DC-4B62-83E9-E76F28222FE1}" xr6:coauthVersionLast="46" xr6:coauthVersionMax="46" xr10:uidLastSave="{00000000-0000-0000-0000-000000000000}"/>
  <bookViews>
    <workbookView xWindow="18315" yWindow="90" windowWidth="10485" windowHeight="15300" xr2:uid="{00000000-000D-0000-FFFF-FFFF00000000}"/>
  </bookViews>
  <sheets>
    <sheet name="NCOS_Bird_Survey_Data_20200911" sheetId="1" r:id="rId1"/>
    <sheet name="PTable" sheetId="2" r:id="rId2"/>
    <sheet name="Final_Totals" sheetId="3" r:id="rId3"/>
  </sheets>
  <definedNames>
    <definedName name="_xlnm._FilterDatabase" localSheetId="0" hidden="1">NCOS_Bird_Survey_Data_20200911!$A$1:$AF$115</definedName>
  </definedNames>
  <calcPr calcId="191029"/>
  <pivotCaches>
    <pivotCache cacheId="4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1" i="1" l="1"/>
  <c r="C36" i="1"/>
  <c r="C7" i="1"/>
  <c r="C73" i="1"/>
  <c r="C31" i="1"/>
  <c r="C71" i="1"/>
  <c r="C42" i="1"/>
  <c r="C74" i="1"/>
  <c r="C62" i="1"/>
  <c r="C63" i="1"/>
  <c r="C17" i="1"/>
  <c r="C45" i="1"/>
  <c r="C82" i="1"/>
  <c r="C110" i="1"/>
  <c r="C111" i="1"/>
  <c r="C57" i="1"/>
  <c r="C18" i="1"/>
  <c r="C2" i="1"/>
  <c r="C3" i="1"/>
  <c r="C9" i="1"/>
  <c r="C58" i="1"/>
  <c r="C47" i="1"/>
  <c r="C75" i="1"/>
  <c r="C40" i="1"/>
  <c r="C93" i="1"/>
  <c r="C4" i="1"/>
  <c r="C94" i="1"/>
  <c r="C20" i="1"/>
  <c r="C5" i="1"/>
  <c r="C10" i="1"/>
  <c r="C95" i="1"/>
  <c r="C22" i="1"/>
  <c r="C112" i="1"/>
  <c r="C48" i="1"/>
  <c r="C96" i="1"/>
  <c r="C113" i="1"/>
  <c r="C91" i="1"/>
  <c r="C68" i="1"/>
  <c r="C97" i="1"/>
  <c r="C12" i="1"/>
  <c r="C16" i="1"/>
  <c r="C98" i="1"/>
  <c r="C25" i="1"/>
  <c r="C99" i="1"/>
  <c r="C100" i="1"/>
  <c r="C61" i="1"/>
  <c r="C89" i="1"/>
  <c r="C76" i="1"/>
  <c r="C29" i="1"/>
  <c r="C109" i="1"/>
  <c r="C69" i="1"/>
  <c r="C65" i="1"/>
  <c r="C86" i="1"/>
  <c r="C28" i="1"/>
  <c r="C87" i="1"/>
  <c r="C67" i="1"/>
  <c r="C106" i="1"/>
  <c r="C108" i="1"/>
  <c r="C53" i="1"/>
  <c r="C83" i="1"/>
  <c r="C115" i="1"/>
  <c r="C72" i="1"/>
  <c r="C38" i="1"/>
  <c r="C56" i="1"/>
  <c r="C35" i="1"/>
  <c r="C92" i="1"/>
  <c r="C39" i="1"/>
  <c r="C32" i="1"/>
  <c r="C8" i="1"/>
  <c r="C78" i="1"/>
  <c r="C64" i="1"/>
  <c r="C77" i="1"/>
  <c r="C55" i="1"/>
  <c r="C19" i="1"/>
  <c r="C46" i="1"/>
  <c r="C44" i="1"/>
  <c r="C84" i="1"/>
  <c r="C21" i="1"/>
  <c r="C59" i="1"/>
  <c r="C23" i="1"/>
  <c r="C6" i="1"/>
  <c r="C11" i="1"/>
  <c r="C70" i="1"/>
  <c r="C33" i="1"/>
  <c r="C54" i="1"/>
  <c r="C13" i="1"/>
  <c r="C49" i="1"/>
  <c r="C24" i="1"/>
  <c r="C26" i="1"/>
  <c r="C101" i="1"/>
  <c r="C85" i="1"/>
  <c r="C50" i="1"/>
  <c r="C102" i="1"/>
  <c r="C114" i="1"/>
  <c r="C37" i="1"/>
  <c r="C103" i="1"/>
  <c r="C27" i="1"/>
  <c r="C104" i="1"/>
  <c r="C66" i="1"/>
  <c r="C51" i="1"/>
  <c r="C105" i="1"/>
  <c r="C88" i="1"/>
  <c r="C14" i="1"/>
  <c r="C80" i="1"/>
  <c r="C52" i="1"/>
  <c r="C90" i="1"/>
  <c r="C79" i="1"/>
  <c r="C107" i="1"/>
  <c r="C15" i="1"/>
  <c r="C41" i="1"/>
  <c r="C34" i="1"/>
  <c r="C60" i="1"/>
  <c r="C30" i="1"/>
  <c r="C43" i="1"/>
</calcChain>
</file>

<file path=xl/sharedStrings.xml><?xml version="1.0" encoding="utf-8"?>
<sst xmlns="http://schemas.openxmlformats.org/spreadsheetml/2006/main" count="917" uniqueCount="214">
  <si>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</si>
  <si>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</si>
  <si>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</si>
  <si>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</si>
  <si>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</si>
  <si>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</si>
  <si>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</si>
  <si>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</si>
  <si>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</si>
  <si>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</si>
  <si>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</si>
  <si>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</si>
  <si>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</si>
  <si>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</si>
  <si>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</si>
  <si>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</si>
  <si>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</si>
  <si>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</si>
  <si>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</si>
  <si>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</si>
  <si>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</si>
  <si>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</si>
  <si>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</si>
  <si>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</si>
  <si>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</si>
  <si>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</si>
  <si>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</si>
  <si>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</si>
  <si>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</si>
  <si>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</si>
  <si>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Cliff Swallow</t>
  </si>
  <si>
    <t>No</t>
  </si>
  <si>
    <t>Air</t>
  </si>
  <si>
    <t>8</t>
  </si>
  <si>
    <t>Fog</t>
  </si>
  <si>
    <t>None</t>
  </si>
  <si>
    <t>{c5faa819-a6de-49ca-ba4d-40c10e825e82}</t>
  </si>
  <si>
    <t>ccber_user</t>
  </si>
  <si>
    <t>Rock Pigeon (Feral Pigeon)</t>
  </si>
  <si>
    <t>{3f6e0356-fc4c-4729-9bae-d789795b2985}</t>
  </si>
  <si>
    <t>Bushtit</t>
  </si>
  <si>
    <t>Vegetation - Shrub</t>
  </si>
  <si>
    <t>{26839c6d-92ee-4d8d-9dac-9dd9505b3d83}</t>
  </si>
  <si>
    <t>Anna's Hummingbird</t>
  </si>
  <si>
    <t>{34ca6820-4884-4cfb-8522-8b4955e02bd8}</t>
  </si>
  <si>
    <t>Mallard</t>
  </si>
  <si>
    <t>{7a7b337d-1a55-4377-a1d0-6317f40a41a7}</t>
  </si>
  <si>
    <t>Blue-gray Gnatcatcher</t>
  </si>
  <si>
    <t>{af3d5cc7-7277-4e4c-8444-275791ed98f9}</t>
  </si>
  <si>
    <t>Loggerhead Shrike</t>
  </si>
  <si>
    <t>{5097b46c-bca9-49f4-9434-48f1415ea68b}</t>
  </si>
  <si>
    <t>Cassin's Kingbird</t>
  </si>
  <si>
    <t>Fence</t>
  </si>
  <si>
    <t>{bd74006d-4221-47d6-a633-cfc84bf1c801}</t>
  </si>
  <si>
    <t>Water - Floating</t>
  </si>
  <si>
    <t>{a93ea789-2eae-4b63-9f00-61ef6d580a00}</t>
  </si>
  <si>
    <t>House Wren</t>
  </si>
  <si>
    <t>{e40f59ce-47da-47b7-95b4-99e385d2c0b4}</t>
  </si>
  <si>
    <t>{e5d0e528-3f35-41f5-a046-218f59913d28}</t>
  </si>
  <si>
    <t>Black Phoebe</t>
  </si>
  <si>
    <t>{3e8e5425-5697-498f-8b7f-ac1253e99ccc}</t>
  </si>
  <si>
    <t>Common Yellowthroat</t>
  </si>
  <si>
    <t>{9869bad0-a20b-495b-bb84-574f732cc692}</t>
  </si>
  <si>
    <t>Bare ground</t>
  </si>
  <si>
    <t>{68996b70-3572-49d6-9796-f80616135263}</t>
  </si>
  <si>
    <t>Western Bluebird</t>
  </si>
  <si>
    <t>Building</t>
  </si>
  <si>
    <t>{cbb13ff5-f4b3-4377-a67e-823d9c6ddde3}</t>
  </si>
  <si>
    <t>{d0719d83-31de-4304-b652-403411c28253}</t>
  </si>
  <si>
    <t>House Finch</t>
  </si>
  <si>
    <t>Vegetation - Tree</t>
  </si>
  <si>
    <t>{c6a8ca10-59f0-434d-956b-0e4183d95f78}</t>
  </si>
  <si>
    <t>{8acb90fe-7ec8-442d-8570-21e5c75b8c33}</t>
  </si>
  <si>
    <t>American Crow</t>
  </si>
  <si>
    <t>{6af54271-de07-4746-bc2c-105a4fc67b67}</t>
  </si>
  <si>
    <t>{0804c896-d85a-49d6-bf01-89b89cdd1530}</t>
  </si>
  <si>
    <t>{a4abd57c-a727-4f45-81a0-5f517caee765}</t>
  </si>
  <si>
    <t>{716f23ef-a54d-4af1-8c75-b2ea667d2e2c}</t>
  </si>
  <si>
    <t>{0bdbc711-c9ce-4196-a1ea-92aa22f88023}</t>
  </si>
  <si>
    <t>Water - Wading</t>
  </si>
  <si>
    <t>{ee8eb519-ce37-435b-9119-ef935553a992}</t>
  </si>
  <si>
    <t>California Towhee</t>
  </si>
  <si>
    <t>{ac8f0681-0f71-4c0e-a85e-5987c3a1dd7a}</t>
  </si>
  <si>
    <t>Song Sparrow</t>
  </si>
  <si>
    <t>{9ab046a3-3e29-4876-abbb-52ed331ed12d}</t>
  </si>
  <si>
    <t>{5c9397c4-b0fd-4e1c-b67e-db3c755d41b6}</t>
  </si>
  <si>
    <t>{ff3a95c3-6f20-4949-8f06-fcdc4979e19d}</t>
  </si>
  <si>
    <t>{aec5685b-b756-452e-8b40-f66180831622}</t>
  </si>
  <si>
    <t>{0477a312-4efc-4346-8bf2-ce6f09df2b16}</t>
  </si>
  <si>
    <t>{07c1c250-7599-41fb-96f8-680b6778a51a}</t>
  </si>
  <si>
    <t>{bdb6d3e2-b212-49bd-b086-976fa8eab3d5}</t>
  </si>
  <si>
    <t>{28843997-54f4-4b6b-9d8b-77f5ce9d0826}</t>
  </si>
  <si>
    <t>Western Sandpiper</t>
  </si>
  <si>
    <t>{f3ddc985-636f-4e45-b20c-aa64ca55055a}</t>
  </si>
  <si>
    <t>{249952a3-7eb7-4baa-b75f-87ae5a4ded3f}</t>
  </si>
  <si>
    <t>{62ee8d2f-10b3-4baf-8174-11f1cc86016c}</t>
  </si>
  <si>
    <t>{eeed84b2-ea4b-4cb1-9f3b-6f7081df3be3}</t>
  </si>
  <si>
    <t>Semipalmated Plover</t>
  </si>
  <si>
    <t>{36e44aff-2c1d-4054-b607-69c2ab4301da}</t>
  </si>
  <si>
    <t>Killdeer</t>
  </si>
  <si>
    <t>{213579c2-4c0e-4de9-b145-76fd1644e4d0}</t>
  </si>
  <si>
    <t>{84094689-bfe6-4b7c-9179-73f14c9fb4db}</t>
  </si>
  <si>
    <t>{3dea1a6a-c453-4dda-bc73-1ad0324e1deb}</t>
  </si>
  <si>
    <t>Bewick's Wren</t>
  </si>
  <si>
    <t>{c1b74e72-33fb-4f1e-9c4c-bfb5acd8db02}</t>
  </si>
  <si>
    <t>{889e4434-bdf2-4803-86b7-3ded84f4d08c}</t>
  </si>
  <si>
    <t>{db28a853-f309-42bc-9691-4a3996f1931d}</t>
  </si>
  <si>
    <t>{f7869ac9-bf6b-4e91-9c93-9dd0f11c9fca}</t>
  </si>
  <si>
    <t>{71f14ae0-7416-4c34-939c-d55fde3339ee}</t>
  </si>
  <si>
    <t>House Sparrow</t>
  </si>
  <si>
    <t>{bf1fcf07-0563-49c4-b50e-0738e9d6f3b4}</t>
  </si>
  <si>
    <t>Scaly-breasted Munia</t>
  </si>
  <si>
    <t>Vegetation - Herbaceous</t>
  </si>
  <si>
    <t>{a1339fc8-18db-4556-b751-a3384e09c6e0}</t>
  </si>
  <si>
    <t>{7ccf9524-6d2f-4183-911a-721846fc0154}</t>
  </si>
  <si>
    <t>Black-crowned Night-Heron</t>
  </si>
  <si>
    <t>{292299c2-9444-47be-ac8e-92523bfb3b47}</t>
  </si>
  <si>
    <t>Virginia Rail</t>
  </si>
  <si>
    <t>{31765d69-3582-4a40-846a-6c24a34287ec}</t>
  </si>
  <si>
    <t>{df568959-0fcd-40d8-9f20-b869c5052c7f}</t>
  </si>
  <si>
    <t>{77524e3e-2034-4ca2-b138-74d00c2b5191}</t>
  </si>
  <si>
    <t>Say's Phoebe</t>
  </si>
  <si>
    <t>{0b46ad81-93c2-4069-9a92-692ab57741f9}</t>
  </si>
  <si>
    <t>{4b662418-a41f-4232-b659-1d8f9bd10b0e}</t>
  </si>
  <si>
    <t>{45fb20c6-86fd-4c5c-bf72-59933adeb719}</t>
  </si>
  <si>
    <t>{8d957788-f8d8-4219-8868-3940f1dc86bb}</t>
  </si>
  <si>
    <t>{50071f9c-98da-4757-88b1-f57ed8dc677d}</t>
  </si>
  <si>
    <t>{1704a2fc-a8de-4567-bbbd-f403090c46d8}</t>
  </si>
  <si>
    <t>{b119ef7d-d908-4756-a99a-a0d5d6944a37}</t>
  </si>
  <si>
    <t>Bridge</t>
  </si>
  <si>
    <t>{5cc5a388-6a9c-4199-9d78-f0ad608bb0a3}</t>
  </si>
  <si>
    <t>Wrentit</t>
  </si>
  <si>
    <t>{a72d3853-0a9c-413b-8fb5-f6fbf64a5f1e}</t>
  </si>
  <si>
    <t>Medium</t>
  </si>
  <si>
    <t>{fc5f5f94-f7ef-4c62-9c6b-d29caed7445f}</t>
  </si>
  <si>
    <t>{bc846c7a-7571-4d37-854e-84fb880bab7f}</t>
  </si>
  <si>
    <t>clark@ccber.ucsb.edu_ucsb</t>
  </si>
  <si>
    <t>{0ab0bc37-e0fe-439a-8b4e-680dedeee62e}</t>
  </si>
  <si>
    <t>{05e8dab9-148b-4615-92a8-182d7e98437e}</t>
  </si>
  <si>
    <t>{29a14aef-128c-468e-9b6d-dd023d1c1be3}</t>
  </si>
  <si>
    <t>{6d93f9a2-29dd-4084-b0d2-f43f46a330f9}</t>
  </si>
  <si>
    <t>{a4bb85a6-f09b-49f8-9633-2a31b61f3a96}</t>
  </si>
  <si>
    <t>{e0225877-a35a-41c1-b1f7-0944f9667ae6}</t>
  </si>
  <si>
    <t>Oak Titmouse</t>
  </si>
  <si>
    <t>{0fb3a6bd-1a92-4524-8abf-144d665d32a7}</t>
  </si>
  <si>
    <t>{d1b1ca3c-5d18-4835-869c-379cc057ab9b}</t>
  </si>
  <si>
    <t>Nuttall's Woodpecker</t>
  </si>
  <si>
    <t>{56fbf1e0-dce7-40e3-9d2e-8c207c4c7e91}</t>
  </si>
  <si>
    <t>Downy Woodpecker</t>
  </si>
  <si>
    <t>{a5ee8c61-ec5c-4062-82ac-1aa6f007b47e}</t>
  </si>
  <si>
    <t>{f33d9471-78f5-4560-b1b9-578c8d8b22b4}</t>
  </si>
  <si>
    <t>{6554c418-db51-4ea6-b22d-8e2875078e63}</t>
  </si>
  <si>
    <t>{f8bcccad-dd9f-45ba-902c-ac8812d79e53}</t>
  </si>
  <si>
    <t>Habitat Feature - Snag</t>
  </si>
  <si>
    <t>{ccc9708b-71e4-41bc-ae71-0e5913636096}</t>
  </si>
  <si>
    <t>{0ba03838-5059-4b8c-a459-f949f7d225d1}</t>
  </si>
  <si>
    <t>{ec679121-082a-42eb-8b42-e41f6274394b}</t>
  </si>
  <si>
    <t>{239347e6-21ba-4937-b553-c92bda878b52}</t>
  </si>
  <si>
    <t>{5d3356e5-089a-4735-bf79-e7718d424bf6}</t>
  </si>
  <si>
    <t>{9e084e20-5859-4c20-8c4b-59f94e377484}</t>
  </si>
  <si>
    <t>Lark Sparrow</t>
  </si>
  <si>
    <t>{9854c7a9-8ca3-49a2-9cba-553249f57232}</t>
  </si>
  <si>
    <t>{911cb29d-8845-4cd4-b426-f863fa905b88}</t>
  </si>
  <si>
    <t>Cooper's Hawk</t>
  </si>
  <si>
    <t>{41aacede-fe6b-4d02-8c1d-8e2f26f3408c}</t>
  </si>
  <si>
    <t>{95b5a8e4-db7b-48a4-a7af-b8953949799d}</t>
  </si>
  <si>
    <t>{efa6c997-b065-44bf-977f-15e4775a58d5}</t>
  </si>
  <si>
    <t>{30de3e26-5e43-4225-b069-3371856a00bd}</t>
  </si>
  <si>
    <t>{d24e1692-d0f5-44b8-a4c6-5a9ae3f65705}</t>
  </si>
  <si>
    <t>{a44e7e42-f10c-49c2-b040-58e770c5ee15}</t>
  </si>
  <si>
    <t>Habitat Feature - Log</t>
  </si>
  <si>
    <t>{a71249ca-6f36-4141-a4c8-96a13f4543bf}</t>
  </si>
  <si>
    <t>{8076de5d-e126-4df4-a24a-bd1eea88cc0d}</t>
  </si>
  <si>
    <t>{da523b5b-a046-483c-883d-e8bb28a4ce48}</t>
  </si>
  <si>
    <t>Western Tanager</t>
  </si>
  <si>
    <t>{3a833826-5961-4993-9b6a-eb5457f7c94d}</t>
  </si>
  <si>
    <t>{9cf91737-da86-4075-b94f-09577d5ee1b4}</t>
  </si>
  <si>
    <t>{0996c965-4bb7-44b9-8f59-5759731a1318}</t>
  </si>
  <si>
    <t>{d1a94903-f695-4773-a27e-e5b2c6966f6c}</t>
  </si>
  <si>
    <t>{778ac1fd-13f3-4c00-8579-299916e4a4dc}</t>
  </si>
  <si>
    <t>{4a01679b-7414-4857-8c9b-b08f1c30eb09}</t>
  </si>
  <si>
    <t>{8a3033e2-0f5e-45ee-a64c-bd3b41cf4545}</t>
  </si>
  <si>
    <t>{3d4f1826-27d3-4ccc-8d9a-cba151104cec}</t>
  </si>
  <si>
    <t>{3b615f37-0a5f-4bff-ac36-bad0044a5678}</t>
  </si>
  <si>
    <t>{b90fc1b1-2f37-4271-90db-8055cba06b72}</t>
  </si>
  <si>
    <t>Red-shouldered Hawk</t>
  </si>
  <si>
    <t>{918c90f4-d77a-4b86-8b83-dfda9f6c0a08}</t>
  </si>
  <si>
    <t>{8db1a155-7ede-4085-aa9d-312202b5a8d3}</t>
  </si>
  <si>
    <t>{e38f1453-7e6d-4f30-8a24-cbc3c947db98}</t>
  </si>
  <si>
    <t>Orange-crowned Warbler</t>
  </si>
  <si>
    <t>{8b28502e-df24-4eda-9d5e-aa1f6008fd7a}</t>
  </si>
  <si>
    <t>{a566b2dd-2efa-4417-8b1b-03c17a42417a}</t>
  </si>
  <si>
    <t>{6c91b9ff-e9aa-46a3-a08f-6d393bd28f6f}</t>
  </si>
  <si>
    <t>{d9731f62-becc-485d-9086-8549bebaee03}</t>
  </si>
  <si>
    <t>{42e7c175-f605-41d8-a336-92675ca8dde0}</t>
  </si>
  <si>
    <t>{b48386d2-5a7f-4a95-ba44-46817ef92a7b}</t>
  </si>
  <si>
    <t>Flyover</t>
  </si>
  <si>
    <t>{e5ffa497-28ec-4705-a98b-902efac590eb}</t>
  </si>
  <si>
    <t>Date</t>
  </si>
  <si>
    <t>Time</t>
  </si>
  <si>
    <t>Row Labels</t>
  </si>
  <si>
    <t>Grand Total</t>
  </si>
  <si>
    <t>Sum of Count</t>
  </si>
  <si>
    <t>Column Labels</t>
  </si>
  <si>
    <t>No Total</t>
  </si>
  <si>
    <t>TRUE TOTAL</t>
  </si>
  <si>
    <t>EAST/NORTH: Beau &amp; Lisa</t>
  </si>
  <si>
    <t>WEST/SOUTH: Steven &amp; Darwin</t>
  </si>
  <si>
    <t>Yes</t>
  </si>
  <si>
    <t>Changed Repeat Observation from "No" to "Yes" following survey review.</t>
  </si>
  <si>
    <t>Yes Total</t>
  </si>
  <si>
    <t>REPEATS</t>
  </si>
  <si>
    <t>SPECIES</t>
  </si>
  <si>
    <t>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</si>
</sst>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1" fillId="2" borderId="1">
      <alignment horizontal="left"/>
    </xf>
  </cellStyleXfs>
  <cellXfs count="37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  <xf numFmtId="0" fontId="1" fillId="2" borderId="1" xfId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2" fillId="3" borderId="3" xfId="0" applyNumberFormat="1" applyFont="1" applyFill="1" applyBorder="1" applyAlignment="1">
      <alignment horizontal="center"/>
    </xf>
    <xf numFmtId="0" fontId="2" fillId="3" borderId="6" xfId="0" applyNumberFormat="1" applyFont="1" applyFill="1" applyBorder="1" applyAlignment="1">
      <alignment horizontal="center"/>
    </xf>
    <xf numFmtId="0" fontId="2" fillId="3" borderId="9" xfId="0" applyNumberFormat="1" applyFont="1" applyFill="1" applyBorder="1" applyAlignment="1">
      <alignment horizontal="center"/>
    </xf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4" borderId="3" xfId="0" applyNumberFormat="1" applyFill="1" applyBorder="1" applyAlignment="1">
      <alignment horizontal="center"/>
    </xf>
    <xf numFmtId="0" fontId="2" fillId="4" borderId="4" xfId="0" applyNumberFormat="1" applyFont="1" applyFill="1" applyBorder="1" applyAlignment="1">
      <alignment horizontal="center"/>
    </xf>
    <xf numFmtId="0" fontId="0" fillId="4" borderId="6" xfId="0" applyNumberFormat="1" applyFill="1" applyBorder="1" applyAlignment="1">
      <alignment horizontal="center"/>
    </xf>
    <xf numFmtId="0" fontId="2" fillId="4" borderId="7" xfId="0" applyNumberFormat="1" applyFont="1" applyFill="1" applyBorder="1" applyAlignment="1">
      <alignment horizontal="center"/>
    </xf>
    <xf numFmtId="0" fontId="0" fillId="4" borderId="9" xfId="0" applyNumberFormat="1" applyFill="1" applyBorder="1" applyAlignment="1">
      <alignment horizontal="center"/>
    </xf>
    <xf numFmtId="0" fontId="2" fillId="4" borderId="10" xfId="0" applyNumberFormat="1" applyFont="1" applyFill="1" applyBorder="1" applyAlignment="1">
      <alignment horizontal="center"/>
    </xf>
    <xf numFmtId="0" fontId="0" fillId="4" borderId="0" xfId="0" applyNumberFormat="1" applyFill="1" applyAlignment="1">
      <alignment horizontal="center"/>
    </xf>
    <xf numFmtId="0" fontId="2" fillId="4" borderId="0" xfId="0" applyNumberFormat="1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</cellXfs>
  <cellStyles count="2">
    <cellStyle name="Normal" xfId="0" builtinId="0"/>
    <cellStyle name="Style0" xfId="1" xr:uid="{00000000-0005-0000-0000-000001000000}"/>
  </cellStyles>
  <dxfs count="1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border>
        <vertical style="thin">
          <color auto="1"/>
        </vertical>
        <horizontal style="hair">
          <color auto="1"/>
        </horizontal>
      </border>
    </dxf>
    <dxf>
      <border>
        <vertical style="thin">
          <color auto="1"/>
        </vertical>
        <horizontal style="hair">
          <color auto="1"/>
        </horizontal>
      </border>
    </dxf>
    <dxf>
      <alignment horizontal="center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Clark" refreshedDate="44085.578359606479" createdVersion="6" refreshedVersion="6" minRefreshableVersion="3" recordCount="114" xr:uid="{874897B9-B0B5-426A-82F5-953E826FE1E5}">
  <cacheSource type="worksheet">
    <worksheetSource ref="A1:AF115" sheet="NCOS_Bird_Survey_Data_20200911"/>
  </cacheSource>
  <cacheFields count="32">
    <cacheField name="OBJECTID" numFmtId="0">
      <sharedItems containsSemiMixedTypes="0" containsString="0" containsNumber="1" containsInteger="1" minValue="1" maxValue="114"/>
    </cacheField>
    <cacheField name="Date" numFmtId="14">
      <sharedItems containsSemiMixedTypes="0" containsNonDate="0" containsDate="1" containsString="0" minDate="2020-09-11T00:00:00" maxDate="2020-09-12T00:00:00"/>
    </cacheField>
    <cacheField name="Time" numFmtId="165">
      <sharedItems containsSemiMixedTypes="0" containsNonDate="0" containsDate="1" containsString="0" minDate="2020-09-11T08:10:30" maxDate="2020-09-11T10:33:06"/>
    </cacheField>
    <cacheField name="Species" numFmtId="0">
      <sharedItems count="34">
        <s v="American Crow"/>
        <s v="Anna's Hummingbird"/>
        <s v="Bewick's Wren"/>
        <s v="Black Phoebe"/>
        <s v="Black-crowned Night-Heron"/>
        <s v="Blue-gray Gnatcatcher"/>
        <s v="Bushtit"/>
        <s v="California Towhee"/>
        <s v="Cassin's Kingbird"/>
        <s v="Cliff Swallow"/>
        <s v="Common Yellowthroat"/>
        <s v="Cooper's Hawk"/>
        <s v="Downy Woodpecker"/>
        <s v="House Finch"/>
        <s v="House Sparrow"/>
        <s v="House Wren"/>
        <s v="Killdeer"/>
        <s v="Lark Sparrow"/>
        <s v="Loggerhead Shrike"/>
        <s v="Mallard"/>
        <s v="Nuttall's Woodpecker"/>
        <s v="Oak Titmouse"/>
        <s v="Orange-crowned Warbler"/>
        <s v="Red-shouldered Hawk"/>
        <s v="Rock Pigeon (Feral Pigeon)"/>
        <s v="Say's Phoebe"/>
        <s v="Scaly-breasted Munia"/>
        <s v="Semipalmated Plover"/>
        <s v="Song Sparrow"/>
        <s v="Virginia Rail"/>
        <s v="Western Bluebird"/>
        <s v="Western Sandpiper"/>
        <s v="Western Tanager"/>
        <s v="Wrentit"/>
      </sharedItems>
    </cacheField>
    <cacheField name="Count" numFmtId="0">
      <sharedItems containsSemiMixedTypes="0" containsString="0" containsNumber="1" containsInteger="1" minValue="1" maxValue="19"/>
    </cacheField>
    <cacheField name="Repeat Observation" numFmtId="0">
      <sharedItems count="2">
        <s v="No"/>
        <s v="Yes"/>
      </sharedItems>
    </cacheField>
    <cacheField name="Substrate" numFmtId="0">
      <sharedItems containsBlank="1"/>
    </cacheField>
    <cacheField name="Sex" numFmtId="0">
      <sharedItems containsNonDate="0" containsString="0" containsBlank="1"/>
    </cacheField>
    <cacheField name="Breeding Activity" numFmtId="0">
      <sharedItems containsNonDate="0" containsString="0" containsBlank="1"/>
    </cacheField>
    <cacheField name="Observation Notes" numFmtId="0">
      <sharedItems containsBlank="1"/>
    </cacheField>
    <cacheField name="Water Level" numFmtId="0">
      <sharedItems containsString="0" containsBlank="1" containsNumber="1" minValue="4.4000000000000004" maxValue="4.4000000000000004"/>
    </cacheField>
    <cacheField name="Observers" numFmtId="0">
      <sharedItems count="6">
        <s v="EAST/NORTH: Beau &amp; Lisa"/>
        <s v="WEST/SOUTH: Steven &amp; Darwin"/>
        <s v="EAST&amp;NORTH: Beau &amp; Lisa" u="1"/>
        <s v="Steven &amp; Darwin" u="1"/>
        <s v="Beau &amp; Lisa" u="1"/>
        <s v="WEST&amp;SOUTH: Steven &amp; Darwin" u="1"/>
      </sharedItems>
    </cacheField>
    <cacheField name="Starting Time" numFmtId="0">
      <sharedItems containsBlank="1"/>
    </cacheField>
    <cacheField name="Ending Time" numFmtId="0">
      <sharedItems containsNonDate="0" containsString="0" containsBlank="1"/>
    </cacheField>
    <cacheField name="Starting Temp (F)" numFmtId="0">
      <sharedItems containsString="0" containsBlank="1" containsNumber="1" containsInteger="1" minValue="60" maxValue="60"/>
    </cacheField>
    <cacheField name="Starting % Cloud Cover" numFmtId="0">
      <sharedItems containsString="0" containsBlank="1" containsNumber="1" containsInteger="1" minValue="100" maxValue="100"/>
    </cacheField>
    <cacheField name="Starting Cloud Height" numFmtId="0">
      <sharedItems containsBlank="1"/>
    </cacheField>
    <cacheField name="Starting Wind Speed" numFmtId="0">
      <sharedItems containsBlank="1"/>
    </cacheField>
    <cacheField name="Starting Wind Direction" numFmtId="0">
      <sharedItems containsNonDate="0" containsString="0" containsBlank="1"/>
    </cacheField>
    <cacheField name="Starting Rain" numFmtId="0">
      <sharedItems containsNonDate="0" containsString="0" containsBlank="1"/>
    </cacheField>
    <cacheField name="Ending Temp (F)" numFmtId="0">
      <sharedItems containsString="0" containsBlank="1" containsNumber="1" containsInteger="1" minValue="66" maxValue="66"/>
    </cacheField>
    <cacheField name="Ending % Cloud Cover" numFmtId="0">
      <sharedItems containsString="0" containsBlank="1" containsNumber="1" containsInteger="1" minValue="80" maxValue="80"/>
    </cacheField>
    <cacheField name="Ending Cloud Height" numFmtId="0">
      <sharedItems containsBlank="1"/>
    </cacheField>
    <cacheField name="Ending Wind Speed" numFmtId="0">
      <sharedItems containsBlank="1"/>
    </cacheField>
    <cacheField name="Ending Wind Direction" numFmtId="0">
      <sharedItems containsNonDate="0" containsString="0" containsBlank="1"/>
    </cacheField>
    <cacheField name="Ending Rain" numFmtId="0">
      <sharedItems containsNonDate="0" containsString="0" containsBlank="1"/>
    </cacheField>
    <cacheField name="Weather Note" numFmtId="0">
      <sharedItems containsNonDate="0" containsString="0" containsBlank="1"/>
    </cacheField>
    <cacheField name="GlobalID" numFmtId="0">
      <sharedItems/>
    </cacheField>
    <cacheField name="CreationDate" numFmtId="164">
      <sharedItems containsSemiMixedTypes="0" containsNonDate="0" containsDate="1" containsString="0" minDate="2020-09-11T15:10:30" maxDate="2020-09-11T17:33:06"/>
    </cacheField>
    <cacheField name="Creator" numFmtId="0">
      <sharedItems/>
    </cacheField>
    <cacheField name="EditDate" numFmtId="164">
      <sharedItems containsSemiMixedTypes="0" containsNonDate="0" containsDate="1" containsString="0" minDate="2020-09-11T15:10:30" maxDate="2020-09-11T17:33:06"/>
    </cacheField>
    <cacheField name="Edit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n v="19"/>
    <d v="2020-09-11T00:00:00"/>
    <d v="2020-09-11T08:38:08"/>
    <x v="0"/>
    <n v="1"/>
    <x v="0"/>
    <s v="Bare ground"/>
    <m/>
    <m/>
    <m/>
    <m/>
    <x v="0"/>
    <m/>
    <m/>
    <m/>
    <m/>
    <m/>
    <m/>
    <m/>
    <m/>
    <m/>
    <m/>
    <m/>
    <m/>
    <m/>
    <m/>
    <m/>
    <s v="{6af54271-de07-4746-bc2c-105a4fc67b67}"/>
    <d v="2020-09-11T15:38:08"/>
    <s v="ccber_user"/>
    <d v="2020-09-11T15:38:08"/>
    <s v="ccber_user"/>
  </r>
  <r>
    <n v="20"/>
    <d v="2020-09-11T00:00:00"/>
    <d v="2020-09-11T08:39:46"/>
    <x v="0"/>
    <n v="3"/>
    <x v="0"/>
    <s v="Vegetation - Tree"/>
    <m/>
    <m/>
    <m/>
    <m/>
    <x v="0"/>
    <m/>
    <m/>
    <m/>
    <m/>
    <m/>
    <m/>
    <m/>
    <m/>
    <m/>
    <m/>
    <m/>
    <m/>
    <m/>
    <m/>
    <m/>
    <s v="{0804c896-d85a-49d6-bf01-89b89cdd1530}"/>
    <d v="2020-09-11T15:39:46"/>
    <s v="ccber_user"/>
    <d v="2020-09-11T15:39:46"/>
    <s v="ccber_user"/>
  </r>
  <r>
    <n v="27"/>
    <d v="2020-09-11T00:00:00"/>
    <d v="2020-09-11T08:53:05"/>
    <x v="0"/>
    <n v="1"/>
    <x v="0"/>
    <s v="Air"/>
    <m/>
    <m/>
    <m/>
    <m/>
    <x v="0"/>
    <m/>
    <m/>
    <m/>
    <m/>
    <m/>
    <m/>
    <m/>
    <m/>
    <m/>
    <m/>
    <m/>
    <m/>
    <m/>
    <m/>
    <m/>
    <s v="{5c9397c4-b0fd-4e1c-b67e-db3c755d41b6}"/>
    <d v="2020-09-11T15:53:05"/>
    <s v="ccber_user"/>
    <d v="2020-09-11T15:53:05"/>
    <s v="ccber_user"/>
  </r>
  <r>
    <n v="30"/>
    <d v="2020-09-11T00:00:00"/>
    <d v="2020-09-11T08:57:47"/>
    <x v="0"/>
    <n v="3"/>
    <x v="0"/>
    <m/>
    <m/>
    <m/>
    <m/>
    <m/>
    <x v="0"/>
    <m/>
    <m/>
    <m/>
    <m/>
    <m/>
    <m/>
    <m/>
    <m/>
    <m/>
    <m/>
    <m/>
    <m/>
    <m/>
    <m/>
    <m/>
    <s v="{0477a312-4efc-4346-8bf2-ce6f09df2b16}"/>
    <d v="2020-09-11T15:57:47"/>
    <s v="ccber_user"/>
    <d v="2020-09-11T15:58:33"/>
    <s v="ccber_user"/>
  </r>
  <r>
    <n v="82"/>
    <d v="2020-09-11T00:00:00"/>
    <d v="2020-09-11T09:08:54"/>
    <x v="0"/>
    <n v="1"/>
    <x v="0"/>
    <s v="Vegetation - Tree"/>
    <m/>
    <m/>
    <m/>
    <m/>
    <x v="1"/>
    <m/>
    <m/>
    <m/>
    <m/>
    <m/>
    <m/>
    <m/>
    <m/>
    <m/>
    <m/>
    <m/>
    <m/>
    <m/>
    <m/>
    <m/>
    <s v="{5d3356e5-089a-4735-bf79-e7718d424bf6}"/>
    <d v="2020-09-11T16:08:54"/>
    <s v="clark@ccber.ucsb.edu_ucsb"/>
    <d v="2020-09-11T16:08:54"/>
    <s v="clark@ccber.ucsb.edu_ucsb"/>
  </r>
  <r>
    <n v="4"/>
    <d v="2020-09-11T00:00:00"/>
    <d v="2020-09-11T08:17:14"/>
    <x v="1"/>
    <n v="1"/>
    <x v="0"/>
    <s v="Air"/>
    <m/>
    <m/>
    <m/>
    <m/>
    <x v="0"/>
    <m/>
    <m/>
    <m/>
    <m/>
    <m/>
    <m/>
    <m/>
    <m/>
    <m/>
    <m/>
    <m/>
    <m/>
    <m/>
    <m/>
    <m/>
    <s v="{34ca6820-4884-4cfb-8522-8b4955e02bd8}"/>
    <d v="2020-09-11T15:17:14"/>
    <s v="ccber_user"/>
    <d v="2020-09-11T15:17:14"/>
    <s v="ccber_user"/>
  </r>
  <r>
    <n v="70"/>
    <d v="2020-09-11T00:00:00"/>
    <d v="2020-09-11T08:21:34"/>
    <x v="1"/>
    <n v="2"/>
    <x v="0"/>
    <s v="Vegetation - Tree"/>
    <m/>
    <m/>
    <m/>
    <m/>
    <x v="1"/>
    <m/>
    <m/>
    <m/>
    <m/>
    <m/>
    <m/>
    <m/>
    <m/>
    <m/>
    <m/>
    <m/>
    <m/>
    <m/>
    <m/>
    <m/>
    <s v="{e0225877-a35a-41c1-b1f7-0944f9667ae6}"/>
    <d v="2020-09-11T15:21:34"/>
    <s v="clark@ccber.ucsb.edu_ucsb"/>
    <d v="2020-09-11T15:21:34"/>
    <s v="clark@ccber.ucsb.edu_ucsb"/>
  </r>
  <r>
    <n v="21"/>
    <d v="2020-09-11T00:00:00"/>
    <d v="2020-09-11T08:40:00"/>
    <x v="1"/>
    <n v="1"/>
    <x v="0"/>
    <s v="Air"/>
    <m/>
    <m/>
    <m/>
    <m/>
    <x v="0"/>
    <m/>
    <m/>
    <m/>
    <m/>
    <m/>
    <m/>
    <m/>
    <m/>
    <m/>
    <m/>
    <m/>
    <m/>
    <m/>
    <m/>
    <m/>
    <s v="{a4abd57c-a727-4f45-81a0-5f517caee765}"/>
    <d v="2020-09-11T15:40:00"/>
    <s v="ccber_user"/>
    <d v="2020-09-11T15:40:00"/>
    <s v="ccber_user"/>
  </r>
  <r>
    <n v="31"/>
    <d v="2020-09-11T00:00:00"/>
    <d v="2020-09-11T08:58:58"/>
    <x v="1"/>
    <n v="1"/>
    <x v="0"/>
    <s v="Vegetation - Tree"/>
    <m/>
    <m/>
    <m/>
    <m/>
    <x v="0"/>
    <m/>
    <m/>
    <m/>
    <m/>
    <m/>
    <m/>
    <m/>
    <m/>
    <m/>
    <m/>
    <m/>
    <m/>
    <m/>
    <m/>
    <m/>
    <s v="{07c1c250-7599-41fb-96f8-680b6778a51a}"/>
    <d v="2020-09-11T15:58:58"/>
    <s v="ccber_user"/>
    <d v="2020-09-11T15:58:58"/>
    <s v="ccber_user"/>
  </r>
  <r>
    <n v="83"/>
    <d v="2020-09-11T00:00:00"/>
    <d v="2020-09-11T09:09:26"/>
    <x v="1"/>
    <n v="1"/>
    <x v="0"/>
    <s v="Air"/>
    <m/>
    <m/>
    <m/>
    <m/>
    <x v="1"/>
    <m/>
    <m/>
    <m/>
    <m/>
    <m/>
    <m/>
    <m/>
    <m/>
    <m/>
    <m/>
    <m/>
    <m/>
    <m/>
    <m/>
    <m/>
    <s v="{9e084e20-5859-4c20-8c4b-59f94e377484}"/>
    <d v="2020-09-11T16:09:26"/>
    <s v="clark@ccber.ucsb.edu_ucsb"/>
    <d v="2020-09-11T16:09:26"/>
    <s v="clark@ccber.ucsb.edu_ucsb"/>
  </r>
  <r>
    <n v="41"/>
    <d v="2020-09-11T00:00:00"/>
    <d v="2020-09-11T09:11:24"/>
    <x v="1"/>
    <n v="3"/>
    <x v="0"/>
    <s v="Air"/>
    <m/>
    <m/>
    <m/>
    <m/>
    <x v="0"/>
    <m/>
    <m/>
    <m/>
    <m/>
    <m/>
    <m/>
    <m/>
    <m/>
    <m/>
    <m/>
    <m/>
    <m/>
    <m/>
    <m/>
    <m/>
    <s v="{3dea1a6a-c453-4dda-bc73-1ad0324e1deb}"/>
    <d v="2020-09-11T16:11:24"/>
    <s v="ccber_user"/>
    <d v="2020-09-11T16:11:24"/>
    <s v="ccber_user"/>
  </r>
  <r>
    <n v="87"/>
    <d v="2020-09-11T00:00:00"/>
    <d v="2020-09-11T09:16:22"/>
    <x v="1"/>
    <n v="1"/>
    <x v="0"/>
    <s v="Vegetation - Tree"/>
    <m/>
    <m/>
    <m/>
    <m/>
    <x v="1"/>
    <m/>
    <m/>
    <m/>
    <m/>
    <m/>
    <m/>
    <m/>
    <m/>
    <m/>
    <m/>
    <m/>
    <m/>
    <m/>
    <m/>
    <m/>
    <s v="{95b5a8e4-db7b-48a4-a7af-b8953949799d}"/>
    <d v="2020-09-11T16:16:22"/>
    <s v="clark@ccber.ucsb.edu_ucsb"/>
    <d v="2020-09-11T16:16:22"/>
    <s v="clark@ccber.ucsb.edu_ucsb"/>
  </r>
  <r>
    <n v="104"/>
    <d v="2020-09-11T00:00:00"/>
    <d v="2020-09-11T09:41:13"/>
    <x v="1"/>
    <n v="2"/>
    <x v="0"/>
    <s v="Vegetation - Shrub"/>
    <m/>
    <m/>
    <m/>
    <m/>
    <x v="1"/>
    <m/>
    <m/>
    <m/>
    <m/>
    <m/>
    <m/>
    <m/>
    <m/>
    <m/>
    <m/>
    <m/>
    <m/>
    <m/>
    <m/>
    <m/>
    <s v="{b90fc1b1-2f37-4271-90db-8055cba06b72}"/>
    <d v="2020-09-11T16:41:13"/>
    <s v="clark@ccber.ucsb.edu_ucsb"/>
    <d v="2020-09-11T16:41:13"/>
    <s v="clark@ccber.ucsb.edu_ucsb"/>
  </r>
  <r>
    <n v="110"/>
    <d v="2020-09-11T00:00:00"/>
    <d v="2020-09-11T09:45:46"/>
    <x v="1"/>
    <n v="2"/>
    <x v="0"/>
    <s v="Vegetation - Tree"/>
    <m/>
    <m/>
    <m/>
    <m/>
    <x v="1"/>
    <m/>
    <m/>
    <m/>
    <m/>
    <m/>
    <m/>
    <m/>
    <m/>
    <m/>
    <m/>
    <m/>
    <m/>
    <m/>
    <m/>
    <m/>
    <s v="{6c91b9ff-e9aa-46a3-a08f-6d393bd28f6f}"/>
    <d v="2020-09-11T16:45:46"/>
    <s v="clark@ccber.ucsb.edu_ucsb"/>
    <d v="2020-09-11T16:45:46"/>
    <s v="clark@ccber.ucsb.edu_ucsb"/>
  </r>
  <r>
    <n v="42"/>
    <d v="2020-09-11T00:00:00"/>
    <d v="2020-09-11T09:13:32"/>
    <x v="2"/>
    <n v="1"/>
    <x v="0"/>
    <s v="Vegetation - Shrub"/>
    <m/>
    <m/>
    <m/>
    <m/>
    <x v="0"/>
    <m/>
    <m/>
    <m/>
    <m/>
    <m/>
    <m/>
    <m/>
    <m/>
    <m/>
    <m/>
    <m/>
    <m/>
    <m/>
    <m/>
    <m/>
    <s v="{c1b74e72-33fb-4f1e-9c4c-bfb5acd8db02}"/>
    <d v="2020-09-11T16:13:32"/>
    <s v="ccber_user"/>
    <d v="2020-09-11T16:13:32"/>
    <s v="ccber_user"/>
  </r>
  <r>
    <n v="12"/>
    <d v="2020-09-11T00:00:00"/>
    <d v="2020-09-11T08:32:47"/>
    <x v="3"/>
    <n v="1"/>
    <x v="0"/>
    <s v="Fence"/>
    <m/>
    <m/>
    <m/>
    <m/>
    <x v="0"/>
    <m/>
    <m/>
    <m/>
    <m/>
    <m/>
    <m/>
    <m/>
    <m/>
    <m/>
    <m/>
    <m/>
    <m/>
    <m/>
    <m/>
    <m/>
    <s v="{3e8e5425-5697-498f-8b7f-ac1253e99ccc}"/>
    <d v="2020-09-11T15:32:47"/>
    <s v="ccber_user"/>
    <d v="2020-09-11T15:32:47"/>
    <s v="ccber_user"/>
  </r>
  <r>
    <n v="18"/>
    <d v="2020-09-11T00:00:00"/>
    <d v="2020-09-11T08:37:44"/>
    <x v="3"/>
    <n v="1"/>
    <x v="0"/>
    <s v="Fence"/>
    <m/>
    <m/>
    <m/>
    <m/>
    <x v="0"/>
    <m/>
    <m/>
    <m/>
    <m/>
    <m/>
    <m/>
    <m/>
    <m/>
    <m/>
    <m/>
    <m/>
    <m/>
    <m/>
    <m/>
    <m/>
    <s v="{8acb90fe-7ec8-442d-8570-21e5c75b8c33}"/>
    <d v="2020-09-11T15:37:44"/>
    <s v="ccber_user"/>
    <d v="2020-09-11T15:37:44"/>
    <s v="ccber_user"/>
  </r>
  <r>
    <n v="75"/>
    <d v="2020-09-11T00:00:00"/>
    <d v="2020-09-11T08:48:42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{f33d9471-78f5-4560-b1b9-578c8d8b22b4}"/>
    <d v="2020-09-11T15:48:42"/>
    <s v="clark@ccber.ucsb.edu_ucsb"/>
    <d v="2020-09-11T15:48:42"/>
    <s v="clark@ccber.ucsb.edu_ucsb"/>
  </r>
  <r>
    <n v="29"/>
    <d v="2020-09-11T00:00:00"/>
    <d v="2020-09-11T08:55:16"/>
    <x v="3"/>
    <n v="1"/>
    <x v="0"/>
    <s v="Vegetation - Tree"/>
    <m/>
    <m/>
    <m/>
    <m/>
    <x v="0"/>
    <m/>
    <m/>
    <m/>
    <m/>
    <m/>
    <m/>
    <m/>
    <m/>
    <m/>
    <m/>
    <m/>
    <m/>
    <m/>
    <m/>
    <m/>
    <s v="{aec5685b-b756-452e-8b40-f66180831622}"/>
    <d v="2020-09-11T15:55:16"/>
    <s v="ccber_user"/>
    <d v="2020-09-11T15:55:16"/>
    <s v="ccber_user"/>
  </r>
  <r>
    <n v="79"/>
    <d v="2020-09-11T00:00:00"/>
    <d v="2020-09-11T08:59:05"/>
    <x v="3"/>
    <n v="1"/>
    <x v="0"/>
    <s v="Habitat Feature - Snag"/>
    <m/>
    <m/>
    <m/>
    <m/>
    <x v="1"/>
    <m/>
    <m/>
    <m/>
    <m/>
    <m/>
    <m/>
    <m/>
    <m/>
    <m/>
    <m/>
    <m/>
    <m/>
    <m/>
    <m/>
    <m/>
    <s v="{0ba03838-5059-4b8c-a459-f949f7d225d1}"/>
    <d v="2020-09-11T15:59:05"/>
    <s v="clark@ccber.ucsb.edu_ucsb"/>
    <d v="2020-09-11T15:59:05"/>
    <s v="clark@ccber.ucsb.edu_ucsb"/>
  </r>
  <r>
    <n v="33"/>
    <d v="2020-09-11T00:00:00"/>
    <d v="2020-09-11T09:00:39"/>
    <x v="3"/>
    <n v="1"/>
    <x v="0"/>
    <s v="Fence"/>
    <m/>
    <m/>
    <m/>
    <m/>
    <x v="0"/>
    <m/>
    <m/>
    <m/>
    <m/>
    <m/>
    <m/>
    <m/>
    <m/>
    <m/>
    <m/>
    <m/>
    <m/>
    <m/>
    <m/>
    <m/>
    <s v="{28843997-54f4-4b6b-9d8b-77f5ce9d0826}"/>
    <d v="2020-09-11T16:00:39"/>
    <s v="ccber_user"/>
    <d v="2020-09-11T16:00:39"/>
    <s v="ccber_user"/>
  </r>
  <r>
    <n v="81"/>
    <d v="2020-09-11T00:00:00"/>
    <d v="2020-09-11T09:05:39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{239347e6-21ba-4937-b553-c92bda878b52}"/>
    <d v="2020-09-11T16:05:39"/>
    <s v="clark@ccber.ucsb.edu_ucsb"/>
    <d v="2020-09-11T16:05:39"/>
    <s v="clark@ccber.ucsb.edu_ucsb"/>
  </r>
  <r>
    <n v="89"/>
    <d v="2020-09-11T00:00:00"/>
    <d v="2020-09-11T09:18:28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{30de3e26-5e43-4225-b069-3371856a00bd}"/>
    <d v="2020-09-11T16:18:28"/>
    <s v="clark@ccber.ucsb.edu_ucsb"/>
    <d v="2020-09-11T16:18:28"/>
    <s v="clark@ccber.ucsb.edu_ucsb"/>
  </r>
  <r>
    <n v="44"/>
    <d v="2020-09-11T00:00:00"/>
    <d v="2020-09-11T09:21:58"/>
    <x v="3"/>
    <n v="1"/>
    <x v="0"/>
    <s v="Fence"/>
    <m/>
    <m/>
    <m/>
    <m/>
    <x v="0"/>
    <m/>
    <m/>
    <m/>
    <m/>
    <m/>
    <m/>
    <m/>
    <m/>
    <m/>
    <m/>
    <m/>
    <m/>
    <m/>
    <m/>
    <m/>
    <s v="{db28a853-f309-42bc-9691-4a3996f1931d}"/>
    <d v="2020-09-11T16:21:58"/>
    <s v="ccber_user"/>
    <d v="2020-09-11T16:21:58"/>
    <s v="ccber_user"/>
  </r>
  <r>
    <n v="90"/>
    <d v="2020-09-11T00:00:00"/>
    <d v="2020-09-11T09:23:08"/>
    <x v="3"/>
    <n v="1"/>
    <x v="0"/>
    <s v="Habitat Feature - Snag"/>
    <m/>
    <m/>
    <m/>
    <m/>
    <x v="1"/>
    <m/>
    <m/>
    <m/>
    <m/>
    <m/>
    <m/>
    <m/>
    <m/>
    <m/>
    <m/>
    <m/>
    <m/>
    <m/>
    <m/>
    <m/>
    <s v="{d24e1692-d0f5-44b8-a4c6-5a9ae3f65705}"/>
    <d v="2020-09-11T16:23:08"/>
    <s v="clark@ccber.ucsb.edu_ucsb"/>
    <d v="2020-09-11T16:23:08"/>
    <s v="clark@ccber.ucsb.edu_ucsb"/>
  </r>
  <r>
    <n v="98"/>
    <d v="2020-09-11T00:00:00"/>
    <d v="2020-09-11T09:37:10"/>
    <x v="3"/>
    <n v="1"/>
    <x v="0"/>
    <s v="Vegetation - Herbaceous"/>
    <m/>
    <m/>
    <m/>
    <m/>
    <x v="1"/>
    <m/>
    <m/>
    <m/>
    <m/>
    <m/>
    <m/>
    <m/>
    <m/>
    <m/>
    <m/>
    <m/>
    <m/>
    <m/>
    <m/>
    <m/>
    <s v="{d1a94903-f695-4773-a27e-e5b2c6966f6c}"/>
    <d v="2020-09-11T16:37:10"/>
    <s v="clark@ccber.ucsb.edu_ucsb"/>
    <d v="2020-09-11T16:37:10"/>
    <s v="clark@ccber.ucsb.edu_ucsb"/>
  </r>
  <r>
    <n v="55"/>
    <d v="2020-09-11T00:00:00"/>
    <d v="2020-09-11T09:37:32"/>
    <x v="3"/>
    <n v="1"/>
    <x v="0"/>
    <s v="Fence"/>
    <m/>
    <m/>
    <m/>
    <m/>
    <x v="0"/>
    <m/>
    <m/>
    <m/>
    <m/>
    <m/>
    <m/>
    <m/>
    <m/>
    <m/>
    <m/>
    <m/>
    <m/>
    <m/>
    <m/>
    <m/>
    <s v="{4b662418-a41f-4232-b659-1d8f9bd10b0e}"/>
    <d v="2020-09-11T16:37:32"/>
    <s v="ccber_user"/>
    <d v="2020-09-11T16:37:32"/>
    <s v="ccber_user"/>
  </r>
  <r>
    <n v="50"/>
    <d v="2020-09-11T00:00:00"/>
    <d v="2020-09-11T09:26:56"/>
    <x v="4"/>
    <n v="1"/>
    <x v="0"/>
    <s v="Water - Wading"/>
    <m/>
    <m/>
    <m/>
    <m/>
    <x v="0"/>
    <m/>
    <m/>
    <m/>
    <m/>
    <m/>
    <m/>
    <m/>
    <m/>
    <m/>
    <m/>
    <m/>
    <m/>
    <m/>
    <m/>
    <m/>
    <s v="{292299c2-9444-47be-ac8e-92523bfb3b47}"/>
    <d v="2020-09-11T16:26:56"/>
    <s v="ccber_user"/>
    <d v="2020-09-11T16:26:56"/>
    <s v="ccber_user"/>
  </r>
  <r>
    <n v="114"/>
    <d v="2020-09-11T00:00:00"/>
    <d v="2020-09-11T10:33:06"/>
    <x v="4"/>
    <n v="1"/>
    <x v="0"/>
    <s v="Flyover"/>
    <m/>
    <m/>
    <m/>
    <m/>
    <x v="1"/>
    <m/>
    <m/>
    <m/>
    <m/>
    <m/>
    <m/>
    <m/>
    <m/>
    <m/>
    <m/>
    <m/>
    <m/>
    <m/>
    <m/>
    <m/>
    <s v="{e5ffa497-28ec-4705-a98b-902efac590eb}"/>
    <d v="2020-09-11T17:33:06"/>
    <s v="clark@ccber.ucsb.edu_ucsb"/>
    <d v="2020-09-11T17:33:06"/>
    <s v="clark@ccber.ucsb.edu_ucsb"/>
  </r>
  <r>
    <n v="6"/>
    <d v="2020-09-11T00:00:00"/>
    <d v="2020-09-11T08:18:54"/>
    <x v="5"/>
    <n v="1"/>
    <x v="0"/>
    <s v="Vegetation - Shrub"/>
    <m/>
    <m/>
    <m/>
    <m/>
    <x v="0"/>
    <m/>
    <m/>
    <m/>
    <m/>
    <m/>
    <m/>
    <m/>
    <m/>
    <m/>
    <m/>
    <m/>
    <m/>
    <m/>
    <m/>
    <m/>
    <s v="{af3d5cc7-7277-4e4c-8444-275791ed98f9}"/>
    <d v="2020-09-11T15:18:54"/>
    <s v="ccber_user"/>
    <d v="2020-09-11T15:18:54"/>
    <s v="ccber_user"/>
  </r>
  <r>
    <n v="69"/>
    <d v="2020-09-11T00:00:00"/>
    <d v="2020-09-11T08:20:05"/>
    <x v="5"/>
    <n v="3"/>
    <x v="0"/>
    <s v="Vegetation - Tree"/>
    <m/>
    <m/>
    <m/>
    <m/>
    <x v="1"/>
    <m/>
    <m/>
    <m/>
    <m/>
    <m/>
    <m/>
    <m/>
    <m/>
    <m/>
    <m/>
    <m/>
    <m/>
    <m/>
    <m/>
    <m/>
    <s v="{a4bb85a6-f09b-49f8-9633-2a31b61f3a96}"/>
    <d v="2020-09-11T15:20:05"/>
    <s v="clark@ccber.ucsb.edu_ucsb"/>
    <d v="2020-09-11T15:34:36"/>
    <s v="clark@ccber.ucsb.edu_ucsb"/>
  </r>
  <r>
    <n v="85"/>
    <d v="2020-09-11T00:00:00"/>
    <d v="2020-09-11T09:15:46"/>
    <x v="5"/>
    <n v="2"/>
    <x v="0"/>
    <s v="Vegetation - Tree"/>
    <m/>
    <m/>
    <m/>
    <m/>
    <x v="1"/>
    <m/>
    <m/>
    <m/>
    <m/>
    <m/>
    <m/>
    <m/>
    <m/>
    <m/>
    <m/>
    <m/>
    <m/>
    <m/>
    <m/>
    <m/>
    <s v="{911cb29d-8845-4cd4-b426-f863fa905b88}"/>
    <d v="2020-09-11T16:15:46"/>
    <s v="clark@ccber.ucsb.edu_ucsb"/>
    <d v="2020-09-11T16:15:46"/>
    <s v="clark@ccber.ucsb.edu_ucsb"/>
  </r>
  <r>
    <n v="112"/>
    <d v="2020-09-11T00:00:00"/>
    <d v="2020-09-11T09:47:43"/>
    <x v="5"/>
    <n v="1"/>
    <x v="0"/>
    <s v="Vegetation - Shrub"/>
    <m/>
    <m/>
    <m/>
    <m/>
    <x v="1"/>
    <m/>
    <m/>
    <m/>
    <m/>
    <m/>
    <m/>
    <m/>
    <m/>
    <m/>
    <m/>
    <m/>
    <m/>
    <m/>
    <m/>
    <m/>
    <s v="{42e7c175-f605-41d8-a336-92675ca8dde0}"/>
    <d v="2020-09-11T16:47:43"/>
    <s v="clark@ccber.ucsb.edu_ucsb"/>
    <d v="2020-09-11T16:47:43"/>
    <s v="clark@ccber.ucsb.edu_ucsb"/>
  </r>
  <r>
    <n v="66"/>
    <d v="2020-09-11T00:00:00"/>
    <d v="2020-09-11T08:15:35"/>
    <x v="6"/>
    <n v="15"/>
    <x v="0"/>
    <s v="Vegetation - Shrub"/>
    <m/>
    <m/>
    <m/>
    <m/>
    <x v="1"/>
    <m/>
    <m/>
    <m/>
    <m/>
    <m/>
    <m/>
    <m/>
    <m/>
    <m/>
    <m/>
    <m/>
    <m/>
    <m/>
    <m/>
    <m/>
    <s v="{05e8dab9-148b-4615-92a8-182d7e98437e}"/>
    <d v="2020-09-11T15:15:35"/>
    <s v="clark@ccber.ucsb.edu_ucsb"/>
    <d v="2020-09-11T15:16:33"/>
    <s v="clark@ccber.ucsb.edu_ucsb"/>
  </r>
  <r>
    <n v="3"/>
    <d v="2020-09-11T00:00:00"/>
    <d v="2020-09-11T08:16:41"/>
    <x v="6"/>
    <n v="8"/>
    <x v="0"/>
    <s v="Vegetation - Shrub"/>
    <m/>
    <m/>
    <m/>
    <m/>
    <x v="0"/>
    <m/>
    <m/>
    <m/>
    <m/>
    <m/>
    <m/>
    <m/>
    <m/>
    <m/>
    <m/>
    <m/>
    <m/>
    <m/>
    <m/>
    <m/>
    <s v="{26839c6d-92ee-4d8d-9dac-9dd9505b3d83}"/>
    <d v="2020-09-11T15:16:41"/>
    <s v="ccber_user"/>
    <d v="2020-09-11T15:16:41"/>
    <s v="ccber_user"/>
  </r>
  <r>
    <n v="96"/>
    <d v="2020-09-11T00:00:00"/>
    <d v="2020-09-11T09:34:35"/>
    <x v="6"/>
    <n v="5"/>
    <x v="0"/>
    <s v="Vegetation - Herbaceous"/>
    <m/>
    <m/>
    <m/>
    <m/>
    <x v="1"/>
    <m/>
    <m/>
    <m/>
    <m/>
    <m/>
    <m/>
    <m/>
    <m/>
    <m/>
    <m/>
    <m/>
    <m/>
    <m/>
    <m/>
    <m/>
    <s v="{9cf91737-da86-4075-b94f-09577d5ee1b4}"/>
    <d v="2020-09-11T16:34:35"/>
    <s v="clark@ccber.ucsb.edu_ucsb"/>
    <d v="2020-09-11T16:34:35"/>
    <s v="clark@ccber.ucsb.edu_ucsb"/>
  </r>
  <r>
    <n v="64"/>
    <d v="2020-09-11T00:00:00"/>
    <d v="2020-09-11T08:12:10"/>
    <x v="7"/>
    <n v="1"/>
    <x v="0"/>
    <s v="Vegetation - Shrub"/>
    <m/>
    <m/>
    <m/>
    <m/>
    <x v="1"/>
    <m/>
    <m/>
    <m/>
    <m/>
    <m/>
    <m/>
    <m/>
    <m/>
    <m/>
    <m/>
    <m/>
    <m/>
    <m/>
    <m/>
    <m/>
    <s v="{bc846c7a-7571-4d37-854e-84fb880bab7f}"/>
    <d v="2020-09-11T15:12:10"/>
    <s v="clark@ccber.ucsb.edu_ucsb"/>
    <d v="2020-09-11T15:15:45"/>
    <s v="clark@ccber.ucsb.edu_ucsb"/>
  </r>
  <r>
    <n v="68"/>
    <d v="2020-09-11T00:00:00"/>
    <d v="2020-09-11T08:17:03"/>
    <x v="7"/>
    <n v="1"/>
    <x v="0"/>
    <s v="Vegetation - Shrub"/>
    <m/>
    <m/>
    <m/>
    <m/>
    <x v="1"/>
    <m/>
    <m/>
    <m/>
    <m/>
    <m/>
    <m/>
    <m/>
    <m/>
    <m/>
    <m/>
    <m/>
    <m/>
    <m/>
    <m/>
    <m/>
    <s v="{6d93f9a2-29dd-4084-b0d2-f43f46a330f9}"/>
    <d v="2020-09-11T15:17:03"/>
    <s v="clark@ccber.ucsb.edu_ucsb"/>
    <d v="2020-09-11T15:17:03"/>
    <s v="clark@ccber.ucsb.edu_ucsb"/>
  </r>
  <r>
    <n v="25"/>
    <d v="2020-09-11T00:00:00"/>
    <d v="2020-09-11T08:51:23"/>
    <x v="7"/>
    <n v="1"/>
    <x v="0"/>
    <s v="Vegetation - Shrub"/>
    <m/>
    <m/>
    <m/>
    <m/>
    <x v="0"/>
    <m/>
    <m/>
    <m/>
    <m/>
    <m/>
    <m/>
    <m/>
    <m/>
    <m/>
    <m/>
    <m/>
    <m/>
    <m/>
    <m/>
    <m/>
    <s v="{ac8f0681-0f71-4c0e-a85e-5987c3a1dd7a}"/>
    <d v="2020-09-11T15:51:23"/>
    <s v="ccber_user"/>
    <d v="2020-09-11T15:51:23"/>
    <s v="ccber_user"/>
  </r>
  <r>
    <n v="111"/>
    <d v="2020-09-11T00:00:00"/>
    <d v="2020-09-11T09:47:30"/>
    <x v="7"/>
    <n v="1"/>
    <x v="0"/>
    <s v="Vegetation - Shrub"/>
    <m/>
    <m/>
    <m/>
    <m/>
    <x v="1"/>
    <m/>
    <m/>
    <m/>
    <m/>
    <m/>
    <m/>
    <m/>
    <m/>
    <m/>
    <m/>
    <m/>
    <m/>
    <m/>
    <m/>
    <m/>
    <s v="{d9731f62-becc-485d-9086-8549bebaee03}"/>
    <d v="2020-09-11T16:47:30"/>
    <s v="clark@ccber.ucsb.edu_ucsb"/>
    <d v="2020-09-11T16:47:30"/>
    <s v="clark@ccber.ucsb.edu_ucsb"/>
  </r>
  <r>
    <n v="8"/>
    <d v="2020-09-11T00:00:00"/>
    <d v="2020-09-11T08:24:58"/>
    <x v="8"/>
    <n v="1"/>
    <x v="0"/>
    <s v="Fence"/>
    <m/>
    <m/>
    <m/>
    <m/>
    <x v="0"/>
    <m/>
    <m/>
    <m/>
    <m/>
    <m/>
    <m/>
    <m/>
    <m/>
    <m/>
    <m/>
    <m/>
    <m/>
    <m/>
    <m/>
    <m/>
    <s v="{bd74006d-4221-47d6-a633-cfc84bf1c801}"/>
    <d v="2020-09-11T15:24:58"/>
    <s v="ccber_user"/>
    <d v="2020-09-11T15:24:58"/>
    <s v="ccber_user"/>
  </r>
  <r>
    <n v="1"/>
    <d v="2020-09-11T00:00:00"/>
    <d v="2020-09-11T08:10:30"/>
    <x v="9"/>
    <n v="1"/>
    <x v="0"/>
    <s v="Air"/>
    <m/>
    <m/>
    <m/>
    <n v="4.4000000000000004"/>
    <x v="0"/>
    <s v="8"/>
    <m/>
    <n v="60"/>
    <n v="100"/>
    <s v="Fog"/>
    <s v="None"/>
    <m/>
    <m/>
    <m/>
    <m/>
    <m/>
    <m/>
    <m/>
    <m/>
    <m/>
    <s v="{c5faa819-a6de-49ca-ba4d-40c10e825e82}"/>
    <d v="2020-09-11T15:10:30"/>
    <s v="ccber_user"/>
    <d v="2020-09-11T15:10:30"/>
    <s v="ccber_user"/>
  </r>
  <r>
    <n v="77"/>
    <d v="2020-09-11T00:00:00"/>
    <d v="2020-09-11T08:58:27"/>
    <x v="9"/>
    <n v="1"/>
    <x v="0"/>
    <s v="Air"/>
    <m/>
    <m/>
    <m/>
    <m/>
    <x v="1"/>
    <m/>
    <m/>
    <m/>
    <m/>
    <m/>
    <m/>
    <m/>
    <m/>
    <m/>
    <m/>
    <m/>
    <m/>
    <m/>
    <m/>
    <m/>
    <s v="{f8bcccad-dd9f-45ba-902c-ac8812d79e53}"/>
    <d v="2020-09-11T15:58:27"/>
    <s v="clark@ccber.ucsb.edu_ucsb"/>
    <d v="2020-09-11T15:58:27"/>
    <s v="clark@ccber.ucsb.edu_ucsb"/>
  </r>
  <r>
    <n v="13"/>
    <d v="2020-09-11T00:00:00"/>
    <d v="2020-09-11T08:34:02"/>
    <x v="10"/>
    <n v="2"/>
    <x v="0"/>
    <s v="Vegetation - Shrub"/>
    <m/>
    <m/>
    <m/>
    <m/>
    <x v="0"/>
    <m/>
    <m/>
    <m/>
    <m/>
    <m/>
    <m/>
    <m/>
    <m/>
    <m/>
    <m/>
    <m/>
    <m/>
    <m/>
    <m/>
    <m/>
    <s v="{9869bad0-a20b-495b-bb84-574f732cc692}"/>
    <d v="2020-09-11T15:34:02"/>
    <s v="ccber_user"/>
    <d v="2020-09-11T15:34:02"/>
    <s v="ccber_user"/>
  </r>
  <r>
    <n v="76"/>
    <d v="2020-09-11T00:00:00"/>
    <d v="2020-09-11T08:48:54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6554c418-db51-4ea6-b22d-8e2875078e63}"/>
    <d v="2020-09-11T15:48:54"/>
    <s v="clark@ccber.ucsb.edu_ucsb"/>
    <d v="2020-09-11T15:48:54"/>
    <s v="clark@ccber.ucsb.edu_ucsb"/>
  </r>
  <r>
    <n v="23"/>
    <d v="2020-09-11T00:00:00"/>
    <d v="2020-09-11T08:49:34"/>
    <x v="10"/>
    <n v="1"/>
    <x v="0"/>
    <s v="Vegetation - Shrub"/>
    <m/>
    <m/>
    <m/>
    <m/>
    <x v="0"/>
    <m/>
    <m/>
    <m/>
    <m/>
    <m/>
    <m/>
    <m/>
    <m/>
    <m/>
    <m/>
    <m/>
    <m/>
    <m/>
    <m/>
    <m/>
    <s v="{0bdbc711-c9ce-4196-a1ea-92aa22f88023}"/>
    <d v="2020-09-11T15:49:34"/>
    <s v="ccber_user"/>
    <d v="2020-09-11T15:49:34"/>
    <s v="ccber_user"/>
  </r>
  <r>
    <n v="35"/>
    <d v="2020-09-11T00:00:00"/>
    <d v="2020-09-11T09:06:27"/>
    <x v="10"/>
    <n v="2"/>
    <x v="0"/>
    <s v="Vegetation - Tree"/>
    <m/>
    <m/>
    <m/>
    <m/>
    <x v="0"/>
    <m/>
    <m/>
    <m/>
    <m/>
    <m/>
    <m/>
    <m/>
    <m/>
    <m/>
    <m/>
    <m/>
    <m/>
    <m/>
    <m/>
    <m/>
    <s v="{249952a3-7eb7-4baa-b75f-87ae5a4ded3f}"/>
    <d v="2020-09-11T16:06:27"/>
    <s v="ccber_user"/>
    <d v="2020-09-11T16:06:27"/>
    <s v="ccber_user"/>
  </r>
  <r>
    <n v="88"/>
    <d v="2020-09-11T00:00:00"/>
    <d v="2020-09-11T09:16:33"/>
    <x v="10"/>
    <n v="1"/>
    <x v="0"/>
    <s v="Vegetation - Tree"/>
    <m/>
    <m/>
    <m/>
    <m/>
    <x v="1"/>
    <m/>
    <m/>
    <m/>
    <m/>
    <m/>
    <m/>
    <m/>
    <m/>
    <m/>
    <m/>
    <m/>
    <m/>
    <m/>
    <m/>
    <m/>
    <s v="{efa6c997-b065-44bf-977f-15e4775a58d5}"/>
    <d v="2020-09-11T16:16:33"/>
    <s v="clark@ccber.ucsb.edu_ucsb"/>
    <d v="2020-09-11T16:16:33"/>
    <s v="clark@ccber.ucsb.edu_ucsb"/>
  </r>
  <r>
    <n v="93"/>
    <d v="2020-09-11T00:00:00"/>
    <d v="2020-09-11T09:30:23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8076de5d-e126-4df4-a24a-bd1eea88cc0d}"/>
    <d v="2020-09-11T16:30:23"/>
    <s v="clark@ccber.ucsb.edu_ucsb"/>
    <d v="2020-09-11T16:30:23"/>
    <s v="clark@ccber.ucsb.edu_ucsb"/>
  </r>
  <r>
    <n v="101"/>
    <d v="2020-09-11T00:00:00"/>
    <d v="2020-09-11T09:38:51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8a3033e2-0f5e-45ee-a64c-bd3b41cf4545}"/>
    <d v="2020-09-11T16:38:51"/>
    <s v="clark@ccber.ucsb.edu_ucsb"/>
    <d v="2020-09-11T16:38:51"/>
    <s v="clark@ccber.ucsb.edu_ucsb"/>
  </r>
  <r>
    <n v="106"/>
    <d v="2020-09-11T00:00:00"/>
    <d v="2020-09-11T09:41:39"/>
    <x v="10"/>
    <n v="1"/>
    <x v="0"/>
    <s v="Vegetation - Herbaceous"/>
    <m/>
    <m/>
    <m/>
    <m/>
    <x v="1"/>
    <m/>
    <m/>
    <m/>
    <m/>
    <m/>
    <m/>
    <m/>
    <m/>
    <m/>
    <m/>
    <m/>
    <m/>
    <m/>
    <m/>
    <m/>
    <s v="{8db1a155-7ede-4085-aa9d-312202b5a8d3}"/>
    <d v="2020-09-11T16:41:39"/>
    <s v="clark@ccber.ucsb.edu_ucsb"/>
    <d v="2020-09-11T16:41:39"/>
    <s v="clark@ccber.ucsb.edu_ucsb"/>
  </r>
  <r>
    <n v="60"/>
    <d v="2020-09-11T00:00:00"/>
    <d v="2020-09-11T09:52:28"/>
    <x v="10"/>
    <n v="1"/>
    <x v="0"/>
    <s v="Vegetation - Shrub"/>
    <m/>
    <m/>
    <m/>
    <m/>
    <x v="0"/>
    <m/>
    <m/>
    <m/>
    <m/>
    <m/>
    <m/>
    <m/>
    <m/>
    <m/>
    <m/>
    <m/>
    <m/>
    <m/>
    <m/>
    <m/>
    <s v="{b119ef7d-d908-4756-a99a-a0d5d6944a37}"/>
    <d v="2020-09-11T16:52:28"/>
    <s v="ccber_user"/>
    <d v="2020-09-11T16:52:28"/>
    <s v="ccber_user"/>
  </r>
  <r>
    <n v="86"/>
    <d v="2020-09-11T00:00:00"/>
    <d v="2020-09-11T09:16:12"/>
    <x v="11"/>
    <n v="1"/>
    <x v="0"/>
    <s v="Vegetation - Tree"/>
    <m/>
    <m/>
    <m/>
    <m/>
    <x v="1"/>
    <m/>
    <m/>
    <m/>
    <m/>
    <m/>
    <m/>
    <m/>
    <m/>
    <m/>
    <m/>
    <m/>
    <m/>
    <m/>
    <m/>
    <m/>
    <s v="{41aacede-fe6b-4d02-8c1d-8e2f26f3408c}"/>
    <d v="2020-09-11T16:16:12"/>
    <s v="clark@ccber.ucsb.edu_ucsb"/>
    <d v="2020-09-11T16:16:12"/>
    <s v="clark@ccber.ucsb.edu_ucsb"/>
  </r>
  <r>
    <n v="74"/>
    <d v="2020-09-11T00:00:00"/>
    <d v="2020-09-11T08:46:28"/>
    <x v="12"/>
    <n v="1"/>
    <x v="0"/>
    <s v="Vegetation - Tree"/>
    <m/>
    <m/>
    <m/>
    <m/>
    <x v="1"/>
    <m/>
    <m/>
    <m/>
    <m/>
    <m/>
    <m/>
    <m/>
    <m/>
    <m/>
    <m/>
    <m/>
    <m/>
    <m/>
    <m/>
    <m/>
    <s v="{a5ee8c61-ec5c-4062-82ac-1aa6f007b47e}"/>
    <d v="2020-09-11T15:46:28"/>
    <s v="clark@ccber.ucsb.edu_ucsb"/>
    <d v="2020-09-11T15:46:28"/>
    <s v="clark@ccber.ucsb.edu_ucsb"/>
  </r>
  <r>
    <n v="65"/>
    <d v="2020-09-11T00:00:00"/>
    <d v="2020-09-11T08:14:47"/>
    <x v="13"/>
    <n v="2"/>
    <x v="0"/>
    <s v="Fence"/>
    <m/>
    <m/>
    <m/>
    <m/>
    <x v="1"/>
    <m/>
    <m/>
    <m/>
    <m/>
    <m/>
    <m/>
    <m/>
    <m/>
    <m/>
    <m/>
    <m/>
    <m/>
    <m/>
    <m/>
    <m/>
    <s v="{0ab0bc37-e0fe-439a-8b4e-680dedeee62e}"/>
    <d v="2020-09-11T15:14:47"/>
    <s v="clark@ccber.ucsb.edu_ucsb"/>
    <d v="2020-09-11T15:15:56"/>
    <s v="clark@ccber.ucsb.edu_ucsb"/>
  </r>
  <r>
    <n v="17"/>
    <d v="2020-09-11T00:00:00"/>
    <d v="2020-09-11T08:37:22"/>
    <x v="13"/>
    <n v="3"/>
    <x v="0"/>
    <s v="Vegetation - Tree"/>
    <m/>
    <m/>
    <m/>
    <m/>
    <x v="0"/>
    <m/>
    <m/>
    <m/>
    <m/>
    <m/>
    <m/>
    <m/>
    <m/>
    <m/>
    <m/>
    <m/>
    <m/>
    <m/>
    <m/>
    <m/>
    <s v="{c6a8ca10-59f0-434d-956b-0e4183d95f78}"/>
    <d v="2020-09-11T15:37:22"/>
    <s v="ccber_user"/>
    <d v="2020-09-11T15:37:22"/>
    <s v="ccber_user"/>
  </r>
  <r>
    <n v="22"/>
    <d v="2020-09-11T00:00:00"/>
    <d v="2020-09-11T08:41:35"/>
    <x v="13"/>
    <n v="3"/>
    <x v="0"/>
    <s v="Vegetation - Tree"/>
    <m/>
    <m/>
    <m/>
    <m/>
    <x v="0"/>
    <m/>
    <m/>
    <m/>
    <m/>
    <m/>
    <m/>
    <m/>
    <m/>
    <m/>
    <m/>
    <m/>
    <m/>
    <m/>
    <m/>
    <m/>
    <s v="{716f23ef-a54d-4af1-8c75-b2ea667d2e2c}"/>
    <d v="2020-09-11T15:41:35"/>
    <s v="ccber_user"/>
    <d v="2020-09-11T15:41:35"/>
    <s v="ccber_user"/>
  </r>
  <r>
    <n v="80"/>
    <d v="2020-09-11T00:00:00"/>
    <d v="2020-09-11T09:03:24"/>
    <x v="13"/>
    <n v="3"/>
    <x v="0"/>
    <s v="Vegetation - Tree"/>
    <m/>
    <m/>
    <m/>
    <m/>
    <x v="1"/>
    <m/>
    <m/>
    <m/>
    <m/>
    <m/>
    <m/>
    <m/>
    <m/>
    <m/>
    <m/>
    <m/>
    <m/>
    <m/>
    <m/>
    <m/>
    <s v="{ec679121-082a-42eb-8b42-e41f6274394b}"/>
    <d v="2020-09-11T16:03:24"/>
    <s v="clark@ccber.ucsb.edu_ucsb"/>
    <d v="2020-09-11T16:03:24"/>
    <s v="clark@ccber.ucsb.edu_ucsb"/>
  </r>
  <r>
    <n v="113"/>
    <d v="2020-09-11T00:00:00"/>
    <d v="2020-09-11T09:47:58"/>
    <x v="13"/>
    <n v="5"/>
    <x v="0"/>
    <s v="Vegetation - Herbaceous"/>
    <m/>
    <m/>
    <m/>
    <m/>
    <x v="1"/>
    <m/>
    <m/>
    <m/>
    <m/>
    <m/>
    <m/>
    <m/>
    <m/>
    <m/>
    <m/>
    <m/>
    <m/>
    <m/>
    <m/>
    <m/>
    <s v="{b48386d2-5a7f-4a95-ba44-46817ef92a7b}"/>
    <d v="2020-09-11T16:47:58"/>
    <s v="clark@ccber.ucsb.edu_ucsb"/>
    <d v="2020-09-11T16:47:58"/>
    <s v="clark@ccber.ucsb.edu_ucsb"/>
  </r>
  <r>
    <n v="47"/>
    <d v="2020-09-11T00:00:00"/>
    <d v="2020-09-11T09:24:07"/>
    <x v="14"/>
    <n v="1"/>
    <x v="0"/>
    <s v="Bare ground"/>
    <m/>
    <m/>
    <m/>
    <m/>
    <x v="0"/>
    <m/>
    <m/>
    <m/>
    <m/>
    <m/>
    <m/>
    <m/>
    <m/>
    <m/>
    <m/>
    <m/>
    <m/>
    <m/>
    <m/>
    <m/>
    <s v="{bf1fcf07-0563-49c4-b50e-0738e9d6f3b4}"/>
    <d v="2020-09-11T16:24:07"/>
    <s v="ccber_user"/>
    <d v="2020-09-11T16:24:07"/>
    <s v="ccber_user"/>
  </r>
  <r>
    <n v="10"/>
    <d v="2020-09-11T00:00:00"/>
    <d v="2020-09-11T08:29:18"/>
    <x v="15"/>
    <n v="1"/>
    <x v="0"/>
    <s v="Vegetation - Shrub"/>
    <m/>
    <m/>
    <m/>
    <m/>
    <x v="0"/>
    <m/>
    <m/>
    <m/>
    <m/>
    <m/>
    <m/>
    <m/>
    <m/>
    <m/>
    <m/>
    <m/>
    <m/>
    <m/>
    <m/>
    <m/>
    <s v="{e40f59ce-47da-47b7-95b4-99e385d2c0b4}"/>
    <d v="2020-09-11T15:29:18"/>
    <s v="ccber_user"/>
    <d v="2020-09-11T15:29:18"/>
    <s v="ccber_user"/>
  </r>
  <r>
    <n v="11"/>
    <d v="2020-09-11T00:00:00"/>
    <d v="2020-09-11T08:31:00"/>
    <x v="15"/>
    <n v="1"/>
    <x v="0"/>
    <s v="Vegetation - Shrub"/>
    <m/>
    <m/>
    <m/>
    <m/>
    <x v="0"/>
    <m/>
    <m/>
    <m/>
    <m/>
    <m/>
    <m/>
    <m/>
    <m/>
    <m/>
    <m/>
    <m/>
    <m/>
    <m/>
    <m/>
    <m/>
    <s v="{e5d0e528-3f35-41f5-a046-218f59913d28}"/>
    <d v="2020-09-11T15:31:00"/>
    <s v="ccber_user"/>
    <d v="2020-09-11T15:31:00"/>
    <s v="ccber_user"/>
  </r>
  <r>
    <n v="72"/>
    <d v="2020-09-11T00:00:00"/>
    <d v="2020-09-11T08:32:39"/>
    <x v="15"/>
    <n v="1"/>
    <x v="0"/>
    <s v="Vegetation - Tree"/>
    <m/>
    <m/>
    <m/>
    <m/>
    <x v="1"/>
    <m/>
    <m/>
    <m/>
    <m/>
    <m/>
    <m/>
    <m/>
    <m/>
    <m/>
    <m/>
    <m/>
    <m/>
    <m/>
    <m/>
    <m/>
    <s v="{d1b1ca3c-5d18-4835-869c-379cc057ab9b}"/>
    <d v="2020-09-11T15:32:39"/>
    <s v="clark@ccber.ucsb.edu_ucsb"/>
    <d v="2020-09-11T15:32:39"/>
    <s v="clark@ccber.ucsb.edu_ucsb"/>
  </r>
  <r>
    <n v="53"/>
    <d v="2020-09-11T00:00:00"/>
    <d v="2020-09-11T09:29:02"/>
    <x v="15"/>
    <n v="1"/>
    <x v="0"/>
    <s v="Vegetation - Shrub"/>
    <m/>
    <m/>
    <m/>
    <m/>
    <x v="0"/>
    <m/>
    <m/>
    <m/>
    <m/>
    <m/>
    <m/>
    <m/>
    <m/>
    <m/>
    <m/>
    <m/>
    <m/>
    <m/>
    <m/>
    <m/>
    <s v="{77524e3e-2034-4ca2-b138-74d00c2b5191}"/>
    <d v="2020-09-11T16:29:02"/>
    <s v="ccber_user"/>
    <d v="2020-09-11T16:29:02"/>
    <s v="ccber_user"/>
  </r>
  <r>
    <n v="100"/>
    <d v="2020-09-11T00:00:00"/>
    <d v="2020-09-11T09:38:07"/>
    <x v="15"/>
    <n v="1"/>
    <x v="0"/>
    <s v="Vegetation - Shrub"/>
    <m/>
    <m/>
    <m/>
    <m/>
    <x v="1"/>
    <m/>
    <m/>
    <m/>
    <m/>
    <m/>
    <m/>
    <m/>
    <m/>
    <m/>
    <m/>
    <m/>
    <m/>
    <m/>
    <m/>
    <m/>
    <s v="{4a01679b-7414-4857-8c9b-b08f1c30eb09}"/>
    <d v="2020-09-11T16:38:07"/>
    <s v="clark@ccber.ucsb.edu_ucsb"/>
    <d v="2020-09-11T16:38:07"/>
    <s v="clark@ccber.ucsb.edu_ucsb"/>
  </r>
  <r>
    <n v="57"/>
    <d v="2020-09-11T00:00:00"/>
    <d v="2020-09-11T09:43:04"/>
    <x v="15"/>
    <n v="2"/>
    <x v="0"/>
    <s v="Vegetation - Tree"/>
    <m/>
    <m/>
    <m/>
    <m/>
    <x v="0"/>
    <m/>
    <m/>
    <m/>
    <m/>
    <m/>
    <m/>
    <m/>
    <m/>
    <m/>
    <m/>
    <m/>
    <m/>
    <m/>
    <m/>
    <m/>
    <s v="{8d957788-f8d8-4219-8868-3940f1dc86bb}"/>
    <d v="2020-09-11T16:43:04"/>
    <s v="ccber_user"/>
    <d v="2020-09-11T16:43:04"/>
    <s v="ccber_user"/>
  </r>
  <r>
    <n v="39"/>
    <d v="2020-09-11T00:00:00"/>
    <d v="2020-09-11T09:09:51"/>
    <x v="16"/>
    <n v="2"/>
    <x v="0"/>
    <s v="Water - Wading"/>
    <m/>
    <m/>
    <m/>
    <m/>
    <x v="0"/>
    <m/>
    <m/>
    <m/>
    <m/>
    <m/>
    <m/>
    <m/>
    <m/>
    <m/>
    <m/>
    <m/>
    <m/>
    <m/>
    <m/>
    <m/>
    <s v="{213579c2-4c0e-4de9-b145-76fd1644e4d0}"/>
    <d v="2020-09-11T16:09:51"/>
    <s v="ccber_user"/>
    <d v="2020-09-11T16:09:51"/>
    <s v="ccber_user"/>
  </r>
  <r>
    <n v="52"/>
    <d v="2020-09-11T00:00:00"/>
    <d v="2020-09-11T09:28:25"/>
    <x v="16"/>
    <n v="1"/>
    <x v="0"/>
    <s v="Bare ground"/>
    <m/>
    <m/>
    <m/>
    <m/>
    <x v="0"/>
    <m/>
    <m/>
    <m/>
    <m/>
    <m/>
    <m/>
    <m/>
    <m/>
    <m/>
    <m/>
    <m/>
    <m/>
    <m/>
    <m/>
    <m/>
    <s v="{df568959-0fcd-40d8-9f20-b869c5052c7f}"/>
    <d v="2020-09-11T16:28:25"/>
    <s v="ccber_user"/>
    <d v="2020-09-11T16:28:25"/>
    <s v="ccber_user"/>
  </r>
  <r>
    <n v="84"/>
    <d v="2020-09-11T00:00:00"/>
    <d v="2020-09-11T09:10:27"/>
    <x v="17"/>
    <n v="2"/>
    <x v="0"/>
    <s v="Vegetation - Herbaceous"/>
    <m/>
    <m/>
    <m/>
    <m/>
    <x v="1"/>
    <m/>
    <m/>
    <m/>
    <m/>
    <m/>
    <m/>
    <m/>
    <m/>
    <m/>
    <m/>
    <m/>
    <m/>
    <m/>
    <m/>
    <m/>
    <s v="{9854c7a9-8ca3-49a2-9cba-553249f57232}"/>
    <d v="2020-09-11T16:10:27"/>
    <s v="clark@ccber.ucsb.edu_ucsb"/>
    <d v="2020-09-11T16:10:27"/>
    <s v="clark@ccber.ucsb.edu_ucsb"/>
  </r>
  <r>
    <n v="7"/>
    <d v="2020-09-11T00:00:00"/>
    <d v="2020-09-11T08:22:56"/>
    <x v="18"/>
    <n v="1"/>
    <x v="0"/>
    <m/>
    <m/>
    <m/>
    <m/>
    <m/>
    <x v="0"/>
    <m/>
    <m/>
    <m/>
    <m/>
    <m/>
    <m/>
    <m/>
    <m/>
    <m/>
    <m/>
    <m/>
    <m/>
    <m/>
    <m/>
    <m/>
    <s v="{5097b46c-bca9-49f4-9434-48f1415ea68b}"/>
    <d v="2020-09-11T15:22:56"/>
    <s v="ccber_user"/>
    <d v="2020-09-11T15:22:56"/>
    <s v="ccber_user"/>
  </r>
  <r>
    <n v="63"/>
    <d v="2020-09-11T00:00:00"/>
    <d v="2020-09-11T10:30:16"/>
    <x v="18"/>
    <n v="1"/>
    <x v="1"/>
    <s v="Vegetation - Shrub"/>
    <m/>
    <m/>
    <s v="Changed Repeat Observation from &quot;No&quot; to &quot;Yes&quot; following survey review."/>
    <m/>
    <x v="0"/>
    <m/>
    <m/>
    <m/>
    <m/>
    <m/>
    <m/>
    <m/>
    <m/>
    <n v="66"/>
    <n v="80"/>
    <s v="Medium"/>
    <s v="None"/>
    <m/>
    <m/>
    <m/>
    <s v="{fc5f5f94-f7ef-4c62-9c6b-d29caed7445f}"/>
    <d v="2020-09-11T17:30:16"/>
    <s v="ccber_user"/>
    <d v="2020-09-11T17:31:31"/>
    <s v="ccber_user"/>
  </r>
  <r>
    <n v="5"/>
    <d v="2020-09-11T00:00:00"/>
    <d v="2020-09-11T08:18:23"/>
    <x v="19"/>
    <n v="6"/>
    <x v="0"/>
    <s v="Air"/>
    <m/>
    <m/>
    <m/>
    <m/>
    <x v="0"/>
    <m/>
    <m/>
    <m/>
    <m/>
    <m/>
    <m/>
    <m/>
    <m/>
    <m/>
    <m/>
    <m/>
    <m/>
    <m/>
    <m/>
    <m/>
    <s v="{7a7b337d-1a55-4377-a1d0-6317f40a41a7}"/>
    <d v="2020-09-11T15:18:23"/>
    <s v="ccber_user"/>
    <d v="2020-09-11T15:18:23"/>
    <s v="ccber_user"/>
  </r>
  <r>
    <n v="9"/>
    <d v="2020-09-11T00:00:00"/>
    <d v="2020-09-11T08:26:47"/>
    <x v="19"/>
    <n v="1"/>
    <x v="0"/>
    <s v="Water - Floating"/>
    <m/>
    <m/>
    <m/>
    <m/>
    <x v="0"/>
    <m/>
    <m/>
    <m/>
    <m/>
    <m/>
    <m/>
    <m/>
    <m/>
    <m/>
    <m/>
    <m/>
    <m/>
    <m/>
    <m/>
    <m/>
    <s v="{a93ea789-2eae-4b63-9f00-61ef6d580a00}"/>
    <d v="2020-09-11T15:26:47"/>
    <s v="ccber_user"/>
    <d v="2020-09-11T15:26:47"/>
    <s v="ccber_user"/>
  </r>
  <r>
    <n v="24"/>
    <d v="2020-09-11T00:00:00"/>
    <d v="2020-09-11T08:49:53"/>
    <x v="19"/>
    <n v="1"/>
    <x v="0"/>
    <s v="Water - Wading"/>
    <m/>
    <m/>
    <m/>
    <m/>
    <x v="0"/>
    <m/>
    <m/>
    <m/>
    <m/>
    <m/>
    <m/>
    <m/>
    <m/>
    <m/>
    <m/>
    <m/>
    <m/>
    <m/>
    <m/>
    <m/>
    <s v="{ee8eb519-ce37-435b-9119-ef935553a992}"/>
    <d v="2020-09-11T15:49:53"/>
    <s v="ccber_user"/>
    <d v="2020-09-11T15:49:53"/>
    <s v="ccber_user"/>
  </r>
  <r>
    <n v="49"/>
    <d v="2020-09-11T00:00:00"/>
    <d v="2020-09-11T09:26:21"/>
    <x v="19"/>
    <n v="1"/>
    <x v="0"/>
    <s v="Water - Floating"/>
    <m/>
    <m/>
    <m/>
    <m/>
    <x v="0"/>
    <m/>
    <m/>
    <m/>
    <m/>
    <m/>
    <m/>
    <m/>
    <m/>
    <m/>
    <m/>
    <m/>
    <m/>
    <m/>
    <m/>
    <m/>
    <s v="{7ccf9524-6d2f-4183-911a-721846fc0154}"/>
    <d v="2020-09-11T16:26:21"/>
    <s v="ccber_user"/>
    <d v="2020-09-11T16:26:21"/>
    <s v="ccber_user"/>
  </r>
  <r>
    <n v="73"/>
    <d v="2020-09-11T00:00:00"/>
    <d v="2020-09-11T08:43:41"/>
    <x v="20"/>
    <n v="1"/>
    <x v="0"/>
    <s v="Vegetation - Tree"/>
    <m/>
    <m/>
    <m/>
    <m/>
    <x v="1"/>
    <m/>
    <m/>
    <m/>
    <m/>
    <m/>
    <m/>
    <m/>
    <m/>
    <m/>
    <m/>
    <m/>
    <m/>
    <m/>
    <m/>
    <m/>
    <s v="{56fbf1e0-dce7-40e3-9d2e-8c207c4c7e91}"/>
    <d v="2020-09-11T15:43:41"/>
    <s v="clark@ccber.ucsb.edu_ucsb"/>
    <d v="2020-09-11T15:43:41"/>
    <s v="clark@ccber.ucsb.edu_ucsb"/>
  </r>
  <r>
    <n v="71"/>
    <d v="2020-09-11T00:00:00"/>
    <d v="2020-09-11T08:26:28"/>
    <x v="21"/>
    <n v="1"/>
    <x v="0"/>
    <s v="Vegetation - Tree"/>
    <m/>
    <m/>
    <m/>
    <m/>
    <x v="1"/>
    <m/>
    <m/>
    <m/>
    <m/>
    <m/>
    <m/>
    <m/>
    <m/>
    <m/>
    <m/>
    <m/>
    <m/>
    <m/>
    <m/>
    <m/>
    <s v="{0fb3a6bd-1a92-4524-8abf-144d665d32a7}"/>
    <d v="2020-09-11T15:26:28"/>
    <s v="clark@ccber.ucsb.edu_ucsb"/>
    <d v="2020-09-11T15:44:03"/>
    <s v="clark@ccber.ucsb.edu_ucsb"/>
  </r>
  <r>
    <n v="108"/>
    <d v="2020-09-11T00:00:00"/>
    <d v="2020-09-11T09:45:13"/>
    <x v="22"/>
    <n v="1"/>
    <x v="0"/>
    <s v="Vegetation - Tree"/>
    <m/>
    <m/>
    <m/>
    <m/>
    <x v="1"/>
    <m/>
    <m/>
    <m/>
    <m/>
    <m/>
    <m/>
    <m/>
    <m/>
    <m/>
    <m/>
    <m/>
    <m/>
    <m/>
    <m/>
    <m/>
    <s v="{8b28502e-df24-4eda-9d5e-aa1f6008fd7a}"/>
    <d v="2020-09-11T16:45:13"/>
    <s v="clark@ccber.ucsb.edu_ucsb"/>
    <d v="2020-09-11T16:45:13"/>
    <s v="clark@ccber.ucsb.edu_ucsb"/>
  </r>
  <r>
    <n v="105"/>
    <d v="2020-09-11T00:00:00"/>
    <d v="2020-09-11T09:41:26"/>
    <x v="23"/>
    <n v="1"/>
    <x v="0"/>
    <s v="Vegetation - Tree"/>
    <m/>
    <m/>
    <m/>
    <m/>
    <x v="1"/>
    <m/>
    <m/>
    <m/>
    <m/>
    <m/>
    <m/>
    <m/>
    <m/>
    <m/>
    <m/>
    <m/>
    <m/>
    <m/>
    <m/>
    <m/>
    <s v="{918c90f4-d77a-4b86-8b83-dfda9f6c0a08}"/>
    <d v="2020-09-11T16:41:26"/>
    <s v="clark@ccber.ucsb.edu_ucsb"/>
    <d v="2020-09-11T16:41:26"/>
    <s v="clark@ccber.ucsb.edu_ucsb"/>
  </r>
  <r>
    <n v="2"/>
    <d v="2020-09-11T00:00:00"/>
    <d v="2020-09-11T08:15:14"/>
    <x v="24"/>
    <n v="8"/>
    <x v="0"/>
    <s v="Air"/>
    <m/>
    <m/>
    <m/>
    <m/>
    <x v="0"/>
    <m/>
    <m/>
    <m/>
    <m/>
    <m/>
    <m/>
    <m/>
    <m/>
    <m/>
    <m/>
    <m/>
    <m/>
    <m/>
    <m/>
    <m/>
    <s v="{3f6e0356-fc4c-4729-9bae-d789795b2985}"/>
    <d v="2020-09-11T15:15:14"/>
    <s v="ccber_user"/>
    <d v="2020-09-11T15:15:14"/>
    <s v="ccber_user"/>
  </r>
  <r>
    <n v="14"/>
    <d v="2020-09-11T00:00:00"/>
    <d v="2020-09-11T08:34:25"/>
    <x v="24"/>
    <n v="1"/>
    <x v="0"/>
    <s v="Bare ground"/>
    <m/>
    <m/>
    <m/>
    <m/>
    <x v="0"/>
    <m/>
    <m/>
    <m/>
    <m/>
    <m/>
    <m/>
    <m/>
    <m/>
    <m/>
    <m/>
    <m/>
    <m/>
    <m/>
    <m/>
    <m/>
    <s v="{68996b70-3572-49d6-9796-f80616135263}"/>
    <d v="2020-09-11T15:34:25"/>
    <s v="ccber_user"/>
    <d v="2020-09-11T15:34:25"/>
    <s v="ccber_user"/>
  </r>
  <r>
    <n v="61"/>
    <d v="2020-09-11T00:00:00"/>
    <d v="2020-09-11T10:04:06"/>
    <x v="24"/>
    <n v="15"/>
    <x v="0"/>
    <s v="Bridge"/>
    <m/>
    <m/>
    <m/>
    <m/>
    <x v="0"/>
    <m/>
    <m/>
    <m/>
    <m/>
    <m/>
    <m/>
    <m/>
    <m/>
    <m/>
    <m/>
    <m/>
    <m/>
    <m/>
    <m/>
    <m/>
    <s v="{5cc5a388-6a9c-4199-9d78-f0ad608bb0a3}"/>
    <d v="2020-09-11T17:04:06"/>
    <s v="ccber_user"/>
    <d v="2020-09-11T17:04:06"/>
    <s v="ccber_user"/>
  </r>
  <r>
    <n v="78"/>
    <d v="2020-09-11T00:00:00"/>
    <d v="2020-09-11T08:58:43"/>
    <x v="25"/>
    <n v="1"/>
    <x v="0"/>
    <s v="Habitat Feature - Snag"/>
    <m/>
    <m/>
    <m/>
    <m/>
    <x v="1"/>
    <m/>
    <m/>
    <m/>
    <m/>
    <m/>
    <m/>
    <m/>
    <m/>
    <m/>
    <m/>
    <m/>
    <m/>
    <m/>
    <m/>
    <m/>
    <s v="{ccc9708b-71e4-41bc-ae71-0e5913636096}"/>
    <d v="2020-09-11T15:58:43"/>
    <s v="clark@ccber.ucsb.edu_ucsb"/>
    <d v="2020-09-11T15:58:43"/>
    <s v="clark@ccber.ucsb.edu_ucsb"/>
  </r>
  <r>
    <n v="92"/>
    <d v="2020-09-11T00:00:00"/>
    <d v="2020-09-11T09:25:39"/>
    <x v="25"/>
    <n v="1"/>
    <x v="0"/>
    <s v="Habitat Feature - Log"/>
    <m/>
    <m/>
    <m/>
    <m/>
    <x v="1"/>
    <m/>
    <m/>
    <m/>
    <m/>
    <m/>
    <m/>
    <m/>
    <m/>
    <m/>
    <m/>
    <m/>
    <m/>
    <m/>
    <m/>
    <m/>
    <s v="{a71249ca-6f36-4141-a4c8-96a13f4543bf}"/>
    <d v="2020-09-11T16:25:39"/>
    <s v="clark@ccber.ucsb.edu_ucsb"/>
    <d v="2020-09-11T16:25:39"/>
    <s v="clark@ccber.ucsb.edu_ucsb"/>
  </r>
  <r>
    <n v="54"/>
    <d v="2020-09-11T00:00:00"/>
    <d v="2020-09-11T09:30:31"/>
    <x v="25"/>
    <n v="1"/>
    <x v="0"/>
    <s v="Air"/>
    <m/>
    <m/>
    <m/>
    <m/>
    <x v="0"/>
    <m/>
    <m/>
    <m/>
    <m/>
    <m/>
    <m/>
    <m/>
    <m/>
    <m/>
    <m/>
    <m/>
    <m/>
    <m/>
    <m/>
    <m/>
    <s v="{0b46ad81-93c2-4069-9a92-692ab57741f9}"/>
    <d v="2020-09-11T16:30:31"/>
    <s v="ccber_user"/>
    <d v="2020-09-11T16:30:31"/>
    <s v="ccber_user"/>
  </r>
  <r>
    <n v="56"/>
    <d v="2020-09-11T00:00:00"/>
    <d v="2020-09-11T09:38:45"/>
    <x v="25"/>
    <n v="2"/>
    <x v="0"/>
    <s v="Bare ground"/>
    <m/>
    <m/>
    <m/>
    <m/>
    <x v="0"/>
    <m/>
    <m/>
    <m/>
    <m/>
    <m/>
    <m/>
    <m/>
    <m/>
    <m/>
    <m/>
    <m/>
    <m/>
    <m/>
    <m/>
    <m/>
    <s v="{45fb20c6-86fd-4c5c-bf72-59933adeb719}"/>
    <d v="2020-09-11T16:38:45"/>
    <s v="ccber_user"/>
    <d v="2020-09-11T16:38:45"/>
    <s v="ccber_user"/>
  </r>
  <r>
    <n v="103"/>
    <d v="2020-09-11T00:00:00"/>
    <d v="2020-09-11T09:40:08"/>
    <x v="25"/>
    <n v="1"/>
    <x v="0"/>
    <s v="Vegetation - Herbaceous"/>
    <m/>
    <m/>
    <m/>
    <m/>
    <x v="1"/>
    <m/>
    <m/>
    <m/>
    <m/>
    <m/>
    <m/>
    <m/>
    <m/>
    <m/>
    <m/>
    <m/>
    <m/>
    <m/>
    <m/>
    <m/>
    <s v="{3b615f37-0a5f-4bff-ac36-bad0044a5678}"/>
    <d v="2020-09-11T16:40:08"/>
    <s v="clark@ccber.ucsb.edu_ucsb"/>
    <d v="2020-09-11T16:40:08"/>
    <s v="clark@ccber.ucsb.edu_ucsb"/>
  </r>
  <r>
    <n v="48"/>
    <d v="2020-09-11T00:00:00"/>
    <d v="2020-09-11T09:26:05"/>
    <x v="26"/>
    <n v="5"/>
    <x v="0"/>
    <s v="Vegetation - Herbaceous"/>
    <m/>
    <m/>
    <m/>
    <m/>
    <x v="0"/>
    <m/>
    <m/>
    <m/>
    <m/>
    <m/>
    <m/>
    <m/>
    <m/>
    <m/>
    <m/>
    <m/>
    <m/>
    <m/>
    <m/>
    <m/>
    <s v="{a1339fc8-18db-4556-b751-a3384e09c6e0}"/>
    <d v="2020-09-11T16:26:05"/>
    <s v="ccber_user"/>
    <d v="2020-09-11T16:26:05"/>
    <s v="ccber_user"/>
  </r>
  <r>
    <n v="107"/>
    <d v="2020-09-11T00:00:00"/>
    <d v="2020-09-11T09:42:12"/>
    <x v="26"/>
    <n v="1"/>
    <x v="0"/>
    <s v="Vegetation - Herbaceous"/>
    <m/>
    <m/>
    <m/>
    <m/>
    <x v="1"/>
    <m/>
    <m/>
    <m/>
    <m/>
    <m/>
    <m/>
    <m/>
    <m/>
    <m/>
    <m/>
    <m/>
    <m/>
    <m/>
    <m/>
    <m/>
    <s v="{e38f1453-7e6d-4f30-8a24-cbc3c947db98}"/>
    <d v="2020-09-11T16:42:12"/>
    <s v="clark@ccber.ucsb.edu_ucsb"/>
    <d v="2020-09-11T16:42:12"/>
    <s v="clark@ccber.ucsb.edu_ucsb"/>
  </r>
  <r>
    <n v="38"/>
    <d v="2020-09-11T00:00:00"/>
    <d v="2020-09-11T09:09:24"/>
    <x v="27"/>
    <n v="2"/>
    <x v="0"/>
    <s v="Water - Wading"/>
    <m/>
    <m/>
    <m/>
    <m/>
    <x v="0"/>
    <m/>
    <m/>
    <m/>
    <m/>
    <m/>
    <m/>
    <m/>
    <m/>
    <m/>
    <m/>
    <m/>
    <m/>
    <m/>
    <m/>
    <m/>
    <s v="{36e44aff-2c1d-4054-b607-69c2ab4301da}"/>
    <d v="2020-09-11T16:09:24"/>
    <s v="ccber_user"/>
    <d v="2020-09-11T16:09:24"/>
    <s v="ccber_user"/>
  </r>
  <r>
    <n v="67"/>
    <d v="2020-09-11T00:00:00"/>
    <d v="2020-09-11T08:16:10"/>
    <x v="28"/>
    <n v="2"/>
    <x v="0"/>
    <s v="Vegetation - Shrub"/>
    <m/>
    <m/>
    <m/>
    <m/>
    <x v="1"/>
    <m/>
    <m/>
    <m/>
    <m/>
    <m/>
    <m/>
    <m/>
    <m/>
    <m/>
    <m/>
    <m/>
    <m/>
    <m/>
    <m/>
    <m/>
    <s v="{29a14aef-128c-468e-9b6d-dd023d1c1be3}"/>
    <d v="2020-09-11T15:16:10"/>
    <s v="clark@ccber.ucsb.edu_ucsb"/>
    <d v="2020-09-11T15:16:10"/>
    <s v="clark@ccber.ucsb.edu_ucsb"/>
  </r>
  <r>
    <n v="26"/>
    <d v="2020-09-11T00:00:00"/>
    <d v="2020-09-11T08:51:38"/>
    <x v="28"/>
    <n v="1"/>
    <x v="0"/>
    <s v="Vegetation - Shrub"/>
    <m/>
    <m/>
    <m/>
    <m/>
    <x v="0"/>
    <m/>
    <m/>
    <m/>
    <m/>
    <m/>
    <m/>
    <m/>
    <m/>
    <m/>
    <m/>
    <m/>
    <m/>
    <m/>
    <m/>
    <m/>
    <s v="{9ab046a3-3e29-4876-abbb-52ed331ed12d}"/>
    <d v="2020-09-11T15:51:38"/>
    <s v="ccber_user"/>
    <d v="2020-09-11T15:51:38"/>
    <s v="ccber_user"/>
  </r>
  <r>
    <n v="28"/>
    <d v="2020-09-11T00:00:00"/>
    <d v="2020-09-11T08:54:43"/>
    <x v="28"/>
    <n v="1"/>
    <x v="0"/>
    <s v="Vegetation - Shrub"/>
    <m/>
    <m/>
    <m/>
    <m/>
    <x v="0"/>
    <m/>
    <m/>
    <m/>
    <m/>
    <m/>
    <m/>
    <m/>
    <m/>
    <m/>
    <m/>
    <m/>
    <m/>
    <m/>
    <m/>
    <m/>
    <s v="{ff3a95c3-6f20-4949-8f06-fcdc4979e19d}"/>
    <d v="2020-09-11T15:54:43"/>
    <s v="ccber_user"/>
    <d v="2020-09-11T15:54:43"/>
    <s v="ccber_user"/>
  </r>
  <r>
    <n v="32"/>
    <d v="2020-09-11T00:00:00"/>
    <d v="2020-09-11T08:59:36"/>
    <x v="28"/>
    <n v="1"/>
    <x v="0"/>
    <s v="Vegetation - Shrub"/>
    <m/>
    <m/>
    <m/>
    <m/>
    <x v="0"/>
    <m/>
    <m/>
    <m/>
    <m/>
    <m/>
    <m/>
    <m/>
    <m/>
    <m/>
    <m/>
    <m/>
    <m/>
    <m/>
    <m/>
    <m/>
    <s v="{bdb6d3e2-b212-49bd-b086-976fa8eab3d5}"/>
    <d v="2020-09-11T15:59:36"/>
    <s v="ccber_user"/>
    <d v="2020-09-11T15:59:36"/>
    <s v="ccber_user"/>
  </r>
  <r>
    <n v="36"/>
    <d v="2020-09-11T00:00:00"/>
    <d v="2020-09-11T09:06:53"/>
    <x v="28"/>
    <n v="2"/>
    <x v="0"/>
    <s v="Vegetation - Shrub"/>
    <m/>
    <m/>
    <m/>
    <m/>
    <x v="0"/>
    <m/>
    <m/>
    <m/>
    <m/>
    <m/>
    <m/>
    <m/>
    <m/>
    <m/>
    <m/>
    <m/>
    <m/>
    <m/>
    <m/>
    <m/>
    <s v="{62ee8d2f-10b3-4baf-8174-11f1cc86016c}"/>
    <d v="2020-09-11T16:06:53"/>
    <s v="ccber_user"/>
    <d v="2020-09-11T16:06:53"/>
    <s v="ccber_user"/>
  </r>
  <r>
    <n v="40"/>
    <d v="2020-09-11T00:00:00"/>
    <d v="2020-09-11T09:10:40"/>
    <x v="28"/>
    <n v="2"/>
    <x v="0"/>
    <s v="Vegetation - Shrub"/>
    <m/>
    <m/>
    <m/>
    <m/>
    <x v="0"/>
    <m/>
    <m/>
    <m/>
    <m/>
    <m/>
    <m/>
    <m/>
    <m/>
    <m/>
    <m/>
    <m/>
    <m/>
    <m/>
    <m/>
    <m/>
    <s v="{84094689-bfe6-4b7c-9179-73f14c9fb4db}"/>
    <d v="2020-09-11T16:10:40"/>
    <s v="ccber_user"/>
    <d v="2020-09-11T16:10:40"/>
    <s v="ccber_user"/>
  </r>
  <r>
    <n v="43"/>
    <d v="2020-09-11T00:00:00"/>
    <d v="2020-09-11T09:18:39"/>
    <x v="28"/>
    <n v="1"/>
    <x v="0"/>
    <s v="Vegetation - Shrub"/>
    <m/>
    <m/>
    <m/>
    <m/>
    <x v="0"/>
    <m/>
    <m/>
    <m/>
    <m/>
    <m/>
    <m/>
    <m/>
    <m/>
    <m/>
    <m/>
    <m/>
    <m/>
    <m/>
    <m/>
    <m/>
    <s v="{889e4434-bdf2-4803-86b7-3ded84f4d08c}"/>
    <d v="2020-09-11T16:18:39"/>
    <s v="ccber_user"/>
    <d v="2020-09-11T16:18:39"/>
    <s v="ccber_user"/>
  </r>
  <r>
    <n v="45"/>
    <d v="2020-09-11T00:00:00"/>
    <d v="2020-09-11T09:23:03"/>
    <x v="28"/>
    <n v="1"/>
    <x v="0"/>
    <s v="Vegetation - Shrub"/>
    <m/>
    <m/>
    <m/>
    <m/>
    <x v="0"/>
    <m/>
    <m/>
    <m/>
    <m/>
    <m/>
    <m/>
    <m/>
    <m/>
    <m/>
    <m/>
    <m/>
    <m/>
    <m/>
    <m/>
    <m/>
    <s v="{f7869ac9-bf6b-4e91-9c93-9dd0f11c9fca}"/>
    <d v="2020-09-11T16:23:03"/>
    <s v="ccber_user"/>
    <d v="2020-09-11T16:23:03"/>
    <s v="ccber_user"/>
  </r>
  <r>
    <n v="46"/>
    <d v="2020-09-11T00:00:00"/>
    <d v="2020-09-11T09:23:30"/>
    <x v="28"/>
    <n v="2"/>
    <x v="0"/>
    <s v="Vegetation - Shrub"/>
    <m/>
    <m/>
    <m/>
    <m/>
    <x v="0"/>
    <m/>
    <m/>
    <m/>
    <m/>
    <m/>
    <m/>
    <m/>
    <m/>
    <m/>
    <m/>
    <m/>
    <m/>
    <m/>
    <m/>
    <m/>
    <s v="{71f14ae0-7416-4c34-939c-d55fde3339ee}"/>
    <d v="2020-09-11T16:23:30"/>
    <s v="ccber_user"/>
    <d v="2020-09-11T16:23:30"/>
    <s v="ccber_user"/>
  </r>
  <r>
    <n v="91"/>
    <d v="2020-09-11T00:00:00"/>
    <d v="2020-09-11T09:24:23"/>
    <x v="28"/>
    <n v="1"/>
    <x v="0"/>
    <s v="Vegetation - Herbaceous"/>
    <m/>
    <m/>
    <m/>
    <m/>
    <x v="1"/>
    <m/>
    <m/>
    <m/>
    <m/>
    <m/>
    <m/>
    <m/>
    <m/>
    <m/>
    <m/>
    <m/>
    <m/>
    <m/>
    <m/>
    <m/>
    <s v="{a44e7e42-f10c-49c2-b040-58e770c5ee15}"/>
    <d v="2020-09-11T16:24:23"/>
    <s v="clark@ccber.ucsb.edu_ucsb"/>
    <d v="2020-09-11T16:24:23"/>
    <s v="clark@ccber.ucsb.edu_ucsb"/>
  </r>
  <r>
    <n v="94"/>
    <d v="2020-09-11T00:00:00"/>
    <d v="2020-09-11T09:30:37"/>
    <x v="28"/>
    <n v="2"/>
    <x v="0"/>
    <s v="Vegetation - Herbaceous"/>
    <m/>
    <m/>
    <m/>
    <m/>
    <x v="1"/>
    <m/>
    <m/>
    <m/>
    <m/>
    <m/>
    <m/>
    <m/>
    <m/>
    <m/>
    <m/>
    <m/>
    <m/>
    <m/>
    <m/>
    <m/>
    <s v="{da523b5b-a046-483c-883d-e8bb28a4ce48}"/>
    <d v="2020-09-11T16:30:37"/>
    <s v="clark@ccber.ucsb.edu_ucsb"/>
    <d v="2020-09-11T16:30:37"/>
    <s v="clark@ccber.ucsb.edu_ucsb"/>
  </r>
  <r>
    <n v="97"/>
    <d v="2020-09-11T00:00:00"/>
    <d v="2020-09-11T09:35:17"/>
    <x v="28"/>
    <n v="3"/>
    <x v="0"/>
    <s v="Vegetation - Tree"/>
    <m/>
    <m/>
    <m/>
    <m/>
    <x v="1"/>
    <m/>
    <m/>
    <m/>
    <m/>
    <m/>
    <m/>
    <m/>
    <m/>
    <m/>
    <m/>
    <m/>
    <m/>
    <m/>
    <m/>
    <m/>
    <s v="{0996c965-4bb7-44b9-8f59-5759731a1318}"/>
    <d v="2020-09-11T16:35:17"/>
    <s v="clark@ccber.ucsb.edu_ucsb"/>
    <d v="2020-09-11T16:35:17"/>
    <s v="clark@ccber.ucsb.edu_ucsb"/>
  </r>
  <r>
    <n v="99"/>
    <d v="2020-09-11T00:00:00"/>
    <d v="2020-09-11T09:37:54"/>
    <x v="28"/>
    <n v="1"/>
    <x v="0"/>
    <s v="Vegetation - Shrub"/>
    <m/>
    <m/>
    <m/>
    <m/>
    <x v="1"/>
    <m/>
    <m/>
    <m/>
    <m/>
    <m/>
    <m/>
    <m/>
    <m/>
    <m/>
    <m/>
    <m/>
    <m/>
    <m/>
    <m/>
    <m/>
    <s v="{778ac1fd-13f3-4c00-8579-299916e4a4dc}"/>
    <d v="2020-09-11T16:37:54"/>
    <s v="clark@ccber.ucsb.edu_ucsb"/>
    <d v="2020-09-11T16:37:54"/>
    <s v="clark@ccber.ucsb.edu_ucsb"/>
  </r>
  <r>
    <n v="102"/>
    <d v="2020-09-11T00:00:00"/>
    <d v="2020-09-11T09:39:26"/>
    <x v="28"/>
    <n v="1"/>
    <x v="0"/>
    <s v="Vegetation - Shrub"/>
    <m/>
    <m/>
    <m/>
    <m/>
    <x v="1"/>
    <m/>
    <m/>
    <m/>
    <m/>
    <m/>
    <m/>
    <m/>
    <m/>
    <m/>
    <m/>
    <m/>
    <m/>
    <m/>
    <m/>
    <m/>
    <s v="{3d4f1826-27d3-4ccc-8d9a-cba151104cec}"/>
    <d v="2020-09-11T16:39:26"/>
    <s v="clark@ccber.ucsb.edu_ucsb"/>
    <d v="2020-09-11T16:39:26"/>
    <s v="clark@ccber.ucsb.edu_ucsb"/>
  </r>
  <r>
    <n v="58"/>
    <d v="2020-09-11T00:00:00"/>
    <d v="2020-09-11T09:43:31"/>
    <x v="28"/>
    <n v="1"/>
    <x v="0"/>
    <s v="Vegetation - Shrub"/>
    <m/>
    <m/>
    <m/>
    <m/>
    <x v="0"/>
    <m/>
    <m/>
    <m/>
    <m/>
    <m/>
    <m/>
    <m/>
    <m/>
    <m/>
    <m/>
    <m/>
    <m/>
    <m/>
    <m/>
    <m/>
    <s v="{50071f9c-98da-4757-88b1-f57ed8dc677d}"/>
    <d v="2020-09-11T16:43:31"/>
    <s v="ccber_user"/>
    <d v="2020-09-11T16:43:31"/>
    <s v="ccber_user"/>
  </r>
  <r>
    <n v="109"/>
    <d v="2020-09-11T00:00:00"/>
    <d v="2020-09-11T09:45:33"/>
    <x v="28"/>
    <n v="4"/>
    <x v="0"/>
    <s v="Vegetation - Tree"/>
    <m/>
    <m/>
    <m/>
    <m/>
    <x v="1"/>
    <m/>
    <m/>
    <m/>
    <m/>
    <m/>
    <m/>
    <m/>
    <m/>
    <m/>
    <m/>
    <m/>
    <m/>
    <m/>
    <m/>
    <m/>
    <s v="{a566b2dd-2efa-4417-8b1b-03c17a42417a}"/>
    <d v="2020-09-11T16:45:33"/>
    <s v="clark@ccber.ucsb.edu_ucsb"/>
    <d v="2020-09-11T16:45:33"/>
    <s v="clark@ccber.ucsb.edu_ucsb"/>
  </r>
  <r>
    <n v="59"/>
    <d v="2020-09-11T00:00:00"/>
    <d v="2020-09-11T09:52:01"/>
    <x v="28"/>
    <n v="2"/>
    <x v="0"/>
    <s v="Fence"/>
    <m/>
    <m/>
    <m/>
    <m/>
    <x v="0"/>
    <m/>
    <m/>
    <m/>
    <m/>
    <m/>
    <m/>
    <m/>
    <m/>
    <m/>
    <m/>
    <m/>
    <m/>
    <m/>
    <m/>
    <m/>
    <s v="{1704a2fc-a8de-4567-bbbd-f403090c46d8}"/>
    <d v="2020-09-11T16:52:01"/>
    <s v="ccber_user"/>
    <d v="2020-09-11T16:52:01"/>
    <s v="ccber_user"/>
  </r>
  <r>
    <n v="51"/>
    <d v="2020-09-11T00:00:00"/>
    <d v="2020-09-11T09:28:12"/>
    <x v="29"/>
    <n v="1"/>
    <x v="0"/>
    <s v="Water - Wading"/>
    <m/>
    <m/>
    <m/>
    <m/>
    <x v="0"/>
    <m/>
    <m/>
    <m/>
    <m/>
    <m/>
    <m/>
    <m/>
    <m/>
    <m/>
    <m/>
    <m/>
    <m/>
    <m/>
    <m/>
    <m/>
    <s v="{31765d69-3582-4a40-846a-6c24a34287ec}"/>
    <d v="2020-09-11T16:28:12"/>
    <s v="ccber_user"/>
    <d v="2020-09-11T16:28:12"/>
    <s v="ccber_user"/>
  </r>
  <r>
    <n v="15"/>
    <d v="2020-09-11T00:00:00"/>
    <d v="2020-09-11T08:35:45"/>
    <x v="30"/>
    <n v="1"/>
    <x v="0"/>
    <s v="Building"/>
    <m/>
    <m/>
    <m/>
    <m/>
    <x v="0"/>
    <m/>
    <m/>
    <m/>
    <m/>
    <m/>
    <m/>
    <m/>
    <m/>
    <m/>
    <m/>
    <m/>
    <m/>
    <m/>
    <m/>
    <m/>
    <s v="{cbb13ff5-f4b3-4377-a67e-823d9c6ddde3}"/>
    <d v="2020-09-11T15:35:45"/>
    <s v="ccber_user"/>
    <d v="2020-09-11T15:36:21"/>
    <s v="ccber_user"/>
  </r>
  <r>
    <n v="16"/>
    <d v="2020-09-11T00:00:00"/>
    <d v="2020-09-11T08:36:59"/>
    <x v="30"/>
    <n v="1"/>
    <x v="0"/>
    <s v="Fence"/>
    <m/>
    <m/>
    <m/>
    <m/>
    <x v="0"/>
    <m/>
    <m/>
    <m/>
    <m/>
    <m/>
    <m/>
    <m/>
    <m/>
    <m/>
    <m/>
    <m/>
    <m/>
    <m/>
    <m/>
    <m/>
    <s v="{d0719d83-31de-4304-b652-403411c28253}"/>
    <d v="2020-09-11T15:36:59"/>
    <s v="ccber_user"/>
    <d v="2020-09-11T15:36:59"/>
    <s v="ccber_user"/>
  </r>
  <r>
    <n v="34"/>
    <d v="2020-09-11T00:00:00"/>
    <d v="2020-09-11T09:02:48"/>
    <x v="31"/>
    <n v="5"/>
    <x v="0"/>
    <s v="Water - Wading"/>
    <m/>
    <m/>
    <m/>
    <m/>
    <x v="0"/>
    <m/>
    <m/>
    <m/>
    <m/>
    <m/>
    <m/>
    <m/>
    <m/>
    <m/>
    <m/>
    <m/>
    <m/>
    <m/>
    <m/>
    <m/>
    <s v="{f3ddc985-636f-4e45-b20c-aa64ca55055a}"/>
    <d v="2020-09-11T16:02:48"/>
    <s v="ccber_user"/>
    <d v="2020-09-11T16:02:48"/>
    <s v="ccber_user"/>
  </r>
  <r>
    <n v="37"/>
    <d v="2020-09-11T00:00:00"/>
    <d v="2020-09-11T09:09:09"/>
    <x v="31"/>
    <n v="19"/>
    <x v="0"/>
    <s v="Water - Wading"/>
    <m/>
    <m/>
    <m/>
    <m/>
    <x v="0"/>
    <m/>
    <m/>
    <m/>
    <m/>
    <m/>
    <m/>
    <m/>
    <m/>
    <m/>
    <m/>
    <m/>
    <m/>
    <m/>
    <m/>
    <m/>
    <s v="{eeed84b2-ea4b-4cb1-9f3b-6f7081df3be3}"/>
    <d v="2020-09-11T16:09:09"/>
    <s v="ccber_user"/>
    <d v="2020-09-11T16:09:09"/>
    <s v="ccber_user"/>
  </r>
  <r>
    <n v="95"/>
    <d v="2020-09-11T00:00:00"/>
    <d v="2020-09-11T09:34:17"/>
    <x v="32"/>
    <n v="1"/>
    <x v="0"/>
    <s v="Vegetation - Tree"/>
    <m/>
    <m/>
    <m/>
    <m/>
    <x v="1"/>
    <m/>
    <m/>
    <m/>
    <m/>
    <m/>
    <m/>
    <m/>
    <m/>
    <m/>
    <m/>
    <m/>
    <m/>
    <m/>
    <m/>
    <m/>
    <s v="{3a833826-5961-4993-9b6a-eb5457f7c94d}"/>
    <d v="2020-09-11T16:34:17"/>
    <s v="clark@ccber.ucsb.edu_ucsb"/>
    <d v="2020-09-11T16:34:17"/>
    <s v="clark@ccber.ucsb.edu_ucsb"/>
  </r>
  <r>
    <n v="62"/>
    <d v="2020-09-11T00:00:00"/>
    <d v="2020-09-11T10:06:04"/>
    <x v="33"/>
    <n v="1"/>
    <x v="0"/>
    <s v="Vegetation - Shrub"/>
    <m/>
    <m/>
    <m/>
    <m/>
    <x v="0"/>
    <m/>
    <m/>
    <m/>
    <m/>
    <m/>
    <m/>
    <m/>
    <m/>
    <m/>
    <m/>
    <m/>
    <m/>
    <m/>
    <m/>
    <m/>
    <s v="{a72d3853-0a9c-413b-8fb5-f6fbf64a5f1e}"/>
    <d v="2020-09-11T17:06:04"/>
    <s v="ccber_user"/>
    <d v="2020-09-11T17:06:04"/>
    <s v="ccber_us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F9FB4-CE9C-42B3-893C-F089DD0B982A}" name="PivotTable1" cacheId="43" applyNumberFormats="0" applyBorderFormats="0" applyFontFormats="0" applyPatternFormats="0" applyAlignmentFormats="0" applyWidthHeightFormats="1" dataCaption="Values" updatedVersion="6" minRefreshableVersion="3" useAutoFormatting="1" colGrandTotals="0" itemPrintTitles="1" createdVersion="6" indent="0" outline="1" outlineData="1" multipleFieldFilters="0">
  <location ref="A3:F40" firstHeaderRow="1" firstDataRow="3" firstDataCol="1"/>
  <pivotFields count="32">
    <pivotField showAll="0"/>
    <pivotField numFmtId="14" showAll="0"/>
    <pivotField numFmtId="165"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7">
        <item m="1" x="4"/>
        <item m="1" x="3"/>
        <item m="1" x="2"/>
        <item m="1" x="5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numFmtId="164" showAll="0"/>
    <pivotField showAll="0"/>
  </pivotFields>
  <rowFields count="1">
    <field x="3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5"/>
    <field x="11"/>
  </colFields>
  <colItems count="5">
    <i>
      <x/>
      <x v="4"/>
    </i>
    <i r="1">
      <x v="5"/>
    </i>
    <i t="default">
      <x/>
    </i>
    <i>
      <x v="1"/>
      <x v="4"/>
    </i>
    <i t="default">
      <x v="1"/>
    </i>
  </colItems>
  <dataFields count="1">
    <dataField name="Sum of Count" fld="4" baseField="0" baseItem="0"/>
  </dataFields>
  <formats count="17">
    <format dxfId="16">
      <pivotArea outline="0" collapsedLevelsAreSubtotals="1" fieldPosition="0">
        <references count="1">
          <reference field="5" count="0" selected="0" defaultSubtotal="1"/>
        </references>
      </pivotArea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5" count="0" defaultSubtotal="1"/>
        </references>
      </pivotArea>
    </format>
    <format dxfId="13">
      <pivotArea outline="0" collapsedLevelsAreSubtotals="1" fieldPosition="0">
        <references count="1">
          <reference field="5" count="0" selected="0" defaultSubtotal="1"/>
        </references>
      </pivotArea>
    </format>
    <format dxfId="12">
      <pivotArea type="topRight" dataOnly="0" labelOnly="1" outline="0" fieldPosition="0"/>
    </format>
    <format dxfId="11">
      <pivotArea dataOnly="0" labelOnly="1" fieldPosition="0">
        <references count="1">
          <reference field="5" count="0" defaultSubtotal="1"/>
        </references>
      </pivotArea>
    </format>
    <format dxfId="10">
      <pivotArea outline="0" collapsedLevelsAreSubtotals="1" fieldPosition="0">
        <references count="1">
          <reference field="5" count="0" selected="0" defaultSubtotal="1"/>
        </references>
      </pivotArea>
    </format>
    <format dxfId="9">
      <pivotArea type="topRight" dataOnly="0" labelOnly="1" outline="0" fieldPosition="0"/>
    </format>
    <format dxfId="8">
      <pivotArea dataOnly="0" labelOnly="1" fieldPosition="0">
        <references count="1">
          <reference field="5" count="0" defaultSubtotal="1"/>
        </references>
      </pivotArea>
    </format>
    <format dxfId="7">
      <pivotArea outline="0" collapsedLevelsAreSubtotals="1" fieldPosition="0">
        <references count="2">
          <reference field="5" count="0" selected="0"/>
          <reference field="11" count="0" selected="0"/>
        </references>
      </pivotArea>
    </format>
    <format dxfId="6">
      <pivotArea collapsedLevelsAreSubtotals="1" fieldPosition="0">
        <references count="1">
          <reference field="3" count="0"/>
        </references>
      </pivotArea>
    </format>
    <format dxfId="5">
      <pivotArea dataOnly="0" labelOnly="1" fieldPosition="0">
        <references count="1">
          <reference field="3" count="0"/>
        </references>
      </pivotArea>
    </format>
    <format dxfId="4">
      <pivotArea outline="0" collapsedLevelsAreSubtotals="1" fieldPosition="0">
        <references count="1">
          <reference field="5" count="1" selected="0" defaultSubtotal="1">
            <x v="1"/>
          </reference>
        </references>
      </pivotArea>
    </format>
    <format dxfId="3">
      <pivotArea type="topRight" dataOnly="0" labelOnly="1" outline="0" offset="B1:C1" fieldPosition="0"/>
    </format>
    <format dxfId="2">
      <pivotArea dataOnly="0" labelOnly="1" fieldPosition="0">
        <references count="1">
          <reference field="5" count="1">
            <x v="1"/>
          </reference>
        </references>
      </pivotArea>
    </format>
    <format dxfId="1">
      <pivotArea dataOnly="0" labelOnly="1" fieldPosition="0">
        <references count="1">
          <reference field="5" count="1" defaultSubtotal="1">
            <x v="1"/>
          </reference>
        </references>
      </pivotArea>
    </format>
    <format dxfId="0">
      <pivotArea dataOnly="0" labelOnly="1" fieldPosition="0">
        <references count="2">
          <reference field="5" count="1" selected="0">
            <x v="1"/>
          </reference>
          <reference field="11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5"/>
  <sheetViews>
    <sheetView tabSelected="1" workbookViewId="0">
      <pane xSplit="5" ySplit="1" topLeftCell="G2" activePane="bottomRight" state="frozen"/>
      <selection pane="topRight" activeCell="F1" sqref="F1"/>
      <selection pane="bottomLeft" activeCell="A2" sqref="A2"/>
      <selection pane="bottomRight" activeCell="G2" sqref="G2:G115"/>
    </sheetView>
  </sheetViews>
  <sheetFormatPr defaultRowHeight="15" x14ac:dyDescent="0.25"/>
  <cols>
    <col min="1" max="1" width="10" style="7" bestFit="1" customWidth="1"/>
    <col min="2" max="2" width="10.42578125" style="6" bestFit="1" customWidth="1"/>
    <col min="3" max="3" width="17.28515625" style="6" bestFit="1" customWidth="1"/>
    <col min="4" max="4" width="26" bestFit="1" customWidth="1"/>
    <col min="5" max="5" width="9.140625" style="6"/>
    <col min="6" max="6" width="20.7109375" style="6" bestFit="1" customWidth="1"/>
    <col min="7" max="7" width="23.28515625" bestFit="1" customWidth="1"/>
    <col min="8" max="8" width="4.28515625" bestFit="1" customWidth="1"/>
    <col min="9" max="9" width="18.140625" bestFit="1" customWidth="1"/>
    <col min="10" max="10" width="19.5703125" bestFit="1" customWidth="1"/>
    <col min="11" max="11" width="12.7109375" style="6" bestFit="1" customWidth="1"/>
    <col min="12" max="12" width="29" bestFit="1" customWidth="1"/>
    <col min="29" max="29" width="18.28515625" bestFit="1" customWidth="1"/>
  </cols>
  <sheetData>
    <row r="1" spans="1:32" ht="15.75" x14ac:dyDescent="0.25">
      <c r="A1" s="1" t="s">
        <v>0</v>
      </c>
      <c r="B1" s="3" t="s">
        <v>198</v>
      </c>
      <c r="C1" s="3" t="s">
        <v>199</v>
      </c>
      <c r="D1" s="1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3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5">
      <c r="A2" s="7">
        <v>19</v>
      </c>
      <c r="B2" s="4">
        <v>44085</v>
      </c>
      <c r="C2" s="5">
        <f>AC2-(7/24)</f>
        <v>44085.359814814816</v>
      </c>
      <c r="D2" t="s">
        <v>73</v>
      </c>
      <c r="E2" s="6">
        <v>1</v>
      </c>
      <c r="F2" s="6" t="s">
        <v>31</v>
      </c>
      <c r="G2" t="s">
        <v>63</v>
      </c>
      <c r="L2" t="s">
        <v>206</v>
      </c>
      <c r="AB2" t="s">
        <v>74</v>
      </c>
      <c r="AC2" s="2">
        <v>44085.65148148148</v>
      </c>
      <c r="AD2" t="s">
        <v>37</v>
      </c>
      <c r="AE2" s="2">
        <v>44085.65148148148</v>
      </c>
      <c r="AF2" t="s">
        <v>37</v>
      </c>
    </row>
    <row r="3" spans="1:32" x14ac:dyDescent="0.25">
      <c r="A3" s="7">
        <v>20</v>
      </c>
      <c r="B3" s="4">
        <v>44085</v>
      </c>
      <c r="C3" s="5">
        <f>AC3-(7/24)</f>
        <v>44085.360949074078</v>
      </c>
      <c r="D3" t="s">
        <v>73</v>
      </c>
      <c r="E3" s="6">
        <v>3</v>
      </c>
      <c r="F3" s="6" t="s">
        <v>31</v>
      </c>
      <c r="G3" t="s">
        <v>70</v>
      </c>
      <c r="L3" t="s">
        <v>206</v>
      </c>
      <c r="AB3" t="s">
        <v>75</v>
      </c>
      <c r="AC3" s="2">
        <v>44085.652615740742</v>
      </c>
      <c r="AD3" t="s">
        <v>37</v>
      </c>
      <c r="AE3" s="2">
        <v>44085.652615740742</v>
      </c>
      <c r="AF3" t="s">
        <v>37</v>
      </c>
    </row>
    <row r="4" spans="1:32" x14ac:dyDescent="0.25">
      <c r="A4" s="7">
        <v>27</v>
      </c>
      <c r="B4" s="4">
        <v>44085</v>
      </c>
      <c r="C4" s="5">
        <f>AC4-(7/24)</f>
        <v>44085.370196759264</v>
      </c>
      <c r="D4" t="s">
        <v>73</v>
      </c>
      <c r="E4" s="6">
        <v>1</v>
      </c>
      <c r="F4" s="6" t="s">
        <v>31</v>
      </c>
      <c r="G4" t="s">
        <v>32</v>
      </c>
      <c r="L4" t="s">
        <v>206</v>
      </c>
      <c r="AB4" t="s">
        <v>85</v>
      </c>
      <c r="AC4" s="2">
        <v>44085.661863425928</v>
      </c>
      <c r="AD4" t="s">
        <v>37</v>
      </c>
      <c r="AE4" s="2">
        <v>44085.661863425928</v>
      </c>
      <c r="AF4" t="s">
        <v>37</v>
      </c>
    </row>
    <row r="5" spans="1:32" x14ac:dyDescent="0.25">
      <c r="A5" s="7">
        <v>30</v>
      </c>
      <c r="B5" s="4">
        <v>44085</v>
      </c>
      <c r="C5" s="5">
        <f>AC5-(7/24)</f>
        <v>44085.373460648159</v>
      </c>
      <c r="D5" t="s">
        <v>73</v>
      </c>
      <c r="E5" s="6">
        <v>3</v>
      </c>
      <c r="F5" s="6" t="s">
        <v>31</v>
      </c>
      <c r="L5" t="s">
        <v>206</v>
      </c>
      <c r="AB5" t="s">
        <v>88</v>
      </c>
      <c r="AC5" s="2">
        <v>44085.665127314824</v>
      </c>
      <c r="AD5" t="s">
        <v>37</v>
      </c>
      <c r="AE5" s="2">
        <v>44085.665659722217</v>
      </c>
      <c r="AF5" t="s">
        <v>37</v>
      </c>
    </row>
    <row r="6" spans="1:32" x14ac:dyDescent="0.25">
      <c r="A6" s="7">
        <v>82</v>
      </c>
      <c r="B6" s="4">
        <v>44085</v>
      </c>
      <c r="C6" s="5">
        <f>AC6-(7/24)</f>
        <v>44085.381180555552</v>
      </c>
      <c r="D6" t="s">
        <v>73</v>
      </c>
      <c r="E6" s="6">
        <v>1</v>
      </c>
      <c r="F6" s="6" t="s">
        <v>31</v>
      </c>
      <c r="G6" t="s">
        <v>70</v>
      </c>
      <c r="L6" t="s">
        <v>207</v>
      </c>
      <c r="AB6" t="s">
        <v>158</v>
      </c>
      <c r="AC6" s="2">
        <v>44085.672847222217</v>
      </c>
      <c r="AD6" t="s">
        <v>136</v>
      </c>
      <c r="AE6" s="2">
        <v>44085.672847222217</v>
      </c>
      <c r="AF6" t="s">
        <v>136</v>
      </c>
    </row>
    <row r="7" spans="1:32" x14ac:dyDescent="0.25">
      <c r="A7" s="7">
        <v>4</v>
      </c>
      <c r="B7" s="4">
        <v>44085</v>
      </c>
      <c r="C7" s="5">
        <f>AC7-(7/24)</f>
        <v>44085.345300925939</v>
      </c>
      <c r="D7" t="s">
        <v>43</v>
      </c>
      <c r="E7" s="6">
        <v>1</v>
      </c>
      <c r="F7" s="6" t="s">
        <v>31</v>
      </c>
      <c r="G7" t="s">
        <v>32</v>
      </c>
      <c r="L7" t="s">
        <v>206</v>
      </c>
      <c r="AB7" t="s">
        <v>44</v>
      </c>
      <c r="AC7" s="2">
        <v>44085.636967592603</v>
      </c>
      <c r="AD7" t="s">
        <v>37</v>
      </c>
      <c r="AE7" s="2">
        <v>44085.636967592603</v>
      </c>
      <c r="AF7" t="s">
        <v>37</v>
      </c>
    </row>
    <row r="8" spans="1:32" x14ac:dyDescent="0.25">
      <c r="A8" s="7">
        <v>70</v>
      </c>
      <c r="B8" s="4">
        <v>44085</v>
      </c>
      <c r="C8" s="5">
        <f>AC8-(7/24)</f>
        <v>44085.348310185189</v>
      </c>
      <c r="D8" t="s">
        <v>43</v>
      </c>
      <c r="E8" s="6">
        <v>2</v>
      </c>
      <c r="F8" s="6" t="s">
        <v>31</v>
      </c>
      <c r="G8" t="s">
        <v>70</v>
      </c>
      <c r="L8" t="s">
        <v>207</v>
      </c>
      <c r="AB8" t="s">
        <v>142</v>
      </c>
      <c r="AC8" s="2">
        <v>44085.639976851853</v>
      </c>
      <c r="AD8" t="s">
        <v>136</v>
      </c>
      <c r="AE8" s="2">
        <v>44085.639976851853</v>
      </c>
      <c r="AF8" t="s">
        <v>136</v>
      </c>
    </row>
    <row r="9" spans="1:32" x14ac:dyDescent="0.25">
      <c r="A9" s="7">
        <v>21</v>
      </c>
      <c r="B9" s="4">
        <v>44085</v>
      </c>
      <c r="C9" s="5">
        <f>AC9-(7/24)</f>
        <v>44085.361111111124</v>
      </c>
      <c r="D9" t="s">
        <v>43</v>
      </c>
      <c r="E9" s="6">
        <v>1</v>
      </c>
      <c r="F9" s="6" t="s">
        <v>31</v>
      </c>
      <c r="G9" t="s">
        <v>32</v>
      </c>
      <c r="L9" t="s">
        <v>206</v>
      </c>
      <c r="AB9" t="s">
        <v>76</v>
      </c>
      <c r="AC9" s="2">
        <v>44085.652777777788</v>
      </c>
      <c r="AD9" t="s">
        <v>37</v>
      </c>
      <c r="AE9" s="2">
        <v>44085.652777777788</v>
      </c>
      <c r="AF9" t="s">
        <v>37</v>
      </c>
    </row>
    <row r="10" spans="1:32" x14ac:dyDescent="0.25">
      <c r="A10" s="7">
        <v>31</v>
      </c>
      <c r="B10" s="4">
        <v>44085</v>
      </c>
      <c r="C10" s="5">
        <f>AC10-(7/24)</f>
        <v>44085.374282407407</v>
      </c>
      <c r="D10" t="s">
        <v>43</v>
      </c>
      <c r="E10" s="6">
        <v>1</v>
      </c>
      <c r="F10" s="6" t="s">
        <v>31</v>
      </c>
      <c r="G10" t="s">
        <v>70</v>
      </c>
      <c r="L10" t="s">
        <v>206</v>
      </c>
      <c r="AB10" t="s">
        <v>89</v>
      </c>
      <c r="AC10" s="2">
        <v>44085.665949074071</v>
      </c>
      <c r="AD10" t="s">
        <v>37</v>
      </c>
      <c r="AE10" s="2">
        <v>44085.665949074071</v>
      </c>
      <c r="AF10" t="s">
        <v>37</v>
      </c>
    </row>
    <row r="11" spans="1:32" x14ac:dyDescent="0.25">
      <c r="A11" s="7">
        <v>83</v>
      </c>
      <c r="B11" s="4">
        <v>44085</v>
      </c>
      <c r="C11" s="5">
        <f>AC11-(7/24)</f>
        <v>44085.381550925929</v>
      </c>
      <c r="D11" t="s">
        <v>43</v>
      </c>
      <c r="E11" s="6">
        <v>1</v>
      </c>
      <c r="F11" s="6" t="s">
        <v>31</v>
      </c>
      <c r="G11" t="s">
        <v>32</v>
      </c>
      <c r="L11" t="s">
        <v>207</v>
      </c>
      <c r="AB11" t="s">
        <v>159</v>
      </c>
      <c r="AC11" s="2">
        <v>44085.673217592594</v>
      </c>
      <c r="AD11" t="s">
        <v>136</v>
      </c>
      <c r="AE11" s="2">
        <v>44085.673217592594</v>
      </c>
      <c r="AF11" t="s">
        <v>136</v>
      </c>
    </row>
    <row r="12" spans="1:32" x14ac:dyDescent="0.25">
      <c r="A12" s="7">
        <v>41</v>
      </c>
      <c r="B12" s="4">
        <v>44085</v>
      </c>
      <c r="C12" s="5">
        <f>AC12-(7/24)</f>
        <v>44085.382916666669</v>
      </c>
      <c r="D12" t="s">
        <v>43</v>
      </c>
      <c r="E12" s="6">
        <v>3</v>
      </c>
      <c r="F12" s="6" t="s">
        <v>31</v>
      </c>
      <c r="G12" t="s">
        <v>32</v>
      </c>
      <c r="L12" t="s">
        <v>206</v>
      </c>
      <c r="AB12" t="s">
        <v>102</v>
      </c>
      <c r="AC12" s="2">
        <v>44085.674583333333</v>
      </c>
      <c r="AD12" t="s">
        <v>37</v>
      </c>
      <c r="AE12" s="2">
        <v>44085.674583333333</v>
      </c>
      <c r="AF12" t="s">
        <v>37</v>
      </c>
    </row>
    <row r="13" spans="1:32" x14ac:dyDescent="0.25">
      <c r="A13" s="7">
        <v>87</v>
      </c>
      <c r="B13" s="4">
        <v>44085</v>
      </c>
      <c r="C13" s="5">
        <f>AC13-(7/24)</f>
        <v>44085.386365740749</v>
      </c>
      <c r="D13" t="s">
        <v>43</v>
      </c>
      <c r="E13" s="6">
        <v>1</v>
      </c>
      <c r="F13" s="6" t="s">
        <v>31</v>
      </c>
      <c r="G13" t="s">
        <v>70</v>
      </c>
      <c r="L13" t="s">
        <v>207</v>
      </c>
      <c r="AB13" t="s">
        <v>165</v>
      </c>
      <c r="AC13" s="2">
        <v>44085.678032407413</v>
      </c>
      <c r="AD13" t="s">
        <v>136</v>
      </c>
      <c r="AE13" s="2">
        <v>44085.678032407413</v>
      </c>
      <c r="AF13" t="s">
        <v>136</v>
      </c>
    </row>
    <row r="14" spans="1:32" x14ac:dyDescent="0.25">
      <c r="A14" s="7">
        <v>104</v>
      </c>
      <c r="B14" s="4">
        <v>44085</v>
      </c>
      <c r="C14" s="5">
        <f>AC14-(7/24)</f>
        <v>44085.403622685182</v>
      </c>
      <c r="D14" t="s">
        <v>43</v>
      </c>
      <c r="E14" s="6">
        <v>2</v>
      </c>
      <c r="F14" s="6" t="s">
        <v>31</v>
      </c>
      <c r="G14" t="s">
        <v>41</v>
      </c>
      <c r="L14" t="s">
        <v>207</v>
      </c>
      <c r="AB14" t="s">
        <v>184</v>
      </c>
      <c r="AC14" s="2">
        <v>44085.695289351846</v>
      </c>
      <c r="AD14" t="s">
        <v>136</v>
      </c>
      <c r="AE14" s="2">
        <v>44085.695289351846</v>
      </c>
      <c r="AF14" t="s">
        <v>136</v>
      </c>
    </row>
    <row r="15" spans="1:32" x14ac:dyDescent="0.25">
      <c r="A15" s="7">
        <v>110</v>
      </c>
      <c r="B15" s="4">
        <v>44085</v>
      </c>
      <c r="C15" s="5">
        <f>AC15-(7/24)</f>
        <v>44085.406782407408</v>
      </c>
      <c r="D15" t="s">
        <v>43</v>
      </c>
      <c r="E15" s="6">
        <v>2</v>
      </c>
      <c r="F15" s="6" t="s">
        <v>31</v>
      </c>
      <c r="G15" t="s">
        <v>70</v>
      </c>
      <c r="L15" t="s">
        <v>207</v>
      </c>
      <c r="AB15" t="s">
        <v>192</v>
      </c>
      <c r="AC15" s="2">
        <v>44085.698449074072</v>
      </c>
      <c r="AD15" t="s">
        <v>136</v>
      </c>
      <c r="AE15" s="2">
        <v>44085.698449074072</v>
      </c>
      <c r="AF15" t="s">
        <v>136</v>
      </c>
    </row>
    <row r="16" spans="1:32" x14ac:dyDescent="0.25">
      <c r="A16" s="7">
        <v>42</v>
      </c>
      <c r="B16" s="4">
        <v>44085</v>
      </c>
      <c r="C16" s="5">
        <f>AC16-(7/24)</f>
        <v>44085.384398148148</v>
      </c>
      <c r="D16" t="s">
        <v>103</v>
      </c>
      <c r="E16" s="6">
        <v>1</v>
      </c>
      <c r="F16" s="6" t="s">
        <v>31</v>
      </c>
      <c r="G16" t="s">
        <v>41</v>
      </c>
      <c r="L16" t="s">
        <v>206</v>
      </c>
      <c r="AB16" t="s">
        <v>104</v>
      </c>
      <c r="AC16" s="2">
        <v>44085.676064814812</v>
      </c>
      <c r="AD16" t="s">
        <v>37</v>
      </c>
      <c r="AE16" s="2">
        <v>44085.676064814812</v>
      </c>
      <c r="AF16" t="s">
        <v>37</v>
      </c>
    </row>
    <row r="17" spans="1:32" x14ac:dyDescent="0.25">
      <c r="A17" s="7">
        <v>12</v>
      </c>
      <c r="B17" s="4">
        <v>44085</v>
      </c>
      <c r="C17" s="5">
        <f>AC17-(7/24)</f>
        <v>44085.356099537043</v>
      </c>
      <c r="D17" t="s">
        <v>59</v>
      </c>
      <c r="E17" s="6">
        <v>1</v>
      </c>
      <c r="F17" s="6" t="s">
        <v>31</v>
      </c>
      <c r="G17" t="s">
        <v>52</v>
      </c>
      <c r="L17" t="s">
        <v>206</v>
      </c>
      <c r="AB17" t="s">
        <v>60</v>
      </c>
      <c r="AC17" s="2">
        <v>44085.647766203707</v>
      </c>
      <c r="AD17" t="s">
        <v>37</v>
      </c>
      <c r="AE17" s="2">
        <v>44085.647766203707</v>
      </c>
      <c r="AF17" t="s">
        <v>37</v>
      </c>
    </row>
    <row r="18" spans="1:32" x14ac:dyDescent="0.25">
      <c r="A18" s="7">
        <v>18</v>
      </c>
      <c r="B18" s="4">
        <v>44085</v>
      </c>
      <c r="C18" s="5">
        <f>AC18-(7/24)</f>
        <v>44085.359537037039</v>
      </c>
      <c r="D18" t="s">
        <v>59</v>
      </c>
      <c r="E18" s="6">
        <v>1</v>
      </c>
      <c r="F18" s="6" t="s">
        <v>31</v>
      </c>
      <c r="G18" t="s">
        <v>52</v>
      </c>
      <c r="L18" t="s">
        <v>206</v>
      </c>
      <c r="AB18" t="s">
        <v>72</v>
      </c>
      <c r="AC18" s="2">
        <v>44085.651203703703</v>
      </c>
      <c r="AD18" t="s">
        <v>37</v>
      </c>
      <c r="AE18" s="2">
        <v>44085.651203703703</v>
      </c>
      <c r="AF18" t="s">
        <v>37</v>
      </c>
    </row>
    <row r="19" spans="1:32" x14ac:dyDescent="0.25">
      <c r="A19" s="7">
        <v>75</v>
      </c>
      <c r="B19" s="4">
        <v>44085</v>
      </c>
      <c r="C19" s="5">
        <f>AC19-(7/24)</f>
        <v>44085.367152777777</v>
      </c>
      <c r="D19" t="s">
        <v>59</v>
      </c>
      <c r="E19" s="6">
        <v>1</v>
      </c>
      <c r="F19" s="6" t="s">
        <v>31</v>
      </c>
      <c r="G19" t="s">
        <v>112</v>
      </c>
      <c r="L19" t="s">
        <v>207</v>
      </c>
      <c r="AB19" t="s">
        <v>150</v>
      </c>
      <c r="AC19" s="2">
        <v>44085.658819444441</v>
      </c>
      <c r="AD19" t="s">
        <v>136</v>
      </c>
      <c r="AE19" s="2">
        <v>44085.658819444441</v>
      </c>
      <c r="AF19" t="s">
        <v>136</v>
      </c>
    </row>
    <row r="20" spans="1:32" x14ac:dyDescent="0.25">
      <c r="A20" s="7">
        <v>29</v>
      </c>
      <c r="B20" s="4">
        <v>44085</v>
      </c>
      <c r="C20" s="5">
        <f>AC20-(7/24)</f>
        <v>44085.371712962966</v>
      </c>
      <c r="D20" t="s">
        <v>59</v>
      </c>
      <c r="E20" s="6">
        <v>1</v>
      </c>
      <c r="F20" s="6" t="s">
        <v>31</v>
      </c>
      <c r="G20" t="s">
        <v>70</v>
      </c>
      <c r="L20" t="s">
        <v>206</v>
      </c>
      <c r="AB20" t="s">
        <v>87</v>
      </c>
      <c r="AC20" s="2">
        <v>44085.66337962963</v>
      </c>
      <c r="AD20" t="s">
        <v>37</v>
      </c>
      <c r="AE20" s="2">
        <v>44085.66337962963</v>
      </c>
      <c r="AF20" t="s">
        <v>37</v>
      </c>
    </row>
    <row r="21" spans="1:32" x14ac:dyDescent="0.25">
      <c r="A21" s="7">
        <v>79</v>
      </c>
      <c r="B21" s="4">
        <v>44085</v>
      </c>
      <c r="C21" s="5">
        <f>AC21-(7/24)</f>
        <v>44085.374363425923</v>
      </c>
      <c r="D21" t="s">
        <v>59</v>
      </c>
      <c r="E21" s="6">
        <v>1</v>
      </c>
      <c r="F21" s="6" t="s">
        <v>31</v>
      </c>
      <c r="G21" t="s">
        <v>153</v>
      </c>
      <c r="L21" t="s">
        <v>207</v>
      </c>
      <c r="AB21" t="s">
        <v>155</v>
      </c>
      <c r="AC21" s="2">
        <v>44085.666030092587</v>
      </c>
      <c r="AD21" t="s">
        <v>136</v>
      </c>
      <c r="AE21" s="2">
        <v>44085.666030092587</v>
      </c>
      <c r="AF21" t="s">
        <v>136</v>
      </c>
    </row>
    <row r="22" spans="1:32" x14ac:dyDescent="0.25">
      <c r="A22" s="7">
        <v>33</v>
      </c>
      <c r="B22" s="4">
        <v>44085</v>
      </c>
      <c r="C22" s="5">
        <f>AC22-(7/24)</f>
        <v>44085.375451388893</v>
      </c>
      <c r="D22" t="s">
        <v>59</v>
      </c>
      <c r="E22" s="6">
        <v>1</v>
      </c>
      <c r="F22" s="6" t="s">
        <v>31</v>
      </c>
      <c r="G22" t="s">
        <v>52</v>
      </c>
      <c r="L22" t="s">
        <v>206</v>
      </c>
      <c r="AB22" t="s">
        <v>91</v>
      </c>
      <c r="AC22" s="2">
        <v>44085.667118055557</v>
      </c>
      <c r="AD22" t="s">
        <v>37</v>
      </c>
      <c r="AE22" s="2">
        <v>44085.667118055557</v>
      </c>
      <c r="AF22" t="s">
        <v>37</v>
      </c>
    </row>
    <row r="23" spans="1:32" x14ac:dyDescent="0.25">
      <c r="A23" s="7">
        <v>81</v>
      </c>
      <c r="B23" s="4">
        <v>44085</v>
      </c>
      <c r="C23" s="5">
        <f>AC23-(7/24)</f>
        <v>44085.378923611119</v>
      </c>
      <c r="D23" t="s">
        <v>59</v>
      </c>
      <c r="E23" s="6">
        <v>1</v>
      </c>
      <c r="F23" s="6" t="s">
        <v>31</v>
      </c>
      <c r="G23" t="s">
        <v>112</v>
      </c>
      <c r="L23" t="s">
        <v>207</v>
      </c>
      <c r="AB23" t="s">
        <v>157</v>
      </c>
      <c r="AC23" s="2">
        <v>44085.670590277783</v>
      </c>
      <c r="AD23" t="s">
        <v>136</v>
      </c>
      <c r="AE23" s="2">
        <v>44085.670590277783</v>
      </c>
      <c r="AF23" t="s">
        <v>136</v>
      </c>
    </row>
    <row r="24" spans="1:32" x14ac:dyDescent="0.25">
      <c r="A24" s="7">
        <v>89</v>
      </c>
      <c r="B24" s="4">
        <v>44085</v>
      </c>
      <c r="C24" s="5">
        <f>AC24-(7/24)</f>
        <v>44085.387824074074</v>
      </c>
      <c r="D24" t="s">
        <v>59</v>
      </c>
      <c r="E24" s="6">
        <v>1</v>
      </c>
      <c r="F24" s="6" t="s">
        <v>31</v>
      </c>
      <c r="G24" t="s">
        <v>112</v>
      </c>
      <c r="L24" t="s">
        <v>207</v>
      </c>
      <c r="AB24" t="s">
        <v>167</v>
      </c>
      <c r="AC24" s="2">
        <v>44085.679490740738</v>
      </c>
      <c r="AD24" t="s">
        <v>136</v>
      </c>
      <c r="AE24" s="2">
        <v>44085.679490740738</v>
      </c>
      <c r="AF24" t="s">
        <v>136</v>
      </c>
    </row>
    <row r="25" spans="1:32" x14ac:dyDescent="0.25">
      <c r="A25" s="7">
        <v>44</v>
      </c>
      <c r="B25" s="4">
        <v>44085</v>
      </c>
      <c r="C25" s="5">
        <f>AC25-(7/24)</f>
        <v>44085.390254629623</v>
      </c>
      <c r="D25" t="s">
        <v>59</v>
      </c>
      <c r="E25" s="6">
        <v>1</v>
      </c>
      <c r="F25" s="6" t="s">
        <v>31</v>
      </c>
      <c r="G25" t="s">
        <v>52</v>
      </c>
      <c r="L25" t="s">
        <v>206</v>
      </c>
      <c r="AB25" t="s">
        <v>106</v>
      </c>
      <c r="AC25" s="2">
        <v>44085.681921296287</v>
      </c>
      <c r="AD25" t="s">
        <v>37</v>
      </c>
      <c r="AE25" s="2">
        <v>44085.681921296287</v>
      </c>
      <c r="AF25" t="s">
        <v>37</v>
      </c>
    </row>
    <row r="26" spans="1:32" x14ac:dyDescent="0.25">
      <c r="A26" s="7">
        <v>90</v>
      </c>
      <c r="B26" s="4">
        <v>44085</v>
      </c>
      <c r="C26" s="5">
        <f>AC26-(7/24)</f>
        <v>44085.391064814816</v>
      </c>
      <c r="D26" t="s">
        <v>59</v>
      </c>
      <c r="E26" s="6">
        <v>1</v>
      </c>
      <c r="F26" s="6" t="s">
        <v>31</v>
      </c>
      <c r="G26" t="s">
        <v>153</v>
      </c>
      <c r="L26" t="s">
        <v>207</v>
      </c>
      <c r="AB26" t="s">
        <v>168</v>
      </c>
      <c r="AC26" s="2">
        <v>44085.68273148148</v>
      </c>
      <c r="AD26" t="s">
        <v>136</v>
      </c>
      <c r="AE26" s="2">
        <v>44085.68273148148</v>
      </c>
      <c r="AF26" t="s">
        <v>136</v>
      </c>
    </row>
    <row r="27" spans="1:32" x14ac:dyDescent="0.25">
      <c r="A27" s="7">
        <v>98</v>
      </c>
      <c r="B27" s="4">
        <v>44085</v>
      </c>
      <c r="C27" s="5">
        <f>AC27-(7/24)</f>
        <v>44085.400810185187</v>
      </c>
      <c r="D27" t="s">
        <v>59</v>
      </c>
      <c r="E27" s="6">
        <v>1</v>
      </c>
      <c r="F27" s="6" t="s">
        <v>31</v>
      </c>
      <c r="G27" t="s">
        <v>112</v>
      </c>
      <c r="L27" t="s">
        <v>207</v>
      </c>
      <c r="AB27" t="s">
        <v>178</v>
      </c>
      <c r="AC27" s="2">
        <v>44085.692476851851</v>
      </c>
      <c r="AD27" t="s">
        <v>136</v>
      </c>
      <c r="AE27" s="2">
        <v>44085.692476851851</v>
      </c>
      <c r="AF27" t="s">
        <v>136</v>
      </c>
    </row>
    <row r="28" spans="1:32" x14ac:dyDescent="0.25">
      <c r="A28" s="7">
        <v>55</v>
      </c>
      <c r="B28" s="4">
        <v>44085</v>
      </c>
      <c r="C28" s="5">
        <f>AC28-(7/24)</f>
        <v>44085.401064814818</v>
      </c>
      <c r="D28" t="s">
        <v>59</v>
      </c>
      <c r="E28" s="6">
        <v>1</v>
      </c>
      <c r="F28" s="6" t="s">
        <v>31</v>
      </c>
      <c r="G28" t="s">
        <v>52</v>
      </c>
      <c r="L28" t="s">
        <v>206</v>
      </c>
      <c r="AB28" t="s">
        <v>123</v>
      </c>
      <c r="AC28" s="2">
        <v>44085.692731481482</v>
      </c>
      <c r="AD28" t="s">
        <v>37</v>
      </c>
      <c r="AE28" s="2">
        <v>44085.692731481482</v>
      </c>
      <c r="AF28" t="s">
        <v>37</v>
      </c>
    </row>
    <row r="29" spans="1:32" x14ac:dyDescent="0.25">
      <c r="A29" s="7">
        <v>50</v>
      </c>
      <c r="B29" s="4">
        <v>44085</v>
      </c>
      <c r="C29" s="5">
        <f>AC29-(7/24)</f>
        <v>44085.393703703703</v>
      </c>
      <c r="D29" t="s">
        <v>115</v>
      </c>
      <c r="E29" s="6">
        <v>1</v>
      </c>
      <c r="F29" s="6" t="s">
        <v>31</v>
      </c>
      <c r="G29" t="s">
        <v>79</v>
      </c>
      <c r="L29" t="s">
        <v>206</v>
      </c>
      <c r="AB29" t="s">
        <v>116</v>
      </c>
      <c r="AC29" s="2">
        <v>44085.685370370367</v>
      </c>
      <c r="AD29" t="s">
        <v>37</v>
      </c>
      <c r="AE29" s="2">
        <v>44085.685370370367</v>
      </c>
      <c r="AF29" t="s">
        <v>37</v>
      </c>
    </row>
    <row r="30" spans="1:32" x14ac:dyDescent="0.25">
      <c r="A30" s="7">
        <v>114</v>
      </c>
      <c r="B30" s="4">
        <v>44085</v>
      </c>
      <c r="C30" s="5">
        <f>AC30-(7/24)</f>
        <v>44085.439652777779</v>
      </c>
      <c r="D30" t="s">
        <v>115</v>
      </c>
      <c r="E30" s="6">
        <v>1</v>
      </c>
      <c r="F30" s="6" t="s">
        <v>31</v>
      </c>
      <c r="G30" t="s">
        <v>196</v>
      </c>
      <c r="L30" t="s">
        <v>207</v>
      </c>
      <c r="AB30" t="s">
        <v>197</v>
      </c>
      <c r="AC30" s="2">
        <v>44085.731319444443</v>
      </c>
      <c r="AD30" t="s">
        <v>136</v>
      </c>
      <c r="AE30" s="2">
        <v>44085.731319444443</v>
      </c>
      <c r="AF30" t="s">
        <v>136</v>
      </c>
    </row>
    <row r="31" spans="1:32" x14ac:dyDescent="0.25">
      <c r="A31" s="7">
        <v>6</v>
      </c>
      <c r="B31" s="4">
        <v>44085</v>
      </c>
      <c r="C31" s="5">
        <f>AC31-(7/24)</f>
        <v>44085.346458333333</v>
      </c>
      <c r="D31" t="s">
        <v>47</v>
      </c>
      <c r="E31" s="6">
        <v>1</v>
      </c>
      <c r="F31" s="6" t="s">
        <v>31</v>
      </c>
      <c r="G31" t="s">
        <v>41</v>
      </c>
      <c r="L31" t="s">
        <v>206</v>
      </c>
      <c r="AB31" t="s">
        <v>48</v>
      </c>
      <c r="AC31" s="2">
        <v>44085.638124999998</v>
      </c>
      <c r="AD31" t="s">
        <v>37</v>
      </c>
      <c r="AE31" s="2">
        <v>44085.638124999998</v>
      </c>
      <c r="AF31" t="s">
        <v>37</v>
      </c>
    </row>
    <row r="32" spans="1:32" x14ac:dyDescent="0.25">
      <c r="A32" s="7">
        <v>69</v>
      </c>
      <c r="B32" s="4">
        <v>44085</v>
      </c>
      <c r="C32" s="5">
        <f>AC32-(7/24)</f>
        <v>44085.347280092596</v>
      </c>
      <c r="D32" t="s">
        <v>47</v>
      </c>
      <c r="E32" s="6">
        <v>3</v>
      </c>
      <c r="F32" s="6" t="s">
        <v>31</v>
      </c>
      <c r="G32" t="s">
        <v>70</v>
      </c>
      <c r="L32" t="s">
        <v>207</v>
      </c>
      <c r="AB32" t="s">
        <v>141</v>
      </c>
      <c r="AC32" s="2">
        <v>44085.63894675926</v>
      </c>
      <c r="AD32" t="s">
        <v>136</v>
      </c>
      <c r="AE32" s="2">
        <v>44085.649027777778</v>
      </c>
      <c r="AF32" t="s">
        <v>136</v>
      </c>
    </row>
    <row r="33" spans="1:32" x14ac:dyDescent="0.25">
      <c r="A33" s="7">
        <v>85</v>
      </c>
      <c r="B33" s="4">
        <v>44085</v>
      </c>
      <c r="C33" s="5">
        <f>AC33-(7/24)</f>
        <v>44085.385949074087</v>
      </c>
      <c r="D33" t="s">
        <v>47</v>
      </c>
      <c r="E33" s="6">
        <v>2</v>
      </c>
      <c r="F33" s="6" t="s">
        <v>31</v>
      </c>
      <c r="G33" t="s">
        <v>70</v>
      </c>
      <c r="L33" t="s">
        <v>207</v>
      </c>
      <c r="AB33" t="s">
        <v>162</v>
      </c>
      <c r="AC33" s="2">
        <v>44085.677615740751</v>
      </c>
      <c r="AD33" t="s">
        <v>136</v>
      </c>
      <c r="AE33" s="2">
        <v>44085.677615740751</v>
      </c>
      <c r="AF33" t="s">
        <v>136</v>
      </c>
    </row>
    <row r="34" spans="1:32" x14ac:dyDescent="0.25">
      <c r="A34" s="7">
        <v>112</v>
      </c>
      <c r="B34" s="4">
        <v>44085</v>
      </c>
      <c r="C34" s="5">
        <f>AC34-(7/24)</f>
        <v>44085.408136574079</v>
      </c>
      <c r="D34" t="s">
        <v>47</v>
      </c>
      <c r="E34" s="6">
        <v>1</v>
      </c>
      <c r="F34" s="6" t="s">
        <v>31</v>
      </c>
      <c r="G34" t="s">
        <v>41</v>
      </c>
      <c r="L34" t="s">
        <v>207</v>
      </c>
      <c r="AB34" t="s">
        <v>194</v>
      </c>
      <c r="AC34" s="2">
        <v>44085.699803240743</v>
      </c>
      <c r="AD34" t="s">
        <v>136</v>
      </c>
      <c r="AE34" s="2">
        <v>44085.699803240743</v>
      </c>
      <c r="AF34" t="s">
        <v>136</v>
      </c>
    </row>
    <row r="35" spans="1:32" x14ac:dyDescent="0.25">
      <c r="A35" s="7">
        <v>66</v>
      </c>
      <c r="B35" s="4">
        <v>44085</v>
      </c>
      <c r="C35" s="5">
        <f>AC35-(7/24)</f>
        <v>44085.344155092593</v>
      </c>
      <c r="D35" t="s">
        <v>40</v>
      </c>
      <c r="E35" s="6">
        <v>15</v>
      </c>
      <c r="F35" s="6" t="s">
        <v>31</v>
      </c>
      <c r="G35" t="s">
        <v>41</v>
      </c>
      <c r="L35" t="s">
        <v>207</v>
      </c>
      <c r="AB35" t="s">
        <v>138</v>
      </c>
      <c r="AC35" s="2">
        <v>44085.635821759257</v>
      </c>
      <c r="AD35" t="s">
        <v>136</v>
      </c>
      <c r="AE35" s="2">
        <v>44085.636493055557</v>
      </c>
      <c r="AF35" t="s">
        <v>136</v>
      </c>
    </row>
    <row r="36" spans="1:32" x14ac:dyDescent="0.25">
      <c r="A36" s="7">
        <v>3</v>
      </c>
      <c r="B36" s="4">
        <v>44085</v>
      </c>
      <c r="C36" s="5">
        <f>AC36-(7/24)</f>
        <v>44085.344918981486</v>
      </c>
      <c r="D36" t="s">
        <v>40</v>
      </c>
      <c r="E36" s="6">
        <v>8</v>
      </c>
      <c r="F36" s="6" t="s">
        <v>31</v>
      </c>
      <c r="G36" t="s">
        <v>41</v>
      </c>
      <c r="L36" t="s">
        <v>206</v>
      </c>
      <c r="AB36" t="s">
        <v>42</v>
      </c>
      <c r="AC36" s="2">
        <v>44085.63658564815</v>
      </c>
      <c r="AD36" t="s">
        <v>37</v>
      </c>
      <c r="AE36" s="2">
        <v>44085.63658564815</v>
      </c>
      <c r="AF36" t="s">
        <v>37</v>
      </c>
    </row>
    <row r="37" spans="1:32" x14ac:dyDescent="0.25">
      <c r="A37" s="7">
        <v>96</v>
      </c>
      <c r="B37" s="4">
        <v>44085</v>
      </c>
      <c r="C37" s="5">
        <f>AC37-(7/24)</f>
        <v>44085.399016203708</v>
      </c>
      <c r="D37" t="s">
        <v>40</v>
      </c>
      <c r="E37" s="6">
        <v>5</v>
      </c>
      <c r="F37" s="6" t="s">
        <v>31</v>
      </c>
      <c r="G37" t="s">
        <v>112</v>
      </c>
      <c r="L37" t="s">
        <v>207</v>
      </c>
      <c r="AB37" t="s">
        <v>176</v>
      </c>
      <c r="AC37" s="2">
        <v>44085.690682870372</v>
      </c>
      <c r="AD37" t="s">
        <v>136</v>
      </c>
      <c r="AE37" s="2">
        <v>44085.690682870372</v>
      </c>
      <c r="AF37" t="s">
        <v>136</v>
      </c>
    </row>
    <row r="38" spans="1:32" x14ac:dyDescent="0.25">
      <c r="A38" s="7">
        <v>64</v>
      </c>
      <c r="B38" s="4">
        <v>44085</v>
      </c>
      <c r="C38" s="5">
        <f>AC38-(7/24)</f>
        <v>44085.341782407413</v>
      </c>
      <c r="D38" t="s">
        <v>81</v>
      </c>
      <c r="E38" s="6">
        <v>1</v>
      </c>
      <c r="F38" s="6" t="s">
        <v>31</v>
      </c>
      <c r="G38" t="s">
        <v>41</v>
      </c>
      <c r="L38" t="s">
        <v>207</v>
      </c>
      <c r="AB38" t="s">
        <v>135</v>
      </c>
      <c r="AC38" s="2">
        <v>44085.633449074077</v>
      </c>
      <c r="AD38" t="s">
        <v>136</v>
      </c>
      <c r="AE38" s="2">
        <v>44085.63593750001</v>
      </c>
      <c r="AF38" t="s">
        <v>136</v>
      </c>
    </row>
    <row r="39" spans="1:32" x14ac:dyDescent="0.25">
      <c r="A39" s="7">
        <v>68</v>
      </c>
      <c r="B39" s="4">
        <v>44085</v>
      </c>
      <c r="C39" s="5">
        <f>AC39-(7/24)</f>
        <v>44085.345173611124</v>
      </c>
      <c r="D39" t="s">
        <v>81</v>
      </c>
      <c r="E39" s="6">
        <v>1</v>
      </c>
      <c r="F39" s="6" t="s">
        <v>31</v>
      </c>
      <c r="G39" t="s">
        <v>41</v>
      </c>
      <c r="L39" t="s">
        <v>207</v>
      </c>
      <c r="AB39" t="s">
        <v>140</v>
      </c>
      <c r="AC39" s="2">
        <v>44085.636840277788</v>
      </c>
      <c r="AD39" t="s">
        <v>136</v>
      </c>
      <c r="AE39" s="2">
        <v>44085.636840277788</v>
      </c>
      <c r="AF39" t="s">
        <v>136</v>
      </c>
    </row>
    <row r="40" spans="1:32" x14ac:dyDescent="0.25">
      <c r="A40" s="7">
        <v>25</v>
      </c>
      <c r="B40" s="4">
        <v>44085</v>
      </c>
      <c r="C40" s="5">
        <f>AC40-(7/24)</f>
        <v>44085.369016203716</v>
      </c>
      <c r="D40" t="s">
        <v>81</v>
      </c>
      <c r="E40" s="6">
        <v>1</v>
      </c>
      <c r="F40" s="6" t="s">
        <v>31</v>
      </c>
      <c r="G40" t="s">
        <v>41</v>
      </c>
      <c r="L40" t="s">
        <v>206</v>
      </c>
      <c r="AB40" t="s">
        <v>82</v>
      </c>
      <c r="AC40" s="2">
        <v>44085.660682870381</v>
      </c>
      <c r="AD40" t="s">
        <v>37</v>
      </c>
      <c r="AE40" s="2">
        <v>44085.660682870381</v>
      </c>
      <c r="AF40" t="s">
        <v>37</v>
      </c>
    </row>
    <row r="41" spans="1:32" x14ac:dyDescent="0.25">
      <c r="A41" s="7">
        <v>111</v>
      </c>
      <c r="B41" s="4">
        <v>44085</v>
      </c>
      <c r="C41" s="5">
        <f>AC41-(7/24)</f>
        <v>44085.407986111124</v>
      </c>
      <c r="D41" t="s">
        <v>81</v>
      </c>
      <c r="E41" s="6">
        <v>1</v>
      </c>
      <c r="F41" s="6" t="s">
        <v>31</v>
      </c>
      <c r="G41" t="s">
        <v>41</v>
      </c>
      <c r="L41" t="s">
        <v>207</v>
      </c>
      <c r="AB41" t="s">
        <v>193</v>
      </c>
      <c r="AC41" s="2">
        <v>44085.699652777788</v>
      </c>
      <c r="AD41" t="s">
        <v>136</v>
      </c>
      <c r="AE41" s="2">
        <v>44085.699652777788</v>
      </c>
      <c r="AF41" t="s">
        <v>136</v>
      </c>
    </row>
    <row r="42" spans="1:32" x14ac:dyDescent="0.25">
      <c r="A42" s="7">
        <v>8</v>
      </c>
      <c r="B42" s="4">
        <v>44085</v>
      </c>
      <c r="C42" s="5">
        <f>AC42-(7/24)</f>
        <v>44085.350671296299</v>
      </c>
      <c r="D42" t="s">
        <v>51</v>
      </c>
      <c r="E42" s="6">
        <v>1</v>
      </c>
      <c r="F42" s="6" t="s">
        <v>31</v>
      </c>
      <c r="G42" t="s">
        <v>52</v>
      </c>
      <c r="L42" t="s">
        <v>206</v>
      </c>
      <c r="AB42" t="s">
        <v>53</v>
      </c>
      <c r="AC42" s="2">
        <v>44085.642337962963</v>
      </c>
      <c r="AD42" t="s">
        <v>37</v>
      </c>
      <c r="AE42" s="2">
        <v>44085.642337962963</v>
      </c>
      <c r="AF42" t="s">
        <v>37</v>
      </c>
    </row>
    <row r="43" spans="1:32" x14ac:dyDescent="0.25">
      <c r="A43" s="7">
        <v>1</v>
      </c>
      <c r="B43" s="4">
        <v>44085</v>
      </c>
      <c r="C43" s="5">
        <f>AC43-(7/24)</f>
        <v>44085.340625000004</v>
      </c>
      <c r="D43" t="s">
        <v>30</v>
      </c>
      <c r="E43" s="6">
        <v>1</v>
      </c>
      <c r="F43" s="6" t="s">
        <v>31</v>
      </c>
      <c r="G43" t="s">
        <v>32</v>
      </c>
      <c r="K43" s="6">
        <v>4.4000000000000004</v>
      </c>
      <c r="L43" t="s">
        <v>206</v>
      </c>
      <c r="M43" t="s">
        <v>33</v>
      </c>
      <c r="O43">
        <v>60</v>
      </c>
      <c r="P43">
        <v>100</v>
      </c>
      <c r="Q43" t="s">
        <v>34</v>
      </c>
      <c r="R43" t="s">
        <v>35</v>
      </c>
      <c r="AB43" t="s">
        <v>36</v>
      </c>
      <c r="AC43" s="2">
        <v>44085.632291666669</v>
      </c>
      <c r="AD43" t="s">
        <v>37</v>
      </c>
      <c r="AE43" s="2">
        <v>44085.632291666669</v>
      </c>
      <c r="AF43" t="s">
        <v>37</v>
      </c>
    </row>
    <row r="44" spans="1:32" x14ac:dyDescent="0.25">
      <c r="A44" s="7">
        <v>77</v>
      </c>
      <c r="B44" s="4">
        <v>44085</v>
      </c>
      <c r="C44" s="5">
        <f>AC44-(7/24)</f>
        <v>44085.373923611114</v>
      </c>
      <c r="D44" t="s">
        <v>30</v>
      </c>
      <c r="E44" s="6">
        <v>1</v>
      </c>
      <c r="F44" s="6" t="s">
        <v>31</v>
      </c>
      <c r="G44" t="s">
        <v>32</v>
      </c>
      <c r="L44" t="s">
        <v>207</v>
      </c>
      <c r="AB44" t="s">
        <v>152</v>
      </c>
      <c r="AC44" s="2">
        <v>44085.665590277778</v>
      </c>
      <c r="AD44" t="s">
        <v>136</v>
      </c>
      <c r="AE44" s="2">
        <v>44085.665590277778</v>
      </c>
      <c r="AF44" t="s">
        <v>136</v>
      </c>
    </row>
    <row r="45" spans="1:32" x14ac:dyDescent="0.25">
      <c r="A45" s="7">
        <v>13</v>
      </c>
      <c r="B45" s="4">
        <v>44085</v>
      </c>
      <c r="C45" s="5">
        <f>AC45-(7/24)</f>
        <v>44085.356967592597</v>
      </c>
      <c r="D45" t="s">
        <v>61</v>
      </c>
      <c r="E45" s="6">
        <v>2</v>
      </c>
      <c r="F45" s="6" t="s">
        <v>31</v>
      </c>
      <c r="G45" t="s">
        <v>41</v>
      </c>
      <c r="L45" t="s">
        <v>206</v>
      </c>
      <c r="AB45" t="s">
        <v>62</v>
      </c>
      <c r="AC45" s="2">
        <v>44085.648634259262</v>
      </c>
      <c r="AD45" t="s">
        <v>37</v>
      </c>
      <c r="AE45" s="2">
        <v>44085.648634259262</v>
      </c>
      <c r="AF45" t="s">
        <v>37</v>
      </c>
    </row>
    <row r="46" spans="1:32" x14ac:dyDescent="0.25">
      <c r="A46" s="7">
        <v>76</v>
      </c>
      <c r="B46" s="4">
        <v>44085</v>
      </c>
      <c r="C46" s="5">
        <f>AC46-(7/24)</f>
        <v>44085.367291666669</v>
      </c>
      <c r="D46" t="s">
        <v>61</v>
      </c>
      <c r="E46" s="6">
        <v>1</v>
      </c>
      <c r="F46" s="6" t="s">
        <v>31</v>
      </c>
      <c r="G46" t="s">
        <v>112</v>
      </c>
      <c r="L46" t="s">
        <v>207</v>
      </c>
      <c r="AB46" t="s">
        <v>151</v>
      </c>
      <c r="AC46" s="2">
        <v>44085.658958333333</v>
      </c>
      <c r="AD46" t="s">
        <v>136</v>
      </c>
      <c r="AE46" s="2">
        <v>44085.658958333333</v>
      </c>
      <c r="AF46" t="s">
        <v>136</v>
      </c>
    </row>
    <row r="47" spans="1:32" x14ac:dyDescent="0.25">
      <c r="A47" s="7">
        <v>23</v>
      </c>
      <c r="B47" s="4">
        <v>44085</v>
      </c>
      <c r="C47" s="5">
        <f>AC47-(7/24)</f>
        <v>44085.367754629639</v>
      </c>
      <c r="D47" t="s">
        <v>61</v>
      </c>
      <c r="E47" s="6">
        <v>1</v>
      </c>
      <c r="F47" s="6" t="s">
        <v>31</v>
      </c>
      <c r="G47" t="s">
        <v>41</v>
      </c>
      <c r="L47" t="s">
        <v>206</v>
      </c>
      <c r="AB47" t="s">
        <v>78</v>
      </c>
      <c r="AC47" s="2">
        <v>44085.659421296303</v>
      </c>
      <c r="AD47" t="s">
        <v>37</v>
      </c>
      <c r="AE47" s="2">
        <v>44085.659421296303</v>
      </c>
      <c r="AF47" t="s">
        <v>37</v>
      </c>
    </row>
    <row r="48" spans="1:32" x14ac:dyDescent="0.25">
      <c r="A48" s="7">
        <v>35</v>
      </c>
      <c r="B48" s="4">
        <v>44085</v>
      </c>
      <c r="C48" s="5">
        <f>AC48-(7/24)</f>
        <v>44085.379479166666</v>
      </c>
      <c r="D48" t="s">
        <v>61</v>
      </c>
      <c r="E48" s="6">
        <v>2</v>
      </c>
      <c r="F48" s="6" t="s">
        <v>31</v>
      </c>
      <c r="G48" t="s">
        <v>70</v>
      </c>
      <c r="L48" t="s">
        <v>206</v>
      </c>
      <c r="AB48" t="s">
        <v>94</v>
      </c>
      <c r="AC48" s="2">
        <v>44085.67114583333</v>
      </c>
      <c r="AD48" t="s">
        <v>37</v>
      </c>
      <c r="AE48" s="2">
        <v>44085.67114583333</v>
      </c>
      <c r="AF48" t="s">
        <v>37</v>
      </c>
    </row>
    <row r="49" spans="1:32" x14ac:dyDescent="0.25">
      <c r="A49" s="7">
        <v>88</v>
      </c>
      <c r="B49" s="4">
        <v>44085</v>
      </c>
      <c r="C49" s="5">
        <f>AC49-(7/24)</f>
        <v>44085.386493055557</v>
      </c>
      <c r="D49" t="s">
        <v>61</v>
      </c>
      <c r="E49" s="6">
        <v>1</v>
      </c>
      <c r="F49" s="6" t="s">
        <v>31</v>
      </c>
      <c r="G49" t="s">
        <v>70</v>
      </c>
      <c r="L49" t="s">
        <v>207</v>
      </c>
      <c r="AB49" t="s">
        <v>166</v>
      </c>
      <c r="AC49" s="2">
        <v>44085.678159722222</v>
      </c>
      <c r="AD49" t="s">
        <v>136</v>
      </c>
      <c r="AE49" s="2">
        <v>44085.678159722222</v>
      </c>
      <c r="AF49" t="s">
        <v>136</v>
      </c>
    </row>
    <row r="50" spans="1:32" x14ac:dyDescent="0.25">
      <c r="A50" s="7">
        <v>93</v>
      </c>
      <c r="B50" s="4">
        <v>44085</v>
      </c>
      <c r="C50" s="5">
        <f>AC50-(7/24)</f>
        <v>44085.396099537036</v>
      </c>
      <c r="D50" t="s">
        <v>61</v>
      </c>
      <c r="E50" s="6">
        <v>1</v>
      </c>
      <c r="F50" s="6" t="s">
        <v>31</v>
      </c>
      <c r="G50" t="s">
        <v>112</v>
      </c>
      <c r="L50" t="s">
        <v>207</v>
      </c>
      <c r="AB50" t="s">
        <v>172</v>
      </c>
      <c r="AC50" s="2">
        <v>44085.6877662037</v>
      </c>
      <c r="AD50" t="s">
        <v>136</v>
      </c>
      <c r="AE50" s="2">
        <v>44085.6877662037</v>
      </c>
      <c r="AF50" t="s">
        <v>136</v>
      </c>
    </row>
    <row r="51" spans="1:32" x14ac:dyDescent="0.25">
      <c r="A51" s="7">
        <v>101</v>
      </c>
      <c r="B51" s="4">
        <v>44085</v>
      </c>
      <c r="C51" s="5">
        <f>AC51-(7/24)</f>
        <v>44085.401979166672</v>
      </c>
      <c r="D51" t="s">
        <v>61</v>
      </c>
      <c r="E51" s="6">
        <v>1</v>
      </c>
      <c r="F51" s="6" t="s">
        <v>31</v>
      </c>
      <c r="G51" t="s">
        <v>112</v>
      </c>
      <c r="L51" t="s">
        <v>207</v>
      </c>
      <c r="AB51" t="s">
        <v>181</v>
      </c>
      <c r="AC51" s="2">
        <v>44085.693645833337</v>
      </c>
      <c r="AD51" t="s">
        <v>136</v>
      </c>
      <c r="AE51" s="2">
        <v>44085.693645833337</v>
      </c>
      <c r="AF51" t="s">
        <v>136</v>
      </c>
    </row>
    <row r="52" spans="1:32" x14ac:dyDescent="0.25">
      <c r="A52" s="7">
        <v>106</v>
      </c>
      <c r="B52" s="4">
        <v>44085</v>
      </c>
      <c r="C52" s="5">
        <f>AC52-(7/24)</f>
        <v>44085.403923611113</v>
      </c>
      <c r="D52" t="s">
        <v>61</v>
      </c>
      <c r="E52" s="6">
        <v>1</v>
      </c>
      <c r="F52" s="6" t="s">
        <v>31</v>
      </c>
      <c r="G52" t="s">
        <v>112</v>
      </c>
      <c r="L52" t="s">
        <v>207</v>
      </c>
      <c r="AB52" t="s">
        <v>187</v>
      </c>
      <c r="AC52" s="2">
        <v>44085.695590277777</v>
      </c>
      <c r="AD52" t="s">
        <v>136</v>
      </c>
      <c r="AE52" s="2">
        <v>44085.695590277777</v>
      </c>
      <c r="AF52" t="s">
        <v>136</v>
      </c>
    </row>
    <row r="53" spans="1:32" x14ac:dyDescent="0.25">
      <c r="A53" s="7">
        <v>60</v>
      </c>
      <c r="B53" s="4">
        <v>44085</v>
      </c>
      <c r="C53" s="5">
        <f>AC53-(7/24)</f>
        <v>44085.411435185182</v>
      </c>
      <c r="D53" t="s">
        <v>61</v>
      </c>
      <c r="E53" s="6">
        <v>1</v>
      </c>
      <c r="F53" s="6" t="s">
        <v>31</v>
      </c>
      <c r="G53" t="s">
        <v>41</v>
      </c>
      <c r="L53" t="s">
        <v>206</v>
      </c>
      <c r="AB53" t="s">
        <v>128</v>
      </c>
      <c r="AC53" s="2">
        <v>44085.703101851846</v>
      </c>
      <c r="AD53" t="s">
        <v>37</v>
      </c>
      <c r="AE53" s="2">
        <v>44085.703101851846</v>
      </c>
      <c r="AF53" t="s">
        <v>37</v>
      </c>
    </row>
    <row r="54" spans="1:32" x14ac:dyDescent="0.25">
      <c r="A54" s="7">
        <v>86</v>
      </c>
      <c r="B54" s="4">
        <v>44085</v>
      </c>
      <c r="C54" s="5">
        <f>AC54-(7/24)</f>
        <v>44085.386250000003</v>
      </c>
      <c r="D54" t="s">
        <v>163</v>
      </c>
      <c r="E54" s="6">
        <v>1</v>
      </c>
      <c r="F54" s="6" t="s">
        <v>31</v>
      </c>
      <c r="G54" t="s">
        <v>70</v>
      </c>
      <c r="L54" t="s">
        <v>207</v>
      </c>
      <c r="AB54" t="s">
        <v>164</v>
      </c>
      <c r="AC54" s="2">
        <v>44085.677916666667</v>
      </c>
      <c r="AD54" t="s">
        <v>136</v>
      </c>
      <c r="AE54" s="2">
        <v>44085.677916666667</v>
      </c>
      <c r="AF54" t="s">
        <v>136</v>
      </c>
    </row>
    <row r="55" spans="1:32" x14ac:dyDescent="0.25">
      <c r="A55" s="7">
        <v>74</v>
      </c>
      <c r="B55" s="4">
        <v>44085</v>
      </c>
      <c r="C55" s="5">
        <f>AC55-(7/24)</f>
        <v>44085.365601851852</v>
      </c>
      <c r="D55" t="s">
        <v>148</v>
      </c>
      <c r="E55" s="6">
        <v>1</v>
      </c>
      <c r="F55" s="6" t="s">
        <v>31</v>
      </c>
      <c r="G55" t="s">
        <v>70</v>
      </c>
      <c r="L55" t="s">
        <v>207</v>
      </c>
      <c r="AB55" t="s">
        <v>149</v>
      </c>
      <c r="AC55" s="2">
        <v>44085.657268518517</v>
      </c>
      <c r="AD55" t="s">
        <v>136</v>
      </c>
      <c r="AE55" s="2">
        <v>44085.657268518517</v>
      </c>
      <c r="AF55" t="s">
        <v>136</v>
      </c>
    </row>
    <row r="56" spans="1:32" x14ac:dyDescent="0.25">
      <c r="A56" s="7">
        <v>65</v>
      </c>
      <c r="B56" s="4">
        <v>44085</v>
      </c>
      <c r="C56" s="5">
        <f>AC56-(7/24)</f>
        <v>44085.343599537038</v>
      </c>
      <c r="D56" t="s">
        <v>69</v>
      </c>
      <c r="E56" s="6">
        <v>2</v>
      </c>
      <c r="F56" s="6" t="s">
        <v>31</v>
      </c>
      <c r="G56" t="s">
        <v>52</v>
      </c>
      <c r="L56" t="s">
        <v>207</v>
      </c>
      <c r="AB56" t="s">
        <v>137</v>
      </c>
      <c r="AC56" s="2">
        <v>44085.635266203702</v>
      </c>
      <c r="AD56" t="s">
        <v>136</v>
      </c>
      <c r="AE56" s="2">
        <v>44085.636064814833</v>
      </c>
      <c r="AF56" t="s">
        <v>136</v>
      </c>
    </row>
    <row r="57" spans="1:32" x14ac:dyDescent="0.25">
      <c r="A57" s="7">
        <v>17</v>
      </c>
      <c r="B57" s="4">
        <v>44085</v>
      </c>
      <c r="C57" s="5">
        <f>AC57-(7/24)</f>
        <v>44085.359282407408</v>
      </c>
      <c r="D57" t="s">
        <v>69</v>
      </c>
      <c r="E57" s="6">
        <v>3</v>
      </c>
      <c r="F57" s="6" t="s">
        <v>31</v>
      </c>
      <c r="G57" t="s">
        <v>70</v>
      </c>
      <c r="L57" t="s">
        <v>206</v>
      </c>
      <c r="AB57" t="s">
        <v>71</v>
      </c>
      <c r="AC57" s="2">
        <v>44085.650949074072</v>
      </c>
      <c r="AD57" t="s">
        <v>37</v>
      </c>
      <c r="AE57" s="2">
        <v>44085.650949074072</v>
      </c>
      <c r="AF57" t="s">
        <v>37</v>
      </c>
    </row>
    <row r="58" spans="1:32" x14ac:dyDescent="0.25">
      <c r="A58" s="7">
        <v>22</v>
      </c>
      <c r="B58" s="4">
        <v>44085</v>
      </c>
      <c r="C58" s="5">
        <f>AC58-(7/24)</f>
        <v>44085.362210648149</v>
      </c>
      <c r="D58" t="s">
        <v>69</v>
      </c>
      <c r="E58" s="6">
        <v>3</v>
      </c>
      <c r="F58" s="6" t="s">
        <v>31</v>
      </c>
      <c r="G58" t="s">
        <v>70</v>
      </c>
      <c r="L58" t="s">
        <v>206</v>
      </c>
      <c r="AB58" t="s">
        <v>77</v>
      </c>
      <c r="AC58" s="2">
        <v>44085.653877314813</v>
      </c>
      <c r="AD58" t="s">
        <v>37</v>
      </c>
      <c r="AE58" s="2">
        <v>44085.653877314813</v>
      </c>
      <c r="AF58" t="s">
        <v>37</v>
      </c>
    </row>
    <row r="59" spans="1:32" x14ac:dyDescent="0.25">
      <c r="A59" s="7">
        <v>80</v>
      </c>
      <c r="B59" s="4">
        <v>44085</v>
      </c>
      <c r="C59" s="5">
        <f>AC59-(7/24)</f>
        <v>44085.377361111103</v>
      </c>
      <c r="D59" t="s">
        <v>69</v>
      </c>
      <c r="E59" s="6">
        <v>3</v>
      </c>
      <c r="F59" s="6" t="s">
        <v>31</v>
      </c>
      <c r="G59" t="s">
        <v>70</v>
      </c>
      <c r="L59" t="s">
        <v>207</v>
      </c>
      <c r="AB59" t="s">
        <v>156</v>
      </c>
      <c r="AC59" s="2">
        <v>44085.669027777767</v>
      </c>
      <c r="AD59" t="s">
        <v>136</v>
      </c>
      <c r="AE59" s="2">
        <v>44085.669027777767</v>
      </c>
      <c r="AF59" t="s">
        <v>136</v>
      </c>
    </row>
    <row r="60" spans="1:32" x14ac:dyDescent="0.25">
      <c r="A60" s="7">
        <v>113</v>
      </c>
      <c r="B60" s="4">
        <v>44085</v>
      </c>
      <c r="C60" s="5">
        <f>AC60-(7/24)</f>
        <v>44085.408310185187</v>
      </c>
      <c r="D60" t="s">
        <v>69</v>
      </c>
      <c r="E60" s="6">
        <v>5</v>
      </c>
      <c r="F60" s="6" t="s">
        <v>31</v>
      </c>
      <c r="G60" t="s">
        <v>112</v>
      </c>
      <c r="L60" t="s">
        <v>207</v>
      </c>
      <c r="AB60" t="s">
        <v>195</v>
      </c>
      <c r="AC60" s="2">
        <v>44085.699976851851</v>
      </c>
      <c r="AD60" t="s">
        <v>136</v>
      </c>
      <c r="AE60" s="2">
        <v>44085.699976851851</v>
      </c>
      <c r="AF60" t="s">
        <v>136</v>
      </c>
    </row>
    <row r="61" spans="1:32" x14ac:dyDescent="0.25">
      <c r="A61" s="7">
        <v>47</v>
      </c>
      <c r="B61" s="4">
        <v>44085</v>
      </c>
      <c r="C61" s="5">
        <f>AC61-(7/24)</f>
        <v>44085.391747685186</v>
      </c>
      <c r="D61" t="s">
        <v>109</v>
      </c>
      <c r="E61" s="6">
        <v>1</v>
      </c>
      <c r="F61" s="6" t="s">
        <v>31</v>
      </c>
      <c r="G61" t="s">
        <v>63</v>
      </c>
      <c r="L61" t="s">
        <v>206</v>
      </c>
      <c r="AB61" t="s">
        <v>110</v>
      </c>
      <c r="AC61" s="2">
        <v>44085.68341435185</v>
      </c>
      <c r="AD61" t="s">
        <v>37</v>
      </c>
      <c r="AE61" s="2">
        <v>44085.68341435185</v>
      </c>
      <c r="AF61" t="s">
        <v>37</v>
      </c>
    </row>
    <row r="62" spans="1:32" x14ac:dyDescent="0.25">
      <c r="A62" s="7">
        <v>10</v>
      </c>
      <c r="B62" s="4">
        <v>44085</v>
      </c>
      <c r="C62" s="5">
        <f>AC62-(7/24)</f>
        <v>44085.353680555556</v>
      </c>
      <c r="D62" t="s">
        <v>56</v>
      </c>
      <c r="E62" s="6">
        <v>1</v>
      </c>
      <c r="F62" s="6" t="s">
        <v>31</v>
      </c>
      <c r="G62" t="s">
        <v>41</v>
      </c>
      <c r="L62" t="s">
        <v>206</v>
      </c>
      <c r="AB62" t="s">
        <v>57</v>
      </c>
      <c r="AC62" s="2">
        <v>44085.64534722222</v>
      </c>
      <c r="AD62" t="s">
        <v>37</v>
      </c>
      <c r="AE62" s="2">
        <v>44085.64534722222</v>
      </c>
      <c r="AF62" t="s">
        <v>37</v>
      </c>
    </row>
    <row r="63" spans="1:32" x14ac:dyDescent="0.25">
      <c r="A63" s="7">
        <v>11</v>
      </c>
      <c r="B63" s="4">
        <v>44085</v>
      </c>
      <c r="C63" s="5">
        <f>AC63-(7/24)</f>
        <v>44085.354861111118</v>
      </c>
      <c r="D63" t="s">
        <v>56</v>
      </c>
      <c r="E63" s="6">
        <v>1</v>
      </c>
      <c r="F63" s="6" t="s">
        <v>31</v>
      </c>
      <c r="G63" t="s">
        <v>41</v>
      </c>
      <c r="L63" t="s">
        <v>206</v>
      </c>
      <c r="AB63" t="s">
        <v>58</v>
      </c>
      <c r="AC63" s="2">
        <v>44085.646527777782</v>
      </c>
      <c r="AD63" t="s">
        <v>37</v>
      </c>
      <c r="AE63" s="2">
        <v>44085.646527777782</v>
      </c>
      <c r="AF63" t="s">
        <v>37</v>
      </c>
    </row>
    <row r="64" spans="1:32" x14ac:dyDescent="0.25">
      <c r="A64" s="7">
        <v>72</v>
      </c>
      <c r="B64" s="4">
        <v>44085</v>
      </c>
      <c r="C64" s="5">
        <f>AC64-(7/24)</f>
        <v>44085.356006944457</v>
      </c>
      <c r="D64" t="s">
        <v>56</v>
      </c>
      <c r="E64" s="6">
        <v>1</v>
      </c>
      <c r="F64" s="6" t="s">
        <v>31</v>
      </c>
      <c r="G64" t="s">
        <v>70</v>
      </c>
      <c r="L64" t="s">
        <v>207</v>
      </c>
      <c r="AB64" t="s">
        <v>145</v>
      </c>
      <c r="AC64" s="2">
        <v>44085.647673611122</v>
      </c>
      <c r="AD64" t="s">
        <v>136</v>
      </c>
      <c r="AE64" s="2">
        <v>44085.647673611122</v>
      </c>
      <c r="AF64" t="s">
        <v>136</v>
      </c>
    </row>
    <row r="65" spans="1:32" x14ac:dyDescent="0.25">
      <c r="A65" s="7">
        <v>53</v>
      </c>
      <c r="B65" s="4">
        <v>44085</v>
      </c>
      <c r="C65" s="5">
        <f>AC65-(7/24)</f>
        <v>44085.395162037043</v>
      </c>
      <c r="D65" t="s">
        <v>56</v>
      </c>
      <c r="E65" s="6">
        <v>1</v>
      </c>
      <c r="F65" s="6" t="s">
        <v>31</v>
      </c>
      <c r="G65" t="s">
        <v>41</v>
      </c>
      <c r="L65" t="s">
        <v>206</v>
      </c>
      <c r="AB65" t="s">
        <v>120</v>
      </c>
      <c r="AC65" s="2">
        <v>44085.686828703707</v>
      </c>
      <c r="AD65" t="s">
        <v>37</v>
      </c>
      <c r="AE65" s="2">
        <v>44085.686828703707</v>
      </c>
      <c r="AF65" t="s">
        <v>37</v>
      </c>
    </row>
    <row r="66" spans="1:32" x14ac:dyDescent="0.25">
      <c r="A66" s="7">
        <v>100</v>
      </c>
      <c r="B66" s="4">
        <v>44085</v>
      </c>
      <c r="C66" s="5">
        <f>AC66-(7/24)</f>
        <v>44085.401469907403</v>
      </c>
      <c r="D66" t="s">
        <v>56</v>
      </c>
      <c r="E66" s="6">
        <v>1</v>
      </c>
      <c r="F66" s="6" t="s">
        <v>31</v>
      </c>
      <c r="G66" t="s">
        <v>41</v>
      </c>
      <c r="L66" t="s">
        <v>207</v>
      </c>
      <c r="AB66" t="s">
        <v>180</v>
      </c>
      <c r="AC66" s="2">
        <v>44085.693136574067</v>
      </c>
      <c r="AD66" t="s">
        <v>136</v>
      </c>
      <c r="AE66" s="2">
        <v>44085.693136574067</v>
      </c>
      <c r="AF66" t="s">
        <v>136</v>
      </c>
    </row>
    <row r="67" spans="1:32" x14ac:dyDescent="0.25">
      <c r="A67" s="7">
        <v>57</v>
      </c>
      <c r="B67" s="4">
        <v>44085</v>
      </c>
      <c r="C67" s="5">
        <f>AC67-(7/24)</f>
        <v>44085.404907407406</v>
      </c>
      <c r="D67" t="s">
        <v>56</v>
      </c>
      <c r="E67" s="6">
        <v>2</v>
      </c>
      <c r="F67" s="6" t="s">
        <v>31</v>
      </c>
      <c r="G67" t="s">
        <v>70</v>
      </c>
      <c r="L67" t="s">
        <v>206</v>
      </c>
      <c r="AB67" t="s">
        <v>125</v>
      </c>
      <c r="AC67" s="2">
        <v>44085.696574074071</v>
      </c>
      <c r="AD67" t="s">
        <v>37</v>
      </c>
      <c r="AE67" s="2">
        <v>44085.696574074071</v>
      </c>
      <c r="AF67" t="s">
        <v>37</v>
      </c>
    </row>
    <row r="68" spans="1:32" x14ac:dyDescent="0.25">
      <c r="A68" s="7">
        <v>39</v>
      </c>
      <c r="B68" s="4">
        <v>44085</v>
      </c>
      <c r="C68" s="5">
        <f>AC68-(7/24)</f>
        <v>44085.381840277783</v>
      </c>
      <c r="D68" t="s">
        <v>99</v>
      </c>
      <c r="E68" s="6">
        <v>2</v>
      </c>
      <c r="F68" s="6" t="s">
        <v>31</v>
      </c>
      <c r="G68" t="s">
        <v>79</v>
      </c>
      <c r="L68" t="s">
        <v>206</v>
      </c>
      <c r="AB68" t="s">
        <v>100</v>
      </c>
      <c r="AC68" s="2">
        <v>44085.673506944448</v>
      </c>
      <c r="AD68" t="s">
        <v>37</v>
      </c>
      <c r="AE68" s="2">
        <v>44085.673506944448</v>
      </c>
      <c r="AF68" t="s">
        <v>37</v>
      </c>
    </row>
    <row r="69" spans="1:32" x14ac:dyDescent="0.25">
      <c r="A69" s="7">
        <v>52</v>
      </c>
      <c r="B69" s="4">
        <v>44085</v>
      </c>
      <c r="C69" s="5">
        <f>AC69-(7/24)</f>
        <v>44085.394733796296</v>
      </c>
      <c r="D69" t="s">
        <v>99</v>
      </c>
      <c r="E69" s="6">
        <v>1</v>
      </c>
      <c r="F69" s="6" t="s">
        <v>31</v>
      </c>
      <c r="G69" t="s">
        <v>63</v>
      </c>
      <c r="L69" t="s">
        <v>206</v>
      </c>
      <c r="AB69" t="s">
        <v>119</v>
      </c>
      <c r="AC69" s="2">
        <v>44085.686400462961</v>
      </c>
      <c r="AD69" t="s">
        <v>37</v>
      </c>
      <c r="AE69" s="2">
        <v>44085.686400462961</v>
      </c>
      <c r="AF69" t="s">
        <v>37</v>
      </c>
    </row>
    <row r="70" spans="1:32" x14ac:dyDescent="0.25">
      <c r="A70" s="7">
        <v>84</v>
      </c>
      <c r="B70" s="4">
        <v>44085</v>
      </c>
      <c r="C70" s="5">
        <f>AC70-(7/24)</f>
        <v>44085.382256944446</v>
      </c>
      <c r="D70" t="s">
        <v>160</v>
      </c>
      <c r="E70" s="6">
        <v>2</v>
      </c>
      <c r="F70" s="6" t="s">
        <v>31</v>
      </c>
      <c r="G70" t="s">
        <v>112</v>
      </c>
      <c r="L70" t="s">
        <v>207</v>
      </c>
      <c r="AB70" t="s">
        <v>161</v>
      </c>
      <c r="AC70" s="2">
        <v>44085.67392361111</v>
      </c>
      <c r="AD70" t="s">
        <v>136</v>
      </c>
      <c r="AE70" s="2">
        <v>44085.67392361111</v>
      </c>
      <c r="AF70" t="s">
        <v>136</v>
      </c>
    </row>
    <row r="71" spans="1:32" x14ac:dyDescent="0.25">
      <c r="A71" s="7">
        <v>7</v>
      </c>
      <c r="B71" s="4">
        <v>44085</v>
      </c>
      <c r="C71" s="5">
        <f>AC71-(7/24)</f>
        <v>44085.349259259259</v>
      </c>
      <c r="D71" t="s">
        <v>49</v>
      </c>
      <c r="E71" s="6">
        <v>1</v>
      </c>
      <c r="F71" s="6" t="s">
        <v>31</v>
      </c>
      <c r="L71" t="s">
        <v>206</v>
      </c>
      <c r="AB71" t="s">
        <v>50</v>
      </c>
      <c r="AC71" s="2">
        <v>44085.640925925924</v>
      </c>
      <c r="AD71" t="s">
        <v>37</v>
      </c>
      <c r="AE71" s="2">
        <v>44085.640925925924</v>
      </c>
      <c r="AF71" t="s">
        <v>37</v>
      </c>
    </row>
    <row r="72" spans="1:32" x14ac:dyDescent="0.25">
      <c r="A72" s="7">
        <v>63</v>
      </c>
      <c r="B72" s="4">
        <v>44085</v>
      </c>
      <c r="C72" s="5">
        <f>AC72-(7/24)</f>
        <v>44085.437685185185</v>
      </c>
      <c r="D72" t="s">
        <v>49</v>
      </c>
      <c r="E72" s="6">
        <v>1</v>
      </c>
      <c r="F72" s="6" t="s">
        <v>208</v>
      </c>
      <c r="G72" t="s">
        <v>41</v>
      </c>
      <c r="J72" t="s">
        <v>209</v>
      </c>
      <c r="L72" t="s">
        <v>206</v>
      </c>
      <c r="U72">
        <v>66</v>
      </c>
      <c r="V72">
        <v>80</v>
      </c>
      <c r="W72" t="s">
        <v>133</v>
      </c>
      <c r="X72" t="s">
        <v>35</v>
      </c>
      <c r="AB72" t="s">
        <v>134</v>
      </c>
      <c r="AC72" s="2">
        <v>44085.729351851849</v>
      </c>
      <c r="AD72" t="s">
        <v>37</v>
      </c>
      <c r="AE72" s="2">
        <v>44085.730219907397</v>
      </c>
      <c r="AF72" t="s">
        <v>37</v>
      </c>
    </row>
    <row r="73" spans="1:32" x14ac:dyDescent="0.25">
      <c r="A73" s="7">
        <v>5</v>
      </c>
      <c r="B73" s="4">
        <v>44085</v>
      </c>
      <c r="C73" s="5">
        <f>AC73-(7/24)</f>
        <v>44085.346099537033</v>
      </c>
      <c r="D73" t="s">
        <v>45</v>
      </c>
      <c r="E73" s="6">
        <v>6</v>
      </c>
      <c r="F73" s="6" t="s">
        <v>31</v>
      </c>
      <c r="G73" t="s">
        <v>32</v>
      </c>
      <c r="L73" t="s">
        <v>206</v>
      </c>
      <c r="AB73" t="s">
        <v>46</v>
      </c>
      <c r="AC73" s="2">
        <v>44085.637766203698</v>
      </c>
      <c r="AD73" t="s">
        <v>37</v>
      </c>
      <c r="AE73" s="2">
        <v>44085.637766203698</v>
      </c>
      <c r="AF73" t="s">
        <v>37</v>
      </c>
    </row>
    <row r="74" spans="1:32" x14ac:dyDescent="0.25">
      <c r="A74" s="7">
        <v>9</v>
      </c>
      <c r="B74" s="4">
        <v>44085</v>
      </c>
      <c r="C74" s="5">
        <f>AC74-(7/24)</f>
        <v>44085.351932870362</v>
      </c>
      <c r="D74" t="s">
        <v>45</v>
      </c>
      <c r="E74" s="6">
        <v>1</v>
      </c>
      <c r="F74" s="6" t="s">
        <v>31</v>
      </c>
      <c r="G74" t="s">
        <v>54</v>
      </c>
      <c r="L74" t="s">
        <v>206</v>
      </c>
      <c r="AB74" t="s">
        <v>55</v>
      </c>
      <c r="AC74" s="2">
        <v>44085.643599537027</v>
      </c>
      <c r="AD74" t="s">
        <v>37</v>
      </c>
      <c r="AE74" s="2">
        <v>44085.643599537027</v>
      </c>
      <c r="AF74" t="s">
        <v>37</v>
      </c>
    </row>
    <row r="75" spans="1:32" x14ac:dyDescent="0.25">
      <c r="A75" s="7">
        <v>24</v>
      </c>
      <c r="B75" s="4">
        <v>44085</v>
      </c>
      <c r="C75" s="5">
        <f>AC75-(7/24)</f>
        <v>44085.367974537039</v>
      </c>
      <c r="D75" t="s">
        <v>45</v>
      </c>
      <c r="E75" s="6">
        <v>1</v>
      </c>
      <c r="F75" s="6" t="s">
        <v>31</v>
      </c>
      <c r="G75" t="s">
        <v>79</v>
      </c>
      <c r="L75" t="s">
        <v>206</v>
      </c>
      <c r="AB75" t="s">
        <v>80</v>
      </c>
      <c r="AC75" s="2">
        <v>44085.659641203703</v>
      </c>
      <c r="AD75" t="s">
        <v>37</v>
      </c>
      <c r="AE75" s="2">
        <v>44085.659641203703</v>
      </c>
      <c r="AF75" t="s">
        <v>37</v>
      </c>
    </row>
    <row r="76" spans="1:32" x14ac:dyDescent="0.25">
      <c r="A76" s="7">
        <v>49</v>
      </c>
      <c r="B76" s="4">
        <v>44085</v>
      </c>
      <c r="C76" s="5">
        <f>AC76-(7/24)</f>
        <v>44085.393298611103</v>
      </c>
      <c r="D76" t="s">
        <v>45</v>
      </c>
      <c r="E76" s="6">
        <v>1</v>
      </c>
      <c r="F76" s="6" t="s">
        <v>31</v>
      </c>
      <c r="G76" t="s">
        <v>54</v>
      </c>
      <c r="L76" t="s">
        <v>206</v>
      </c>
      <c r="AB76" t="s">
        <v>114</v>
      </c>
      <c r="AC76" s="2">
        <v>44085.684965277767</v>
      </c>
      <c r="AD76" t="s">
        <v>37</v>
      </c>
      <c r="AE76" s="2">
        <v>44085.684965277767</v>
      </c>
      <c r="AF76" t="s">
        <v>37</v>
      </c>
    </row>
    <row r="77" spans="1:32" x14ac:dyDescent="0.25">
      <c r="A77" s="7">
        <v>73</v>
      </c>
      <c r="B77" s="4">
        <v>44085</v>
      </c>
      <c r="C77" s="5">
        <f>AC77-(7/24)</f>
        <v>44085.363668981488</v>
      </c>
      <c r="D77" t="s">
        <v>146</v>
      </c>
      <c r="E77" s="6">
        <v>1</v>
      </c>
      <c r="F77" s="6" t="s">
        <v>31</v>
      </c>
      <c r="G77" t="s">
        <v>70</v>
      </c>
      <c r="L77" t="s">
        <v>207</v>
      </c>
      <c r="AB77" t="s">
        <v>147</v>
      </c>
      <c r="AC77" s="2">
        <v>44085.655335648153</v>
      </c>
      <c r="AD77" t="s">
        <v>136</v>
      </c>
      <c r="AE77" s="2">
        <v>44085.655335648153</v>
      </c>
      <c r="AF77" t="s">
        <v>136</v>
      </c>
    </row>
    <row r="78" spans="1:32" x14ac:dyDescent="0.25">
      <c r="A78" s="7">
        <v>71</v>
      </c>
      <c r="B78" s="4">
        <v>44085</v>
      </c>
      <c r="C78" s="5">
        <f>AC78-(7/24)</f>
        <v>44085.351712962969</v>
      </c>
      <c r="D78" t="s">
        <v>143</v>
      </c>
      <c r="E78" s="6">
        <v>1</v>
      </c>
      <c r="F78" s="6" t="s">
        <v>31</v>
      </c>
      <c r="G78" t="s">
        <v>70</v>
      </c>
      <c r="L78" t="s">
        <v>207</v>
      </c>
      <c r="AB78" t="s">
        <v>144</v>
      </c>
      <c r="AC78" s="2">
        <v>44085.643379629633</v>
      </c>
      <c r="AD78" t="s">
        <v>136</v>
      </c>
      <c r="AE78" s="2">
        <v>44085.655590277784</v>
      </c>
      <c r="AF78" t="s">
        <v>136</v>
      </c>
    </row>
    <row r="79" spans="1:32" x14ac:dyDescent="0.25">
      <c r="A79" s="7">
        <v>108</v>
      </c>
      <c r="B79" s="4">
        <v>44085</v>
      </c>
      <c r="C79" s="5">
        <f>AC79-(7/24)</f>
        <v>44085.406400462969</v>
      </c>
      <c r="D79" t="s">
        <v>189</v>
      </c>
      <c r="E79" s="6">
        <v>1</v>
      </c>
      <c r="F79" s="6" t="s">
        <v>31</v>
      </c>
      <c r="G79" t="s">
        <v>70</v>
      </c>
      <c r="L79" t="s">
        <v>207</v>
      </c>
      <c r="AB79" t="s">
        <v>190</v>
      </c>
      <c r="AC79" s="2">
        <v>44085.698067129633</v>
      </c>
      <c r="AD79" t="s">
        <v>136</v>
      </c>
      <c r="AE79" s="2">
        <v>44085.698067129633</v>
      </c>
      <c r="AF79" t="s">
        <v>136</v>
      </c>
    </row>
    <row r="80" spans="1:32" x14ac:dyDescent="0.25">
      <c r="A80" s="7">
        <v>105</v>
      </c>
      <c r="B80" s="4">
        <v>44085</v>
      </c>
      <c r="C80" s="5">
        <f>AC80-(7/24)</f>
        <v>44085.403773148159</v>
      </c>
      <c r="D80" t="s">
        <v>185</v>
      </c>
      <c r="E80" s="6">
        <v>1</v>
      </c>
      <c r="F80" s="6" t="s">
        <v>31</v>
      </c>
      <c r="G80" t="s">
        <v>70</v>
      </c>
      <c r="L80" t="s">
        <v>207</v>
      </c>
      <c r="AB80" t="s">
        <v>186</v>
      </c>
      <c r="AC80" s="2">
        <v>44085.695439814823</v>
      </c>
      <c r="AD80" t="s">
        <v>136</v>
      </c>
      <c r="AE80" s="2">
        <v>44085.695439814823</v>
      </c>
      <c r="AF80" t="s">
        <v>136</v>
      </c>
    </row>
    <row r="81" spans="1:32" x14ac:dyDescent="0.25">
      <c r="A81" s="7">
        <v>2</v>
      </c>
      <c r="B81" s="4">
        <v>44085</v>
      </c>
      <c r="C81" s="5">
        <f>AC81-(7/24)</f>
        <v>44085.343912037039</v>
      </c>
      <c r="D81" t="s">
        <v>38</v>
      </c>
      <c r="E81" s="6">
        <v>8</v>
      </c>
      <c r="F81" s="6" t="s">
        <v>31</v>
      </c>
      <c r="G81" t="s">
        <v>32</v>
      </c>
      <c r="L81" t="s">
        <v>206</v>
      </c>
      <c r="AB81" t="s">
        <v>39</v>
      </c>
      <c r="AC81" s="2">
        <v>44085.635578703703</v>
      </c>
      <c r="AD81" t="s">
        <v>37</v>
      </c>
      <c r="AE81" s="2">
        <v>44085.635578703703</v>
      </c>
      <c r="AF81" t="s">
        <v>37</v>
      </c>
    </row>
    <row r="82" spans="1:32" x14ac:dyDescent="0.25">
      <c r="A82" s="7">
        <v>14</v>
      </c>
      <c r="B82" s="4">
        <v>44085</v>
      </c>
      <c r="C82" s="5">
        <f>AC82-(7/24)</f>
        <v>44085.357233796298</v>
      </c>
      <c r="D82" t="s">
        <v>38</v>
      </c>
      <c r="E82" s="6">
        <v>1</v>
      </c>
      <c r="F82" s="6" t="s">
        <v>31</v>
      </c>
      <c r="G82" t="s">
        <v>63</v>
      </c>
      <c r="L82" t="s">
        <v>206</v>
      </c>
      <c r="AB82" t="s">
        <v>64</v>
      </c>
      <c r="AC82" s="2">
        <v>44085.648900462962</v>
      </c>
      <c r="AD82" t="s">
        <v>37</v>
      </c>
      <c r="AE82" s="2">
        <v>44085.648900462962</v>
      </c>
      <c r="AF82" t="s">
        <v>37</v>
      </c>
    </row>
    <row r="83" spans="1:32" x14ac:dyDescent="0.25">
      <c r="A83" s="7">
        <v>61</v>
      </c>
      <c r="B83" s="4">
        <v>44085</v>
      </c>
      <c r="C83" s="5">
        <f>AC83-(7/24)</f>
        <v>44085.419513888883</v>
      </c>
      <c r="D83" t="s">
        <v>38</v>
      </c>
      <c r="E83" s="6">
        <v>15</v>
      </c>
      <c r="F83" s="6" t="s">
        <v>31</v>
      </c>
      <c r="G83" t="s">
        <v>129</v>
      </c>
      <c r="L83" t="s">
        <v>206</v>
      </c>
      <c r="AB83" t="s">
        <v>130</v>
      </c>
      <c r="AC83" s="2">
        <v>44085.711180555547</v>
      </c>
      <c r="AD83" t="s">
        <v>37</v>
      </c>
      <c r="AE83" s="2">
        <v>44085.711180555547</v>
      </c>
      <c r="AF83" t="s">
        <v>37</v>
      </c>
    </row>
    <row r="84" spans="1:32" x14ac:dyDescent="0.25">
      <c r="A84" s="7">
        <v>78</v>
      </c>
      <c r="B84" s="4">
        <v>44085</v>
      </c>
      <c r="C84" s="5">
        <f>AC84-(7/24)</f>
        <v>44085.374108796299</v>
      </c>
      <c r="D84" t="s">
        <v>121</v>
      </c>
      <c r="E84" s="6">
        <v>1</v>
      </c>
      <c r="F84" s="6" t="s">
        <v>31</v>
      </c>
      <c r="G84" t="s">
        <v>153</v>
      </c>
      <c r="L84" t="s">
        <v>207</v>
      </c>
      <c r="AB84" t="s">
        <v>154</v>
      </c>
      <c r="AC84" s="2">
        <v>44085.665775462963</v>
      </c>
      <c r="AD84" t="s">
        <v>136</v>
      </c>
      <c r="AE84" s="2">
        <v>44085.665775462963</v>
      </c>
      <c r="AF84" t="s">
        <v>136</v>
      </c>
    </row>
    <row r="85" spans="1:32" x14ac:dyDescent="0.25">
      <c r="A85" s="7">
        <v>92</v>
      </c>
      <c r="B85" s="4">
        <v>44085</v>
      </c>
      <c r="C85" s="5">
        <f>AC85-(7/24)</f>
        <v>44085.392812500009</v>
      </c>
      <c r="D85" t="s">
        <v>121</v>
      </c>
      <c r="E85" s="6">
        <v>1</v>
      </c>
      <c r="F85" s="6" t="s">
        <v>31</v>
      </c>
      <c r="G85" t="s">
        <v>170</v>
      </c>
      <c r="L85" t="s">
        <v>207</v>
      </c>
      <c r="AB85" t="s">
        <v>171</v>
      </c>
      <c r="AC85" s="2">
        <v>44085.684479166674</v>
      </c>
      <c r="AD85" t="s">
        <v>136</v>
      </c>
      <c r="AE85" s="2">
        <v>44085.684479166674</v>
      </c>
      <c r="AF85" t="s">
        <v>136</v>
      </c>
    </row>
    <row r="86" spans="1:32" x14ac:dyDescent="0.25">
      <c r="A86" s="7">
        <v>54</v>
      </c>
      <c r="B86" s="4">
        <v>44085</v>
      </c>
      <c r="C86" s="5">
        <f>AC86-(7/24)</f>
        <v>44085.396192129629</v>
      </c>
      <c r="D86" t="s">
        <v>121</v>
      </c>
      <c r="E86" s="6">
        <v>1</v>
      </c>
      <c r="F86" s="6" t="s">
        <v>31</v>
      </c>
      <c r="G86" t="s">
        <v>32</v>
      </c>
      <c r="L86" t="s">
        <v>206</v>
      </c>
      <c r="AB86" t="s">
        <v>122</v>
      </c>
      <c r="AC86" s="2">
        <v>44085.687858796293</v>
      </c>
      <c r="AD86" t="s">
        <v>37</v>
      </c>
      <c r="AE86" s="2">
        <v>44085.687858796293</v>
      </c>
      <c r="AF86" t="s">
        <v>37</v>
      </c>
    </row>
    <row r="87" spans="1:32" x14ac:dyDescent="0.25">
      <c r="A87" s="7">
        <v>56</v>
      </c>
      <c r="B87" s="4">
        <v>44085</v>
      </c>
      <c r="C87" s="5">
        <f>AC87-(7/24)</f>
        <v>44085.401909722226</v>
      </c>
      <c r="D87" t="s">
        <v>121</v>
      </c>
      <c r="E87" s="6">
        <v>2</v>
      </c>
      <c r="F87" s="6" t="s">
        <v>31</v>
      </c>
      <c r="G87" t="s">
        <v>63</v>
      </c>
      <c r="L87" t="s">
        <v>206</v>
      </c>
      <c r="AB87" t="s">
        <v>124</v>
      </c>
      <c r="AC87" s="2">
        <v>44085.693576388891</v>
      </c>
      <c r="AD87" t="s">
        <v>37</v>
      </c>
      <c r="AE87" s="2">
        <v>44085.693576388891</v>
      </c>
      <c r="AF87" t="s">
        <v>37</v>
      </c>
    </row>
    <row r="88" spans="1:32" x14ac:dyDescent="0.25">
      <c r="A88" s="7">
        <v>103</v>
      </c>
      <c r="B88" s="4">
        <v>44085</v>
      </c>
      <c r="C88" s="5">
        <f>AC88-(7/24)</f>
        <v>44085.402870370373</v>
      </c>
      <c r="D88" t="s">
        <v>121</v>
      </c>
      <c r="E88" s="6">
        <v>1</v>
      </c>
      <c r="F88" s="6" t="s">
        <v>31</v>
      </c>
      <c r="G88" t="s">
        <v>112</v>
      </c>
      <c r="L88" t="s">
        <v>207</v>
      </c>
      <c r="AB88" t="s">
        <v>183</v>
      </c>
      <c r="AC88" s="2">
        <v>44085.694537037038</v>
      </c>
      <c r="AD88" t="s">
        <v>136</v>
      </c>
      <c r="AE88" s="2">
        <v>44085.694537037038</v>
      </c>
      <c r="AF88" t="s">
        <v>136</v>
      </c>
    </row>
    <row r="89" spans="1:32" x14ac:dyDescent="0.25">
      <c r="A89" s="7">
        <v>48</v>
      </c>
      <c r="B89" s="4">
        <v>44085</v>
      </c>
      <c r="C89" s="5">
        <f>AC89-(7/24)</f>
        <v>44085.393113425926</v>
      </c>
      <c r="D89" t="s">
        <v>111</v>
      </c>
      <c r="E89" s="6">
        <v>5</v>
      </c>
      <c r="F89" s="6" t="s">
        <v>31</v>
      </c>
      <c r="G89" t="s">
        <v>112</v>
      </c>
      <c r="L89" t="s">
        <v>206</v>
      </c>
      <c r="AB89" t="s">
        <v>113</v>
      </c>
      <c r="AC89" s="2">
        <v>44085.68478009259</v>
      </c>
      <c r="AD89" t="s">
        <v>37</v>
      </c>
      <c r="AE89" s="2">
        <v>44085.68478009259</v>
      </c>
      <c r="AF89" t="s">
        <v>37</v>
      </c>
    </row>
    <row r="90" spans="1:32" x14ac:dyDescent="0.25">
      <c r="A90" s="7">
        <v>107</v>
      </c>
      <c r="B90" s="4">
        <v>44085</v>
      </c>
      <c r="C90" s="5">
        <f>AC90-(7/24)</f>
        <v>44085.404305555552</v>
      </c>
      <c r="D90" t="s">
        <v>111</v>
      </c>
      <c r="E90" s="6">
        <v>1</v>
      </c>
      <c r="F90" s="6" t="s">
        <v>31</v>
      </c>
      <c r="G90" t="s">
        <v>112</v>
      </c>
      <c r="L90" t="s">
        <v>207</v>
      </c>
      <c r="AB90" t="s">
        <v>188</v>
      </c>
      <c r="AC90" s="2">
        <v>44085.695972222216</v>
      </c>
      <c r="AD90" t="s">
        <v>136</v>
      </c>
      <c r="AE90" s="2">
        <v>44085.695972222216</v>
      </c>
      <c r="AF90" t="s">
        <v>136</v>
      </c>
    </row>
    <row r="91" spans="1:32" x14ac:dyDescent="0.25">
      <c r="A91" s="7">
        <v>38</v>
      </c>
      <c r="B91" s="4">
        <v>44085</v>
      </c>
      <c r="C91" s="5">
        <f>AC91-(7/24)</f>
        <v>44085.381527777783</v>
      </c>
      <c r="D91" t="s">
        <v>97</v>
      </c>
      <c r="E91" s="6">
        <v>2</v>
      </c>
      <c r="F91" s="6" t="s">
        <v>31</v>
      </c>
      <c r="G91" t="s">
        <v>79</v>
      </c>
      <c r="L91" t="s">
        <v>206</v>
      </c>
      <c r="AB91" t="s">
        <v>98</v>
      </c>
      <c r="AC91" s="2">
        <v>44085.673194444447</v>
      </c>
      <c r="AD91" t="s">
        <v>37</v>
      </c>
      <c r="AE91" s="2">
        <v>44085.673194444447</v>
      </c>
      <c r="AF91" t="s">
        <v>37</v>
      </c>
    </row>
    <row r="92" spans="1:32" x14ac:dyDescent="0.25">
      <c r="A92" s="7">
        <v>67</v>
      </c>
      <c r="B92" s="4">
        <v>44085</v>
      </c>
      <c r="C92" s="5">
        <f>AC92-(7/24)</f>
        <v>44085.344560185185</v>
      </c>
      <c r="D92" t="s">
        <v>83</v>
      </c>
      <c r="E92" s="6">
        <v>2</v>
      </c>
      <c r="F92" s="6" t="s">
        <v>31</v>
      </c>
      <c r="G92" t="s">
        <v>41</v>
      </c>
      <c r="L92" t="s">
        <v>207</v>
      </c>
      <c r="AB92" t="s">
        <v>139</v>
      </c>
      <c r="AC92" s="2">
        <v>44085.63622685185</v>
      </c>
      <c r="AD92" t="s">
        <v>136</v>
      </c>
      <c r="AE92" s="2">
        <v>44085.63622685185</v>
      </c>
      <c r="AF92" t="s">
        <v>136</v>
      </c>
    </row>
    <row r="93" spans="1:32" x14ac:dyDescent="0.25">
      <c r="A93" s="7">
        <v>26</v>
      </c>
      <c r="B93" s="4">
        <v>44085</v>
      </c>
      <c r="C93" s="5">
        <f>AC93-(7/24)</f>
        <v>44085.369189814817</v>
      </c>
      <c r="D93" t="s">
        <v>83</v>
      </c>
      <c r="E93" s="6">
        <v>1</v>
      </c>
      <c r="F93" s="6" t="s">
        <v>31</v>
      </c>
      <c r="G93" t="s">
        <v>41</v>
      </c>
      <c r="L93" t="s">
        <v>206</v>
      </c>
      <c r="AB93" t="s">
        <v>84</v>
      </c>
      <c r="AC93" s="2">
        <v>44085.660856481481</v>
      </c>
      <c r="AD93" t="s">
        <v>37</v>
      </c>
      <c r="AE93" s="2">
        <v>44085.660856481481</v>
      </c>
      <c r="AF93" t="s">
        <v>37</v>
      </c>
    </row>
    <row r="94" spans="1:32" x14ac:dyDescent="0.25">
      <c r="A94" s="7">
        <v>28</v>
      </c>
      <c r="B94" s="4">
        <v>44085</v>
      </c>
      <c r="C94" s="5">
        <f>AC94-(7/24)</f>
        <v>44085.371331018512</v>
      </c>
      <c r="D94" t="s">
        <v>83</v>
      </c>
      <c r="E94" s="6">
        <v>1</v>
      </c>
      <c r="F94" s="6" t="s">
        <v>31</v>
      </c>
      <c r="G94" t="s">
        <v>41</v>
      </c>
      <c r="L94" t="s">
        <v>206</v>
      </c>
      <c r="AB94" t="s">
        <v>86</v>
      </c>
      <c r="AC94" s="2">
        <v>44085.662997685176</v>
      </c>
      <c r="AD94" t="s">
        <v>37</v>
      </c>
      <c r="AE94" s="2">
        <v>44085.662997685176</v>
      </c>
      <c r="AF94" t="s">
        <v>37</v>
      </c>
    </row>
    <row r="95" spans="1:32" x14ac:dyDescent="0.25">
      <c r="A95" s="7">
        <v>32</v>
      </c>
      <c r="B95" s="4">
        <v>44085</v>
      </c>
      <c r="C95" s="5">
        <f>AC95-(7/24)</f>
        <v>44085.374722222223</v>
      </c>
      <c r="D95" t="s">
        <v>83</v>
      </c>
      <c r="E95" s="6">
        <v>1</v>
      </c>
      <c r="F95" s="6" t="s">
        <v>31</v>
      </c>
      <c r="G95" t="s">
        <v>41</v>
      </c>
      <c r="L95" t="s">
        <v>206</v>
      </c>
      <c r="AB95" t="s">
        <v>90</v>
      </c>
      <c r="AC95" s="2">
        <v>44085.666388888887</v>
      </c>
      <c r="AD95" t="s">
        <v>37</v>
      </c>
      <c r="AE95" s="2">
        <v>44085.666388888887</v>
      </c>
      <c r="AF95" t="s">
        <v>37</v>
      </c>
    </row>
    <row r="96" spans="1:32" x14ac:dyDescent="0.25">
      <c r="A96" s="7">
        <v>36</v>
      </c>
      <c r="B96" s="4">
        <v>44085</v>
      </c>
      <c r="C96" s="5">
        <f>AC96-(7/24)</f>
        <v>44085.379780092597</v>
      </c>
      <c r="D96" t="s">
        <v>83</v>
      </c>
      <c r="E96" s="6">
        <v>2</v>
      </c>
      <c r="F96" s="6" t="s">
        <v>31</v>
      </c>
      <c r="G96" t="s">
        <v>41</v>
      </c>
      <c r="L96" t="s">
        <v>206</v>
      </c>
      <c r="AB96" t="s">
        <v>95</v>
      </c>
      <c r="AC96" s="2">
        <v>44085.671446759261</v>
      </c>
      <c r="AD96" t="s">
        <v>37</v>
      </c>
      <c r="AE96" s="2">
        <v>44085.671446759261</v>
      </c>
      <c r="AF96" t="s">
        <v>37</v>
      </c>
    </row>
    <row r="97" spans="1:32" x14ac:dyDescent="0.25">
      <c r="A97" s="7">
        <v>40</v>
      </c>
      <c r="B97" s="4">
        <v>44085</v>
      </c>
      <c r="C97" s="5">
        <f>AC97-(7/24)</f>
        <v>44085.382407407407</v>
      </c>
      <c r="D97" t="s">
        <v>83</v>
      </c>
      <c r="E97" s="6">
        <v>2</v>
      </c>
      <c r="F97" s="6" t="s">
        <v>31</v>
      </c>
      <c r="G97" t="s">
        <v>41</v>
      </c>
      <c r="L97" t="s">
        <v>206</v>
      </c>
      <c r="AB97" t="s">
        <v>101</v>
      </c>
      <c r="AC97" s="2">
        <v>44085.674074074072</v>
      </c>
      <c r="AD97" t="s">
        <v>37</v>
      </c>
      <c r="AE97" s="2">
        <v>44085.674074074072</v>
      </c>
      <c r="AF97" t="s">
        <v>37</v>
      </c>
    </row>
    <row r="98" spans="1:32" x14ac:dyDescent="0.25">
      <c r="A98" s="7">
        <v>43</v>
      </c>
      <c r="B98" s="4">
        <v>44085</v>
      </c>
      <c r="C98" s="5">
        <f>AC98-(7/24)</f>
        <v>44085.387951388882</v>
      </c>
      <c r="D98" t="s">
        <v>83</v>
      </c>
      <c r="E98" s="6">
        <v>1</v>
      </c>
      <c r="F98" s="6" t="s">
        <v>31</v>
      </c>
      <c r="G98" t="s">
        <v>41</v>
      </c>
      <c r="L98" t="s">
        <v>206</v>
      </c>
      <c r="AB98" t="s">
        <v>105</v>
      </c>
      <c r="AC98" s="2">
        <v>44085.679618055547</v>
      </c>
      <c r="AD98" t="s">
        <v>37</v>
      </c>
      <c r="AE98" s="2">
        <v>44085.679618055547</v>
      </c>
      <c r="AF98" t="s">
        <v>37</v>
      </c>
    </row>
    <row r="99" spans="1:32" x14ac:dyDescent="0.25">
      <c r="A99" s="7">
        <v>45</v>
      </c>
      <c r="B99" s="4">
        <v>44085</v>
      </c>
      <c r="C99" s="5">
        <f>AC99-(7/24)</f>
        <v>44085.391006944446</v>
      </c>
      <c r="D99" t="s">
        <v>83</v>
      </c>
      <c r="E99" s="6">
        <v>1</v>
      </c>
      <c r="F99" s="6" t="s">
        <v>31</v>
      </c>
      <c r="G99" t="s">
        <v>41</v>
      </c>
      <c r="L99" t="s">
        <v>206</v>
      </c>
      <c r="AB99" t="s">
        <v>107</v>
      </c>
      <c r="AC99" s="2">
        <v>44085.682673611111</v>
      </c>
      <c r="AD99" t="s">
        <v>37</v>
      </c>
      <c r="AE99" s="2">
        <v>44085.682673611111</v>
      </c>
      <c r="AF99" t="s">
        <v>37</v>
      </c>
    </row>
    <row r="100" spans="1:32" x14ac:dyDescent="0.25">
      <c r="A100" s="7">
        <v>46</v>
      </c>
      <c r="B100" s="4">
        <v>44085</v>
      </c>
      <c r="C100" s="5">
        <f>AC100-(7/24)</f>
        <v>44085.391319444447</v>
      </c>
      <c r="D100" t="s">
        <v>83</v>
      </c>
      <c r="E100" s="6">
        <v>2</v>
      </c>
      <c r="F100" s="6" t="s">
        <v>31</v>
      </c>
      <c r="G100" t="s">
        <v>41</v>
      </c>
      <c r="L100" t="s">
        <v>206</v>
      </c>
      <c r="AB100" t="s">
        <v>108</v>
      </c>
      <c r="AC100" s="2">
        <v>44085.682986111111</v>
      </c>
      <c r="AD100" t="s">
        <v>37</v>
      </c>
      <c r="AE100" s="2">
        <v>44085.682986111111</v>
      </c>
      <c r="AF100" t="s">
        <v>37</v>
      </c>
    </row>
    <row r="101" spans="1:32" x14ac:dyDescent="0.25">
      <c r="A101" s="7">
        <v>91</v>
      </c>
      <c r="B101" s="4">
        <v>44085</v>
      </c>
      <c r="C101" s="5">
        <f>AC101-(7/24)</f>
        <v>44085.391932870363</v>
      </c>
      <c r="D101" t="s">
        <v>83</v>
      </c>
      <c r="E101" s="6">
        <v>1</v>
      </c>
      <c r="F101" s="6" t="s">
        <v>31</v>
      </c>
      <c r="G101" t="s">
        <v>112</v>
      </c>
      <c r="L101" t="s">
        <v>207</v>
      </c>
      <c r="AB101" t="s">
        <v>169</v>
      </c>
      <c r="AC101" s="2">
        <v>44085.683599537027</v>
      </c>
      <c r="AD101" t="s">
        <v>136</v>
      </c>
      <c r="AE101" s="2">
        <v>44085.683599537027</v>
      </c>
      <c r="AF101" t="s">
        <v>136</v>
      </c>
    </row>
    <row r="102" spans="1:32" x14ac:dyDescent="0.25">
      <c r="A102" s="7">
        <v>94</v>
      </c>
      <c r="B102" s="4">
        <v>44085</v>
      </c>
      <c r="C102" s="5">
        <f>AC102-(7/24)</f>
        <v>44085.396261574075</v>
      </c>
      <c r="D102" t="s">
        <v>83</v>
      </c>
      <c r="E102" s="6">
        <v>2</v>
      </c>
      <c r="F102" s="6" t="s">
        <v>31</v>
      </c>
      <c r="G102" t="s">
        <v>112</v>
      </c>
      <c r="L102" t="s">
        <v>207</v>
      </c>
      <c r="AB102" t="s">
        <v>173</v>
      </c>
      <c r="AC102" s="2">
        <v>44085.687928240739</v>
      </c>
      <c r="AD102" t="s">
        <v>136</v>
      </c>
      <c r="AE102" s="2">
        <v>44085.687928240739</v>
      </c>
      <c r="AF102" t="s">
        <v>136</v>
      </c>
    </row>
    <row r="103" spans="1:32" x14ac:dyDescent="0.25">
      <c r="A103" s="7">
        <v>97</v>
      </c>
      <c r="B103" s="4">
        <v>44085</v>
      </c>
      <c r="C103" s="5">
        <f>AC103-(7/24)</f>
        <v>44085.399502314816</v>
      </c>
      <c r="D103" t="s">
        <v>83</v>
      </c>
      <c r="E103" s="6">
        <v>3</v>
      </c>
      <c r="F103" s="6" t="s">
        <v>31</v>
      </c>
      <c r="G103" t="s">
        <v>70</v>
      </c>
      <c r="L103" t="s">
        <v>207</v>
      </c>
      <c r="AB103" t="s">
        <v>177</v>
      </c>
      <c r="AC103" s="2">
        <v>44085.691168981481</v>
      </c>
      <c r="AD103" t="s">
        <v>136</v>
      </c>
      <c r="AE103" s="2">
        <v>44085.691168981481</v>
      </c>
      <c r="AF103" t="s">
        <v>136</v>
      </c>
    </row>
    <row r="104" spans="1:32" x14ac:dyDescent="0.25">
      <c r="A104" s="7">
        <v>99</v>
      </c>
      <c r="B104" s="4">
        <v>44085</v>
      </c>
      <c r="C104" s="5">
        <f>AC104-(7/24)</f>
        <v>44085.401319444449</v>
      </c>
      <c r="D104" t="s">
        <v>83</v>
      </c>
      <c r="E104" s="6">
        <v>1</v>
      </c>
      <c r="F104" s="6" t="s">
        <v>31</v>
      </c>
      <c r="G104" t="s">
        <v>41</v>
      </c>
      <c r="L104" t="s">
        <v>207</v>
      </c>
      <c r="AB104" t="s">
        <v>179</v>
      </c>
      <c r="AC104" s="2">
        <v>44085.692986111113</v>
      </c>
      <c r="AD104" t="s">
        <v>136</v>
      </c>
      <c r="AE104" s="2">
        <v>44085.692986111113</v>
      </c>
      <c r="AF104" t="s">
        <v>136</v>
      </c>
    </row>
    <row r="105" spans="1:32" x14ac:dyDescent="0.25">
      <c r="A105" s="7">
        <v>102</v>
      </c>
      <c r="B105" s="4">
        <v>44085</v>
      </c>
      <c r="C105" s="5">
        <f>AC105-(7/24)</f>
        <v>44085.402384259272</v>
      </c>
      <c r="D105" t="s">
        <v>83</v>
      </c>
      <c r="E105" s="6">
        <v>1</v>
      </c>
      <c r="F105" s="6" t="s">
        <v>31</v>
      </c>
      <c r="G105" t="s">
        <v>41</v>
      </c>
      <c r="L105" t="s">
        <v>207</v>
      </c>
      <c r="AB105" t="s">
        <v>182</v>
      </c>
      <c r="AC105" s="2">
        <v>44085.694050925937</v>
      </c>
      <c r="AD105" t="s">
        <v>136</v>
      </c>
      <c r="AE105" s="2">
        <v>44085.694050925937</v>
      </c>
      <c r="AF105" t="s">
        <v>136</v>
      </c>
    </row>
    <row r="106" spans="1:32" x14ac:dyDescent="0.25">
      <c r="A106" s="7">
        <v>58</v>
      </c>
      <c r="B106" s="4">
        <v>44085</v>
      </c>
      <c r="C106" s="5">
        <f>AC106-(7/24)</f>
        <v>44085.405219907407</v>
      </c>
      <c r="D106" t="s">
        <v>83</v>
      </c>
      <c r="E106" s="6">
        <v>1</v>
      </c>
      <c r="F106" s="6" t="s">
        <v>31</v>
      </c>
      <c r="G106" t="s">
        <v>41</v>
      </c>
      <c r="L106" t="s">
        <v>206</v>
      </c>
      <c r="AB106" t="s">
        <v>126</v>
      </c>
      <c r="AC106" s="2">
        <v>44085.696886574071</v>
      </c>
      <c r="AD106" t="s">
        <v>37</v>
      </c>
      <c r="AE106" s="2">
        <v>44085.696886574071</v>
      </c>
      <c r="AF106" t="s">
        <v>37</v>
      </c>
    </row>
    <row r="107" spans="1:32" x14ac:dyDescent="0.25">
      <c r="A107" s="7">
        <v>109</v>
      </c>
      <c r="B107" s="4">
        <v>44085</v>
      </c>
      <c r="C107" s="5">
        <f>AC107-(7/24)</f>
        <v>44085.406631944446</v>
      </c>
      <c r="D107" t="s">
        <v>83</v>
      </c>
      <c r="E107" s="6">
        <v>4</v>
      </c>
      <c r="F107" s="6" t="s">
        <v>31</v>
      </c>
      <c r="G107" t="s">
        <v>70</v>
      </c>
      <c r="L107" t="s">
        <v>207</v>
      </c>
      <c r="AB107" t="s">
        <v>191</v>
      </c>
      <c r="AC107" s="2">
        <v>44085.698298611111</v>
      </c>
      <c r="AD107" t="s">
        <v>136</v>
      </c>
      <c r="AE107" s="2">
        <v>44085.698298611111</v>
      </c>
      <c r="AF107" t="s">
        <v>136</v>
      </c>
    </row>
    <row r="108" spans="1:32" x14ac:dyDescent="0.25">
      <c r="A108" s="7">
        <v>59</v>
      </c>
      <c r="B108" s="4">
        <v>44085</v>
      </c>
      <c r="C108" s="5">
        <f>AC108-(7/24)</f>
        <v>44085.411122685189</v>
      </c>
      <c r="D108" t="s">
        <v>83</v>
      </c>
      <c r="E108" s="6">
        <v>2</v>
      </c>
      <c r="F108" s="6" t="s">
        <v>31</v>
      </c>
      <c r="G108" t="s">
        <v>52</v>
      </c>
      <c r="L108" t="s">
        <v>206</v>
      </c>
      <c r="AB108" t="s">
        <v>127</v>
      </c>
      <c r="AC108" s="2">
        <v>44085.702789351853</v>
      </c>
      <c r="AD108" t="s">
        <v>37</v>
      </c>
      <c r="AE108" s="2">
        <v>44085.702789351853</v>
      </c>
      <c r="AF108" t="s">
        <v>37</v>
      </c>
    </row>
    <row r="109" spans="1:32" x14ac:dyDescent="0.25">
      <c r="A109" s="7">
        <v>51</v>
      </c>
      <c r="B109" s="4">
        <v>44085</v>
      </c>
      <c r="C109" s="5">
        <f>AC109-(7/24)</f>
        <v>44085.394583333335</v>
      </c>
      <c r="D109" t="s">
        <v>117</v>
      </c>
      <c r="E109" s="6">
        <v>1</v>
      </c>
      <c r="F109" s="6" t="s">
        <v>31</v>
      </c>
      <c r="G109" t="s">
        <v>79</v>
      </c>
      <c r="L109" t="s">
        <v>206</v>
      </c>
      <c r="AB109" t="s">
        <v>118</v>
      </c>
      <c r="AC109" s="2">
        <v>44085.686249999999</v>
      </c>
      <c r="AD109" t="s">
        <v>37</v>
      </c>
      <c r="AE109" s="2">
        <v>44085.686249999999</v>
      </c>
      <c r="AF109" t="s">
        <v>37</v>
      </c>
    </row>
    <row r="110" spans="1:32" x14ac:dyDescent="0.25">
      <c r="A110" s="7">
        <v>15</v>
      </c>
      <c r="B110" s="4">
        <v>44085</v>
      </c>
      <c r="C110" s="5">
        <f>AC110-(7/24)</f>
        <v>44085.358159722229</v>
      </c>
      <c r="D110" t="s">
        <v>65</v>
      </c>
      <c r="E110" s="6">
        <v>1</v>
      </c>
      <c r="F110" s="6" t="s">
        <v>31</v>
      </c>
      <c r="G110" t="s">
        <v>66</v>
      </c>
      <c r="L110" t="s">
        <v>206</v>
      </c>
      <c r="AB110" t="s">
        <v>67</v>
      </c>
      <c r="AC110" s="2">
        <v>44085.649826388893</v>
      </c>
      <c r="AD110" t="s">
        <v>37</v>
      </c>
      <c r="AE110" s="2">
        <v>44085.650243055563</v>
      </c>
      <c r="AF110" t="s">
        <v>37</v>
      </c>
    </row>
    <row r="111" spans="1:32" x14ac:dyDescent="0.25">
      <c r="A111" s="7">
        <v>16</v>
      </c>
      <c r="B111" s="4">
        <v>44085</v>
      </c>
      <c r="C111" s="5">
        <f>AC111-(7/24)</f>
        <v>44085.359016203707</v>
      </c>
      <c r="D111" t="s">
        <v>65</v>
      </c>
      <c r="E111" s="6">
        <v>1</v>
      </c>
      <c r="F111" s="6" t="s">
        <v>31</v>
      </c>
      <c r="G111" t="s">
        <v>52</v>
      </c>
      <c r="L111" t="s">
        <v>206</v>
      </c>
      <c r="AB111" t="s">
        <v>68</v>
      </c>
      <c r="AC111" s="2">
        <v>44085.650682870371</v>
      </c>
      <c r="AD111" t="s">
        <v>37</v>
      </c>
      <c r="AE111" s="2">
        <v>44085.650682870371</v>
      </c>
      <c r="AF111" t="s">
        <v>37</v>
      </c>
    </row>
    <row r="112" spans="1:32" x14ac:dyDescent="0.25">
      <c r="A112" s="7">
        <v>34</v>
      </c>
      <c r="B112" s="4">
        <v>44085</v>
      </c>
      <c r="C112" s="5">
        <f>AC112-(7/24)</f>
        <v>44085.376944444448</v>
      </c>
      <c r="D112" t="s">
        <v>92</v>
      </c>
      <c r="E112" s="6">
        <v>5</v>
      </c>
      <c r="F112" s="6" t="s">
        <v>31</v>
      </c>
      <c r="G112" t="s">
        <v>79</v>
      </c>
      <c r="L112" t="s">
        <v>206</v>
      </c>
      <c r="AB112" t="s">
        <v>93</v>
      </c>
      <c r="AC112" s="2">
        <v>44085.668611111112</v>
      </c>
      <c r="AD112" t="s">
        <v>37</v>
      </c>
      <c r="AE112" s="2">
        <v>44085.668611111112</v>
      </c>
      <c r="AF112" t="s">
        <v>37</v>
      </c>
    </row>
    <row r="113" spans="1:32" x14ac:dyDescent="0.25">
      <c r="A113" s="7">
        <v>37</v>
      </c>
      <c r="B113" s="4">
        <v>44085</v>
      </c>
      <c r="C113" s="5">
        <f>AC113-(7/24)</f>
        <v>44085.381354166668</v>
      </c>
      <c r="D113" t="s">
        <v>92</v>
      </c>
      <c r="E113" s="6">
        <v>19</v>
      </c>
      <c r="F113" s="6" t="s">
        <v>31</v>
      </c>
      <c r="G113" t="s">
        <v>79</v>
      </c>
      <c r="L113" t="s">
        <v>206</v>
      </c>
      <c r="AB113" t="s">
        <v>96</v>
      </c>
      <c r="AC113" s="2">
        <v>44085.673020833332</v>
      </c>
      <c r="AD113" t="s">
        <v>37</v>
      </c>
      <c r="AE113" s="2">
        <v>44085.673020833332</v>
      </c>
      <c r="AF113" t="s">
        <v>37</v>
      </c>
    </row>
    <row r="114" spans="1:32" x14ac:dyDescent="0.25">
      <c r="A114" s="7">
        <v>95</v>
      </c>
      <c r="B114" s="4">
        <v>44085</v>
      </c>
      <c r="C114" s="5">
        <f>AC114-(7/24)</f>
        <v>44085.398807870362</v>
      </c>
      <c r="D114" t="s">
        <v>174</v>
      </c>
      <c r="E114" s="6">
        <v>1</v>
      </c>
      <c r="F114" s="6" t="s">
        <v>31</v>
      </c>
      <c r="G114" t="s">
        <v>70</v>
      </c>
      <c r="L114" t="s">
        <v>207</v>
      </c>
      <c r="AB114" t="s">
        <v>175</v>
      </c>
      <c r="AC114" s="2">
        <v>44085.690474537027</v>
      </c>
      <c r="AD114" t="s">
        <v>136</v>
      </c>
      <c r="AE114" s="2">
        <v>44085.690474537027</v>
      </c>
      <c r="AF114" t="s">
        <v>136</v>
      </c>
    </row>
    <row r="115" spans="1:32" x14ac:dyDescent="0.25">
      <c r="A115" s="7">
        <v>62</v>
      </c>
      <c r="B115" s="4">
        <v>44085</v>
      </c>
      <c r="C115" s="5">
        <f>AC115-(7/24)</f>
        <v>44085.420879629623</v>
      </c>
      <c r="D115" t="s">
        <v>131</v>
      </c>
      <c r="E115" s="6">
        <v>1</v>
      </c>
      <c r="F115" s="6" t="s">
        <v>31</v>
      </c>
      <c r="G115" t="s">
        <v>41</v>
      </c>
      <c r="L115" t="s">
        <v>206</v>
      </c>
      <c r="AB115" t="s">
        <v>132</v>
      </c>
      <c r="AC115" s="2">
        <v>44085.712546296287</v>
      </c>
      <c r="AD115" t="s">
        <v>37</v>
      </c>
      <c r="AE115" s="2">
        <v>44085.712546296287</v>
      </c>
      <c r="AF115" t="s">
        <v>37</v>
      </c>
    </row>
  </sheetData>
  <autoFilter ref="A1:AF115" xr:uid="{27434FDE-6B31-40E9-B61A-B898E827B0A3}"/>
  <sortState xmlns:xlrd2="http://schemas.microsoft.com/office/spreadsheetml/2017/richdata2" ref="A2:AF115">
    <sortCondition ref="D2:D115"/>
  </sortState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84576-DD7B-483D-B5DA-ABC15E57FE06}">
  <dimension ref="A1:F40"/>
  <sheetViews>
    <sheetView topLeftCell="A22" workbookViewId="0">
      <selection activeCell="D6" sqref="D6:D39"/>
    </sheetView>
  </sheetViews>
  <sheetFormatPr defaultRowHeight="15" x14ac:dyDescent="0.25"/>
  <cols>
    <col min="1" max="1" width="26" bestFit="1" customWidth="1"/>
    <col min="2" max="2" width="24" bestFit="1" customWidth="1"/>
    <col min="3" max="3" width="29.42578125" bestFit="1" customWidth="1"/>
    <col min="4" max="4" width="8.42578125" bestFit="1" customWidth="1"/>
    <col min="5" max="5" width="24" bestFit="1" customWidth="1"/>
    <col min="6" max="6" width="9" bestFit="1" customWidth="1"/>
  </cols>
  <sheetData>
    <row r="1" spans="1:6" x14ac:dyDescent="0.25">
      <c r="D1" s="35" t="s">
        <v>205</v>
      </c>
      <c r="E1" s="36" t="s">
        <v>211</v>
      </c>
      <c r="F1" s="36"/>
    </row>
    <row r="2" spans="1:6" x14ac:dyDescent="0.25">
      <c r="D2" s="35"/>
      <c r="E2" s="36"/>
      <c r="F2" s="36"/>
    </row>
    <row r="3" spans="1:6" x14ac:dyDescent="0.25">
      <c r="A3" s="8" t="s">
        <v>202</v>
      </c>
      <c r="B3" s="8" t="s">
        <v>203</v>
      </c>
      <c r="D3" s="10"/>
      <c r="E3" s="25"/>
      <c r="F3" s="25"/>
    </row>
    <row r="4" spans="1:6" x14ac:dyDescent="0.25">
      <c r="B4" t="s">
        <v>31</v>
      </c>
      <c r="D4" s="10" t="s">
        <v>204</v>
      </c>
      <c r="E4" s="24" t="s">
        <v>208</v>
      </c>
      <c r="F4" s="25" t="s">
        <v>210</v>
      </c>
    </row>
    <row r="5" spans="1:6" x14ac:dyDescent="0.25">
      <c r="A5" s="8" t="s">
        <v>200</v>
      </c>
      <c r="B5" t="s">
        <v>206</v>
      </c>
      <c r="C5" t="s">
        <v>207</v>
      </c>
      <c r="D5" s="10"/>
      <c r="E5" s="24" t="s">
        <v>206</v>
      </c>
      <c r="F5" s="25"/>
    </row>
    <row r="6" spans="1:6" x14ac:dyDescent="0.25">
      <c r="A6" s="18" t="s">
        <v>73</v>
      </c>
      <c r="B6" s="15">
        <v>8</v>
      </c>
      <c r="C6" s="12">
        <v>1</v>
      </c>
      <c r="D6" s="21">
        <v>9</v>
      </c>
      <c r="E6" s="26"/>
      <c r="F6" s="27"/>
    </row>
    <row r="7" spans="1:6" x14ac:dyDescent="0.25">
      <c r="A7" s="19" t="s">
        <v>43</v>
      </c>
      <c r="B7" s="16">
        <v>6</v>
      </c>
      <c r="C7" s="13">
        <v>8</v>
      </c>
      <c r="D7" s="22">
        <v>14</v>
      </c>
      <c r="E7" s="28"/>
      <c r="F7" s="29"/>
    </row>
    <row r="8" spans="1:6" x14ac:dyDescent="0.25">
      <c r="A8" s="19" t="s">
        <v>103</v>
      </c>
      <c r="B8" s="16">
        <v>1</v>
      </c>
      <c r="C8" s="13"/>
      <c r="D8" s="22">
        <v>1</v>
      </c>
      <c r="E8" s="28"/>
      <c r="F8" s="29"/>
    </row>
    <row r="9" spans="1:6" x14ac:dyDescent="0.25">
      <c r="A9" s="19" t="s">
        <v>59</v>
      </c>
      <c r="B9" s="16">
        <v>6</v>
      </c>
      <c r="C9" s="13">
        <v>6</v>
      </c>
      <c r="D9" s="22">
        <v>12</v>
      </c>
      <c r="E9" s="28"/>
      <c r="F9" s="29"/>
    </row>
    <row r="10" spans="1:6" x14ac:dyDescent="0.25">
      <c r="A10" s="19" t="s">
        <v>115</v>
      </c>
      <c r="B10" s="16">
        <v>1</v>
      </c>
      <c r="C10" s="13">
        <v>1</v>
      </c>
      <c r="D10" s="22">
        <v>2</v>
      </c>
      <c r="E10" s="28"/>
      <c r="F10" s="29"/>
    </row>
    <row r="11" spans="1:6" x14ac:dyDescent="0.25">
      <c r="A11" s="19" t="s">
        <v>47</v>
      </c>
      <c r="B11" s="16">
        <v>1</v>
      </c>
      <c r="C11" s="13">
        <v>6</v>
      </c>
      <c r="D11" s="22">
        <v>7</v>
      </c>
      <c r="E11" s="28"/>
      <c r="F11" s="29"/>
    </row>
    <row r="12" spans="1:6" x14ac:dyDescent="0.25">
      <c r="A12" s="19" t="s">
        <v>40</v>
      </c>
      <c r="B12" s="16">
        <v>8</v>
      </c>
      <c r="C12" s="13">
        <v>20</v>
      </c>
      <c r="D12" s="22">
        <v>28</v>
      </c>
      <c r="E12" s="28"/>
      <c r="F12" s="29"/>
    </row>
    <row r="13" spans="1:6" x14ac:dyDescent="0.25">
      <c r="A13" s="19" t="s">
        <v>81</v>
      </c>
      <c r="B13" s="16">
        <v>1</v>
      </c>
      <c r="C13" s="13">
        <v>3</v>
      </c>
      <c r="D13" s="22">
        <v>4</v>
      </c>
      <c r="E13" s="28"/>
      <c r="F13" s="29"/>
    </row>
    <row r="14" spans="1:6" x14ac:dyDescent="0.25">
      <c r="A14" s="19" t="s">
        <v>51</v>
      </c>
      <c r="B14" s="16">
        <v>1</v>
      </c>
      <c r="C14" s="13"/>
      <c r="D14" s="22">
        <v>1</v>
      </c>
      <c r="E14" s="28"/>
      <c r="F14" s="29"/>
    </row>
    <row r="15" spans="1:6" x14ac:dyDescent="0.25">
      <c r="A15" s="19" t="s">
        <v>30</v>
      </c>
      <c r="B15" s="16">
        <v>1</v>
      </c>
      <c r="C15" s="13">
        <v>1</v>
      </c>
      <c r="D15" s="22">
        <v>2</v>
      </c>
      <c r="E15" s="28"/>
      <c r="F15" s="29"/>
    </row>
    <row r="16" spans="1:6" x14ac:dyDescent="0.25">
      <c r="A16" s="19" t="s">
        <v>61</v>
      </c>
      <c r="B16" s="16">
        <v>6</v>
      </c>
      <c r="C16" s="13">
        <v>5</v>
      </c>
      <c r="D16" s="22">
        <v>11</v>
      </c>
      <c r="E16" s="28"/>
      <c r="F16" s="29"/>
    </row>
    <row r="17" spans="1:6" x14ac:dyDescent="0.25">
      <c r="A17" s="19" t="s">
        <v>163</v>
      </c>
      <c r="B17" s="16"/>
      <c r="C17" s="13">
        <v>1</v>
      </c>
      <c r="D17" s="22">
        <v>1</v>
      </c>
      <c r="E17" s="28"/>
      <c r="F17" s="29"/>
    </row>
    <row r="18" spans="1:6" x14ac:dyDescent="0.25">
      <c r="A18" s="19" t="s">
        <v>148</v>
      </c>
      <c r="B18" s="16"/>
      <c r="C18" s="13">
        <v>1</v>
      </c>
      <c r="D18" s="22">
        <v>1</v>
      </c>
      <c r="E18" s="28"/>
      <c r="F18" s="29"/>
    </row>
    <row r="19" spans="1:6" x14ac:dyDescent="0.25">
      <c r="A19" s="19" t="s">
        <v>69</v>
      </c>
      <c r="B19" s="16">
        <v>6</v>
      </c>
      <c r="C19" s="13">
        <v>10</v>
      </c>
      <c r="D19" s="22">
        <v>16</v>
      </c>
      <c r="E19" s="28"/>
      <c r="F19" s="29"/>
    </row>
    <row r="20" spans="1:6" x14ac:dyDescent="0.25">
      <c r="A20" s="19" t="s">
        <v>109</v>
      </c>
      <c r="B20" s="16">
        <v>1</v>
      </c>
      <c r="C20" s="13"/>
      <c r="D20" s="22">
        <v>1</v>
      </c>
      <c r="E20" s="28"/>
      <c r="F20" s="29"/>
    </row>
    <row r="21" spans="1:6" x14ac:dyDescent="0.25">
      <c r="A21" s="19" t="s">
        <v>56</v>
      </c>
      <c r="B21" s="16">
        <v>5</v>
      </c>
      <c r="C21" s="13">
        <v>2</v>
      </c>
      <c r="D21" s="22">
        <v>7</v>
      </c>
      <c r="E21" s="28"/>
      <c r="F21" s="29"/>
    </row>
    <row r="22" spans="1:6" x14ac:dyDescent="0.25">
      <c r="A22" s="19" t="s">
        <v>99</v>
      </c>
      <c r="B22" s="16">
        <v>3</v>
      </c>
      <c r="C22" s="13"/>
      <c r="D22" s="22">
        <v>3</v>
      </c>
      <c r="E22" s="28"/>
      <c r="F22" s="29"/>
    </row>
    <row r="23" spans="1:6" x14ac:dyDescent="0.25">
      <c r="A23" s="19" t="s">
        <v>160</v>
      </c>
      <c r="B23" s="16"/>
      <c r="C23" s="13">
        <v>2</v>
      </c>
      <c r="D23" s="22">
        <v>2</v>
      </c>
      <c r="E23" s="28"/>
      <c r="F23" s="29"/>
    </row>
    <row r="24" spans="1:6" x14ac:dyDescent="0.25">
      <c r="A24" s="19" t="s">
        <v>49</v>
      </c>
      <c r="B24" s="16">
        <v>1</v>
      </c>
      <c r="C24" s="13"/>
      <c r="D24" s="22">
        <v>1</v>
      </c>
      <c r="E24" s="28">
        <v>1</v>
      </c>
      <c r="F24" s="29">
        <v>1</v>
      </c>
    </row>
    <row r="25" spans="1:6" x14ac:dyDescent="0.25">
      <c r="A25" s="19" t="s">
        <v>45</v>
      </c>
      <c r="B25" s="16">
        <v>9</v>
      </c>
      <c r="C25" s="13"/>
      <c r="D25" s="22">
        <v>9</v>
      </c>
      <c r="E25" s="28"/>
      <c r="F25" s="29"/>
    </row>
    <row r="26" spans="1:6" x14ac:dyDescent="0.25">
      <c r="A26" s="19" t="s">
        <v>146</v>
      </c>
      <c r="B26" s="16"/>
      <c r="C26" s="13">
        <v>1</v>
      </c>
      <c r="D26" s="22">
        <v>1</v>
      </c>
      <c r="E26" s="28"/>
      <c r="F26" s="29"/>
    </row>
    <row r="27" spans="1:6" x14ac:dyDescent="0.25">
      <c r="A27" s="19" t="s">
        <v>143</v>
      </c>
      <c r="B27" s="16"/>
      <c r="C27" s="13">
        <v>1</v>
      </c>
      <c r="D27" s="22">
        <v>1</v>
      </c>
      <c r="E27" s="28"/>
      <c r="F27" s="29"/>
    </row>
    <row r="28" spans="1:6" x14ac:dyDescent="0.25">
      <c r="A28" s="19" t="s">
        <v>189</v>
      </c>
      <c r="B28" s="16"/>
      <c r="C28" s="13">
        <v>1</v>
      </c>
      <c r="D28" s="22">
        <v>1</v>
      </c>
      <c r="E28" s="28"/>
      <c r="F28" s="29"/>
    </row>
    <row r="29" spans="1:6" x14ac:dyDescent="0.25">
      <c r="A29" s="19" t="s">
        <v>185</v>
      </c>
      <c r="B29" s="16"/>
      <c r="C29" s="13">
        <v>1</v>
      </c>
      <c r="D29" s="22">
        <v>1</v>
      </c>
      <c r="E29" s="28"/>
      <c r="F29" s="29"/>
    </row>
    <row r="30" spans="1:6" x14ac:dyDescent="0.25">
      <c r="A30" s="19" t="s">
        <v>38</v>
      </c>
      <c r="B30" s="16">
        <v>24</v>
      </c>
      <c r="C30" s="13"/>
      <c r="D30" s="22">
        <v>24</v>
      </c>
      <c r="E30" s="28"/>
      <c r="F30" s="29"/>
    </row>
    <row r="31" spans="1:6" x14ac:dyDescent="0.25">
      <c r="A31" s="19" t="s">
        <v>121</v>
      </c>
      <c r="B31" s="16">
        <v>3</v>
      </c>
      <c r="C31" s="13">
        <v>3</v>
      </c>
      <c r="D31" s="22">
        <v>6</v>
      </c>
      <c r="E31" s="28"/>
      <c r="F31" s="29"/>
    </row>
    <row r="32" spans="1:6" x14ac:dyDescent="0.25">
      <c r="A32" s="19" t="s">
        <v>111</v>
      </c>
      <c r="B32" s="16">
        <v>5</v>
      </c>
      <c r="C32" s="13">
        <v>1</v>
      </c>
      <c r="D32" s="22">
        <v>6</v>
      </c>
      <c r="E32" s="28"/>
      <c r="F32" s="29"/>
    </row>
    <row r="33" spans="1:6" x14ac:dyDescent="0.25">
      <c r="A33" s="19" t="s">
        <v>97</v>
      </c>
      <c r="B33" s="16">
        <v>2</v>
      </c>
      <c r="C33" s="13"/>
      <c r="D33" s="22">
        <v>2</v>
      </c>
      <c r="E33" s="28"/>
      <c r="F33" s="29"/>
    </row>
    <row r="34" spans="1:6" x14ac:dyDescent="0.25">
      <c r="A34" s="19" t="s">
        <v>83</v>
      </c>
      <c r="B34" s="16">
        <v>14</v>
      </c>
      <c r="C34" s="13">
        <v>14</v>
      </c>
      <c r="D34" s="22">
        <v>28</v>
      </c>
      <c r="E34" s="28"/>
      <c r="F34" s="29"/>
    </row>
    <row r="35" spans="1:6" x14ac:dyDescent="0.25">
      <c r="A35" s="19" t="s">
        <v>117</v>
      </c>
      <c r="B35" s="16">
        <v>1</v>
      </c>
      <c r="C35" s="13"/>
      <c r="D35" s="22">
        <v>1</v>
      </c>
      <c r="E35" s="28"/>
      <c r="F35" s="29"/>
    </row>
    <row r="36" spans="1:6" x14ac:dyDescent="0.25">
      <c r="A36" s="19" t="s">
        <v>65</v>
      </c>
      <c r="B36" s="16">
        <v>2</v>
      </c>
      <c r="C36" s="13"/>
      <c r="D36" s="22">
        <v>2</v>
      </c>
      <c r="E36" s="28"/>
      <c r="F36" s="29"/>
    </row>
    <row r="37" spans="1:6" x14ac:dyDescent="0.25">
      <c r="A37" s="19" t="s">
        <v>92</v>
      </c>
      <c r="B37" s="16">
        <v>24</v>
      </c>
      <c r="C37" s="13"/>
      <c r="D37" s="22">
        <v>24</v>
      </c>
      <c r="E37" s="28"/>
      <c r="F37" s="29"/>
    </row>
    <row r="38" spans="1:6" x14ac:dyDescent="0.25">
      <c r="A38" s="19" t="s">
        <v>174</v>
      </c>
      <c r="B38" s="16"/>
      <c r="C38" s="13">
        <v>1</v>
      </c>
      <c r="D38" s="22">
        <v>1</v>
      </c>
      <c r="E38" s="28"/>
      <c r="F38" s="29"/>
    </row>
    <row r="39" spans="1:6" x14ac:dyDescent="0.25">
      <c r="A39" s="20" t="s">
        <v>131</v>
      </c>
      <c r="B39" s="17">
        <v>1</v>
      </c>
      <c r="C39" s="14"/>
      <c r="D39" s="23">
        <v>1</v>
      </c>
      <c r="E39" s="30"/>
      <c r="F39" s="31"/>
    </row>
    <row r="40" spans="1:6" x14ac:dyDescent="0.25">
      <c r="A40" s="7" t="s">
        <v>201</v>
      </c>
      <c r="B40" s="9">
        <v>141</v>
      </c>
      <c r="C40" s="9">
        <v>90</v>
      </c>
      <c r="D40" s="11">
        <v>231</v>
      </c>
      <c r="E40" s="32">
        <v>1</v>
      </c>
      <c r="F40" s="33">
        <v>1</v>
      </c>
    </row>
  </sheetData>
  <mergeCells count="2">
    <mergeCell ref="D1:D2"/>
    <mergeCell ref="E1:F2"/>
  </mergeCells>
  <pageMargins left="0.7" right="0.7" top="0.75" bottom="0.75" header="0.3" footer="0.3"/>
  <pageSetup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DF77C-4908-4B06-A1E1-FF8BD5659714}">
  <dimension ref="A1:B35"/>
  <sheetViews>
    <sheetView workbookViewId="0">
      <selection activeCell="B2" sqref="B2:B35"/>
    </sheetView>
  </sheetViews>
  <sheetFormatPr defaultRowHeight="15" x14ac:dyDescent="0.25"/>
  <cols>
    <col min="1" max="1" width="26" bestFit="1" customWidth="1"/>
    <col min="2" max="2" width="13.42578125" bestFit="1" customWidth="1"/>
  </cols>
  <sheetData>
    <row r="1" spans="1:2" x14ac:dyDescent="0.25">
      <c r="A1" s="34" t="s">
        <v>212</v>
      </c>
      <c r="B1" s="34" t="s">
        <v>213</v>
      </c>
    </row>
    <row r="2" spans="1:2" x14ac:dyDescent="0.25">
      <c r="A2" t="s">
        <v>73</v>
      </c>
      <c r="B2">
        <v>9</v>
      </c>
    </row>
    <row r="3" spans="1:2" x14ac:dyDescent="0.25">
      <c r="A3" t="s">
        <v>43</v>
      </c>
      <c r="B3">
        <v>14</v>
      </c>
    </row>
    <row r="4" spans="1:2" x14ac:dyDescent="0.25">
      <c r="A4" t="s">
        <v>103</v>
      </c>
      <c r="B4">
        <v>1</v>
      </c>
    </row>
    <row r="5" spans="1:2" x14ac:dyDescent="0.25">
      <c r="A5" t="s">
        <v>59</v>
      </c>
      <c r="B5">
        <v>12</v>
      </c>
    </row>
    <row r="6" spans="1:2" x14ac:dyDescent="0.25">
      <c r="A6" t="s">
        <v>115</v>
      </c>
      <c r="B6">
        <v>2</v>
      </c>
    </row>
    <row r="7" spans="1:2" x14ac:dyDescent="0.25">
      <c r="A7" t="s">
        <v>47</v>
      </c>
      <c r="B7">
        <v>7</v>
      </c>
    </row>
    <row r="8" spans="1:2" x14ac:dyDescent="0.25">
      <c r="A8" t="s">
        <v>40</v>
      </c>
      <c r="B8">
        <v>28</v>
      </c>
    </row>
    <row r="9" spans="1:2" x14ac:dyDescent="0.25">
      <c r="A9" t="s">
        <v>81</v>
      </c>
      <c r="B9">
        <v>4</v>
      </c>
    </row>
    <row r="10" spans="1:2" x14ac:dyDescent="0.25">
      <c r="A10" t="s">
        <v>51</v>
      </c>
      <c r="B10">
        <v>1</v>
      </c>
    </row>
    <row r="11" spans="1:2" x14ac:dyDescent="0.25">
      <c r="A11" t="s">
        <v>30</v>
      </c>
      <c r="B11">
        <v>2</v>
      </c>
    </row>
    <row r="12" spans="1:2" x14ac:dyDescent="0.25">
      <c r="A12" t="s">
        <v>61</v>
      </c>
      <c r="B12">
        <v>11</v>
      </c>
    </row>
    <row r="13" spans="1:2" x14ac:dyDescent="0.25">
      <c r="A13" t="s">
        <v>163</v>
      </c>
      <c r="B13">
        <v>1</v>
      </c>
    </row>
    <row r="14" spans="1:2" x14ac:dyDescent="0.25">
      <c r="A14" t="s">
        <v>148</v>
      </c>
      <c r="B14">
        <v>1</v>
      </c>
    </row>
    <row r="15" spans="1:2" x14ac:dyDescent="0.25">
      <c r="A15" t="s">
        <v>69</v>
      </c>
      <c r="B15">
        <v>16</v>
      </c>
    </row>
    <row r="16" spans="1:2" x14ac:dyDescent="0.25">
      <c r="A16" t="s">
        <v>109</v>
      </c>
      <c r="B16">
        <v>1</v>
      </c>
    </row>
    <row r="17" spans="1:2" x14ac:dyDescent="0.25">
      <c r="A17" t="s">
        <v>56</v>
      </c>
      <c r="B17">
        <v>7</v>
      </c>
    </row>
    <row r="18" spans="1:2" x14ac:dyDescent="0.25">
      <c r="A18" t="s">
        <v>99</v>
      </c>
      <c r="B18">
        <v>3</v>
      </c>
    </row>
    <row r="19" spans="1:2" x14ac:dyDescent="0.25">
      <c r="A19" t="s">
        <v>160</v>
      </c>
      <c r="B19">
        <v>2</v>
      </c>
    </row>
    <row r="20" spans="1:2" x14ac:dyDescent="0.25">
      <c r="A20" t="s">
        <v>49</v>
      </c>
      <c r="B20">
        <v>1</v>
      </c>
    </row>
    <row r="21" spans="1:2" x14ac:dyDescent="0.25">
      <c r="A21" t="s">
        <v>45</v>
      </c>
      <c r="B21">
        <v>9</v>
      </c>
    </row>
    <row r="22" spans="1:2" x14ac:dyDescent="0.25">
      <c r="A22" t="s">
        <v>146</v>
      </c>
      <c r="B22">
        <v>1</v>
      </c>
    </row>
    <row r="23" spans="1:2" x14ac:dyDescent="0.25">
      <c r="A23" t="s">
        <v>143</v>
      </c>
      <c r="B23">
        <v>1</v>
      </c>
    </row>
    <row r="24" spans="1:2" x14ac:dyDescent="0.25">
      <c r="A24" t="s">
        <v>189</v>
      </c>
      <c r="B24">
        <v>1</v>
      </c>
    </row>
    <row r="25" spans="1:2" x14ac:dyDescent="0.25">
      <c r="A25" t="s">
        <v>185</v>
      </c>
      <c r="B25">
        <v>1</v>
      </c>
    </row>
    <row r="26" spans="1:2" x14ac:dyDescent="0.25">
      <c r="A26" t="s">
        <v>38</v>
      </c>
      <c r="B26">
        <v>24</v>
      </c>
    </row>
    <row r="27" spans="1:2" x14ac:dyDescent="0.25">
      <c r="A27" t="s">
        <v>121</v>
      </c>
      <c r="B27">
        <v>6</v>
      </c>
    </row>
    <row r="28" spans="1:2" x14ac:dyDescent="0.25">
      <c r="A28" t="s">
        <v>111</v>
      </c>
      <c r="B28">
        <v>6</v>
      </c>
    </row>
    <row r="29" spans="1:2" x14ac:dyDescent="0.25">
      <c r="A29" t="s">
        <v>97</v>
      </c>
      <c r="B29">
        <v>2</v>
      </c>
    </row>
    <row r="30" spans="1:2" x14ac:dyDescent="0.25">
      <c r="A30" t="s">
        <v>83</v>
      </c>
      <c r="B30">
        <v>28</v>
      </c>
    </row>
    <row r="31" spans="1:2" x14ac:dyDescent="0.25">
      <c r="A31" t="s">
        <v>117</v>
      </c>
      <c r="B31">
        <v>1</v>
      </c>
    </row>
    <row r="32" spans="1:2" x14ac:dyDescent="0.25">
      <c r="A32" t="s">
        <v>65</v>
      </c>
      <c r="B32">
        <v>2</v>
      </c>
    </row>
    <row r="33" spans="1:2" x14ac:dyDescent="0.25">
      <c r="A33" t="s">
        <v>92</v>
      </c>
      <c r="B33">
        <v>24</v>
      </c>
    </row>
    <row r="34" spans="1:2" x14ac:dyDescent="0.25">
      <c r="A34" t="s">
        <v>174</v>
      </c>
      <c r="B34">
        <v>1</v>
      </c>
    </row>
    <row r="35" spans="1:2" x14ac:dyDescent="0.25">
      <c r="A35" t="s">
        <v>131</v>
      </c>
      <c r="B35">
        <v>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NCOS_Bird_Survey_Data_20200911</vt:lpstr>
      <vt:lpstr>PTable</vt:lpstr>
      <vt:lpstr>Final_Totals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Clark</cp:lastModifiedBy>
  <dcterms:created xsi:type="dcterms:W3CDTF">2020-09-11T13:33:33Z</dcterms:created>
  <dcterms:modified xsi:type="dcterms:W3CDTF">2021-03-18T18:23:01Z</dcterms:modified>
</cp:coreProperties>
</file>